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"/>
    </mc:Choice>
  </mc:AlternateContent>
  <bookViews>
    <workbookView xWindow="0" yWindow="0" windowWidth="28800" windowHeight="12300" tabRatio="841" activeTab="6"/>
  </bookViews>
  <sheets>
    <sheet name="sam matrixoverzicht" sheetId="32" r:id="rId1"/>
    <sheet name="LM6 let 2018" sheetId="3" r:id="rId2"/>
    <sheet name="LM LVC 1050 1060" sheetId="35" r:id="rId3"/>
    <sheet name="lm35 let2018 (2)" sheetId="31" r:id="rId4"/>
    <sheet name="printoutlm35" sheetId="38" r:id="rId5"/>
    <sheet name="lensfronten let2018" sheetId="1" r:id="rId6"/>
    <sheet name="ALLE KOLOMMEN MATRIX" sheetId="7" r:id="rId7"/>
    <sheet name="opties" sheetId="34" r:id="rId8"/>
    <sheet name="oud" sheetId="2" r:id="rId9"/>
    <sheet name="printout" sheetId="36" r:id="rId10"/>
    <sheet name="EP 2017 en 18 wat maken ze nog" sheetId="5" r:id="rId11"/>
    <sheet name="pla2017" sheetId="4" r:id="rId12"/>
    <sheet name="rol+glijwagens" sheetId="33" r:id="rId13"/>
  </sheets>
  <functionGroups builtInGroupCount="18"/>
  <definedNames>
    <definedName name="_xlnm._FilterDatabase" localSheetId="11" hidden="1">'pla2017'!$A$1:$AM$2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4" i="7" l="1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3" i="7"/>
  <c r="AA55" i="7" l="1"/>
  <c r="AA51" i="7" l="1"/>
  <c r="AA52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53" i="7"/>
  <c r="AA54" i="7"/>
  <c r="AA47" i="7"/>
  <c r="D88" i="4" l="1"/>
  <c r="D87" i="4"/>
  <c r="D86" i="4"/>
  <c r="D85" i="4"/>
  <c r="D84" i="4"/>
  <c r="D83" i="4"/>
  <c r="D82" i="4"/>
  <c r="D81" i="4"/>
  <c r="D80" i="4"/>
  <c r="D79" i="4"/>
  <c r="D78" i="4"/>
  <c r="D77" i="4"/>
  <c r="D76" i="4"/>
  <c r="F22" i="4"/>
  <c r="D47" i="4" s="1"/>
  <c r="F21" i="4"/>
  <c r="D46" i="4" s="1"/>
  <c r="F20" i="4"/>
  <c r="D45" i="4" s="1"/>
  <c r="F19" i="4"/>
  <c r="D44" i="4" s="1"/>
  <c r="F18" i="4"/>
  <c r="D43" i="4" s="1"/>
  <c r="F17" i="4"/>
  <c r="D42" i="4" s="1"/>
  <c r="F16" i="4"/>
  <c r="D41" i="4" s="1"/>
  <c r="F15" i="4"/>
  <c r="D40" i="4" s="1"/>
  <c r="F14" i="4"/>
  <c r="D39" i="4" s="1"/>
  <c r="F13" i="4"/>
  <c r="D38" i="4" s="1"/>
  <c r="F12" i="4"/>
  <c r="D37" i="4" s="1"/>
  <c r="F11" i="4"/>
  <c r="D36" i="4" s="1"/>
  <c r="F10" i="4"/>
  <c r="D35" i="4" s="1"/>
  <c r="F9" i="4"/>
  <c r="D34" i="4" s="1"/>
  <c r="F8" i="4"/>
  <c r="D33" i="4" s="1"/>
  <c r="F7" i="4"/>
  <c r="D32" i="4" s="1"/>
  <c r="F6" i="4"/>
  <c r="D31" i="4" s="1"/>
  <c r="F5" i="4"/>
  <c r="D30" i="4" s="1"/>
  <c r="F4" i="4"/>
  <c r="D29" i="4" s="1"/>
  <c r="F3" i="4"/>
  <c r="D28" i="4" s="1"/>
  <c r="F2" i="4"/>
  <c r="D27" i="4" s="1"/>
  <c r="E12" i="3" l="1"/>
  <c r="E9" i="3"/>
  <c r="E3" i="3"/>
</calcChain>
</file>

<file path=xl/sharedStrings.xml><?xml version="1.0" encoding="utf-8"?>
<sst xmlns="http://schemas.openxmlformats.org/spreadsheetml/2006/main" count="2591" uniqueCount="920">
  <si>
    <t>Omschrijving</t>
  </si>
  <si>
    <t>Art.groep</t>
  </si>
  <si>
    <t>Lensfront canbus LVCC 12 cellen</t>
  </si>
  <si>
    <t>Lensfront canbus LVCC</t>
  </si>
  <si>
    <t>Lensfront LVSB met canbus 14 cellen</t>
  </si>
  <si>
    <t>Lensfront LM6</t>
  </si>
  <si>
    <t>Lensfront LM50</t>
  </si>
  <si>
    <t>Lensfront canbus LVCC ACC</t>
  </si>
  <si>
    <t>Lensfront canbus LVCC ACC 12 cellen</t>
  </si>
  <si>
    <t>Lensfront LM50 ACC</t>
  </si>
  <si>
    <t>Lensfront LM25</t>
  </si>
  <si>
    <t>Lensfront LVCC met veiligheidsglas</t>
  </si>
  <si>
    <t>Lensfront LM35</t>
  </si>
  <si>
    <t>Lensfront LM35 GOCA</t>
  </si>
  <si>
    <t>zonnepaneel</t>
  </si>
  <si>
    <t>pv</t>
  </si>
  <si>
    <t>testen</t>
  </si>
  <si>
    <t>gewoon</t>
  </si>
  <si>
    <t>zwarte bol</t>
  </si>
  <si>
    <t>12cel</t>
  </si>
  <si>
    <t>pcb canbus</t>
  </si>
  <si>
    <t>nee</t>
  </si>
  <si>
    <t>ja</t>
  </si>
  <si>
    <t>niks</t>
  </si>
  <si>
    <t>L:\Letdata\data\02\0039A03\D5\020039A03-D5N01A.docx</t>
  </si>
  <si>
    <t>L:\Letdata\data\02\0039_01\D5\020039_01-D5N01_.docx</t>
  </si>
  <si>
    <t>L:\Letdata\data\02\0370_00\D5\D05020370N01_.lnk</t>
  </si>
  <si>
    <t>L:\Letdata\data\03\0598_00\D5\D05030598N01_.lnk</t>
  </si>
  <si>
    <t>L:\Letdata\data\09\0023_00\D5\D05090023N01_.lnk</t>
  </si>
  <si>
    <t>L:\Letdata\data\12\0324_00\D5\D05120324N01_.lnk</t>
  </si>
  <si>
    <t>L:\Letdata\data\17\0038_01\D5\170038_01-D5N01_.docx</t>
  </si>
  <si>
    <t>L:\Letdata\data\02\0039_02\D5\020039_02-D5N01A.docx</t>
  </si>
  <si>
    <t>geen</t>
  </si>
  <si>
    <t>met canbus</t>
  </si>
  <si>
    <t>bdp lm50</t>
  </si>
  <si>
    <t>bdp</t>
  </si>
  <si>
    <t>veiligheidsglas safetyglass</t>
  </si>
  <si>
    <t>glas labeltje</t>
  </si>
  <si>
    <t>bdp lm1060</t>
  </si>
  <si>
    <t>lens proper</t>
  </si>
  <si>
    <t>020039A03</t>
  </si>
  <si>
    <t>020039_01</t>
  </si>
  <si>
    <t>020039_02</t>
  </si>
  <si>
    <t>020370_00</t>
  </si>
  <si>
    <t>030598_00</t>
  </si>
  <si>
    <t>040382_01</t>
  </si>
  <si>
    <t>040382_02</t>
  </si>
  <si>
    <t>080117_00</t>
  </si>
  <si>
    <t>090023_00</t>
  </si>
  <si>
    <t>120324_00</t>
  </si>
  <si>
    <t>150494_01</t>
  </si>
  <si>
    <t>170038_01</t>
  </si>
  <si>
    <t>020040e</t>
  </si>
  <si>
    <t>tek nog aanpassen nr grote gaten</t>
  </si>
  <si>
    <t xml:space="preserve"> </t>
  </si>
  <si>
    <t>deze pv editen 
naar grote gaten</t>
  </si>
  <si>
    <t>L:\Letdata\data\15\0494_01\D5\150494_01-D5N01A.docx</t>
  </si>
  <si>
    <t>L:\Letdata\data\15\0494_01\D5\150494_01-D5N01_.docx</t>
  </si>
  <si>
    <t>L:\Letdata\data\17\0038_01\D5\170038_01-D5N01A.docx</t>
  </si>
  <si>
    <t>Artikel</t>
  </si>
  <si>
    <t>Artikelsymbool</t>
  </si>
  <si>
    <t>LM35 CAN-Ethernet-HDMI Rev.A</t>
  </si>
  <si>
    <t>EP</t>
  </si>
  <si>
    <t>LM35 Rev.A</t>
  </si>
  <si>
    <t>LM35 RAL3000 Rood Rev.A</t>
  </si>
  <si>
    <t>LM35 FR Rev.A</t>
  </si>
  <si>
    <t>LM35 UK Rev.A</t>
  </si>
  <si>
    <t>LM35 UK MOT Rev.A</t>
  </si>
  <si>
    <t>LM35 HDMI Rev.A</t>
  </si>
  <si>
    <t>LM35 HDMI RAL3000 Rood Rev.A</t>
  </si>
  <si>
    <t>LM35 GOCA</t>
  </si>
  <si>
    <t>150470A01</t>
  </si>
  <si>
    <t>160142A02</t>
  </si>
  <si>
    <t>160143A01</t>
  </si>
  <si>
    <t>160144A01</t>
  </si>
  <si>
    <t>160144A02</t>
  </si>
  <si>
    <t>160401A01</t>
  </si>
  <si>
    <t>160401A02</t>
  </si>
  <si>
    <t>160547_01</t>
  </si>
  <si>
    <t>160142A01</t>
  </si>
  <si>
    <t>L:\Letdata\data\16\0142A01\D5\160142A01-D5N01A.docx</t>
  </si>
  <si>
    <t>L:\Letdata\data\16\0142A02\D5\160142A02-D5N01A.docx</t>
  </si>
  <si>
    <t>L:\Letdata\data\16\0143A01\D5\160143A01-D5N01A.docx</t>
  </si>
  <si>
    <t>L:\Letdata\data\16\0144A01\D5\160144A01-D5N01A.docx</t>
  </si>
  <si>
    <t>L:\Letdata\data\16\0144A02\D5\160144A02-D5N01A.docx</t>
  </si>
  <si>
    <t>L:\Letdata\data\16\0401A01\D5\160401A01-D5N01_.docx</t>
  </si>
  <si>
    <t>L:\Letdata\data\16\0547_01\D5\160547_01-D5N01C.docx</t>
  </si>
  <si>
    <t>adaptorsticker +
12v 60w stekkerset</t>
  </si>
  <si>
    <t>lensfronten  komen grote gaten in !</t>
  </si>
  <si>
    <t>actuele pv</t>
  </si>
  <si>
    <t>pv in pipeline</t>
  </si>
  <si>
    <t>Kolom1</t>
  </si>
  <si>
    <t>Kolom2</t>
  </si>
  <si>
    <t>Kolom3</t>
  </si>
  <si>
    <t>LM6 Rev A</t>
  </si>
  <si>
    <t>LM6 ZL Rev A</t>
  </si>
  <si>
    <t>LM6 FS RHD GB Rev A</t>
  </si>
  <si>
    <t>LM6 FS RHD GB</t>
  </si>
  <si>
    <t>LM6 FS RHD ZL GB Rev A</t>
  </si>
  <si>
    <t>LM6 FS RHD MOT Rev A</t>
  </si>
  <si>
    <t>LM6 FS RHD ZL MOT Rev A</t>
  </si>
  <si>
    <t>LM6 met Inkijkspiegel Rev A</t>
  </si>
  <si>
    <t>LM6 FS RHD GB Inkijkspiegel Rev A</t>
  </si>
  <si>
    <t>LM6 FS RHD GB Inkijkspiegel</t>
  </si>
  <si>
    <t>LM6 -AL- met inkijkspiegel</t>
  </si>
  <si>
    <t>LM6 DLS/FOG</t>
  </si>
  <si>
    <t>onlangs gemaakt</t>
  </si>
  <si>
    <t>Kolom4</t>
  </si>
  <si>
    <t>Kolom5</t>
  </si>
  <si>
    <t>Kolom6</t>
  </si>
  <si>
    <t>Kolom7</t>
  </si>
  <si>
    <t>020597A00</t>
  </si>
  <si>
    <t>020599A00</t>
  </si>
  <si>
    <t>020601A00</t>
  </si>
  <si>
    <t>020601_00</t>
  </si>
  <si>
    <t>030539A00</t>
  </si>
  <si>
    <t>050980A00</t>
  </si>
  <si>
    <t>050981A00</t>
  </si>
  <si>
    <t>060044A00</t>
  </si>
  <si>
    <t>060069A00</t>
  </si>
  <si>
    <t>060069_00</t>
  </si>
  <si>
    <t>110234_00</t>
  </si>
  <si>
    <t>140083_00</t>
  </si>
  <si>
    <t>pv 4in1</t>
  </si>
  <si>
    <t>4in1</t>
  </si>
  <si>
    <t>dubbelz tape</t>
  </si>
  <si>
    <t>inserts</t>
  </si>
  <si>
    <t xml:space="preserve">venster diagonaal </t>
  </si>
  <si>
    <t>folie onder af</t>
  </si>
  <si>
    <t>folie boven hoekjes</t>
  </si>
  <si>
    <t>1vijz onderplaat</t>
  </si>
  <si>
    <t>laatste
 jaar 
gemaakt</t>
  </si>
  <si>
    <t>nog grote gaten vermelden</t>
  </si>
  <si>
    <t>dubbelz tape deksel</t>
  </si>
  <si>
    <t>venster diagonaal folie onder af</t>
  </si>
  <si>
    <t>pv' nog printen!!!</t>
  </si>
  <si>
    <t xml:space="preserve">geprint op 12feb </t>
  </si>
  <si>
    <t>LM6 is okee pv</t>
  </si>
  <si>
    <t>2in1</t>
  </si>
  <si>
    <t>PV geprint</t>
  </si>
  <si>
    <t>PV geprint2</t>
  </si>
  <si>
    <t>alle pvs zijn geupdate met  ;</t>
  </si>
  <si>
    <t>PV vith</t>
  </si>
  <si>
    <t>soort</t>
  </si>
  <si>
    <t>wielkant</t>
  </si>
  <si>
    <t>Nm</t>
  </si>
  <si>
    <t>kbl</t>
  </si>
  <si>
    <t>STOPS</t>
  </si>
  <si>
    <t>OpenButeeStopsel</t>
  </si>
  <si>
    <t>KG</t>
  </si>
  <si>
    <t>WIEL A</t>
  </si>
  <si>
    <t>WIEL B</t>
  </si>
  <si>
    <t>WIEL C</t>
  </si>
  <si>
    <t>glijwagen</t>
  </si>
  <si>
    <t>ZL?</t>
  </si>
  <si>
    <t>ref spiegel/laser</t>
  </si>
  <si>
    <t xml:space="preserve">voet </t>
  </si>
  <si>
    <t>speciale vloot op vast wiel</t>
  </si>
  <si>
    <t>erop</t>
  </si>
  <si>
    <t>PLA DR 1700mm</t>
  </si>
  <si>
    <t>L:\Letdata\data\02\0255A00\D5\020255A00-D5N02A.docx</t>
  </si>
  <si>
    <t>DR</t>
  </si>
  <si>
    <t>rond</t>
  </si>
  <si>
    <t>020255A00KOL/</t>
  </si>
  <si>
    <t>32-34Nm</t>
  </si>
  <si>
    <t>obosobs</t>
  </si>
  <si>
    <t>HF-050134_00KOL</t>
  </si>
  <si>
    <t>HF-050132_00KOL</t>
  </si>
  <si>
    <t>HF-050133_00KOL</t>
  </si>
  <si>
    <t>HF-050154A00KOL</t>
  </si>
  <si>
    <t>HF-090040_00KOL</t>
  </si>
  <si>
    <t>HF-160240_01</t>
  </si>
  <si>
    <t>spiegel</t>
  </si>
  <si>
    <t>PLA DR 14,2Kg 1700mm</t>
  </si>
  <si>
    <t>L:\Letdata\data\02\0255A01\D5\020255A01-D5N01A.docx</t>
  </si>
  <si>
    <t>020255A01KOL/</t>
  </si>
  <si>
    <t>OBOSOBSS</t>
  </si>
  <si>
    <t>HF-150485_00KOL</t>
  </si>
  <si>
    <t>spiegel met lasergaten in</t>
  </si>
  <si>
    <t>PLA NR 1700mm</t>
  </si>
  <si>
    <t>L:\Letdata\data\03\0292A00\D5\030292A00-D5N02A.docx</t>
  </si>
  <si>
    <t>NR</t>
  </si>
  <si>
    <t>030292A00KOL/</t>
  </si>
  <si>
    <t>18-20Nm</t>
  </si>
  <si>
    <t>OBOSOBS</t>
  </si>
  <si>
    <t>HF-050136_00KOL</t>
  </si>
  <si>
    <t>HF-050135_00KOL</t>
  </si>
  <si>
    <t>HF-020631A00KOL</t>
  </si>
  <si>
    <t>ZL</t>
  </si>
  <si>
    <t>HF-160242_01</t>
  </si>
  <si>
    <t>PLA NR 14,2Kg 1700mm</t>
  </si>
  <si>
    <t>L:\Letdata\data\03\0292A01\D5\030292A01-D5N01B.docx</t>
  </si>
  <si>
    <t>030292A01KOL/</t>
  </si>
  <si>
    <t>ZL geweest aangepast naar gewoon</t>
  </si>
  <si>
    <t>PLA DR Hella-rails 1700mm</t>
  </si>
  <si>
    <t>L:\Letdata\data\05\0166A00\D5\050166A00-D5N02A.docx</t>
  </si>
  <si>
    <t>DR-gelagerd-HELLA</t>
  </si>
  <si>
    <t>050166A00KOL/</t>
  </si>
  <si>
    <t>23-25Nm</t>
  </si>
  <si>
    <t>HF-030064_00KOL</t>
  </si>
  <si>
    <t>HF-030069_00KOL</t>
  </si>
  <si>
    <t>HF-030070_00KOL</t>
  </si>
  <si>
    <t>PLA DR gelagerd 1700mm</t>
  </si>
  <si>
    <t>L:\Letdata\data\05\1027A00\D5\051027A00-D5N02A.docx</t>
  </si>
  <si>
    <t>DR-gelagerd</t>
  </si>
  <si>
    <t>051027A00KOL/</t>
  </si>
  <si>
    <t>HF-020236_00KOL</t>
  </si>
  <si>
    <t>HF-020306_00KOL</t>
  </si>
  <si>
    <t>PLA DR gelagerd 17 Kg 1700mm</t>
  </si>
  <si>
    <t>L:\Letdata\data\06\0019A00\D5\060019A00-D5N02A.docx</t>
  </si>
  <si>
    <t>060019A00KOL/</t>
  </si>
  <si>
    <t>3 Andere maat</t>
  </si>
  <si>
    <t>obosobss</t>
  </si>
  <si>
    <t>PLA NR 17Kg 1700mm</t>
  </si>
  <si>
    <t>L:\Letdata\data\06\0070A00\D5\060070A00-D5N02A.docx</t>
  </si>
  <si>
    <t>060070A00KOL/</t>
  </si>
  <si>
    <t>PLA DR gelagerd 1700mm Beissbarth</t>
  </si>
  <si>
    <t>L:\Letdata\data\07\0044_00\D5\070044_00-D5N01A.docx</t>
  </si>
  <si>
    <t>zeskant</t>
  </si>
  <si>
    <t>070044_00KOL/</t>
  </si>
  <si>
    <t>2wissel</t>
  </si>
  <si>
    <t>OSOBOSB</t>
  </si>
  <si>
    <t>PLA DR gelagerd 14,2Kg 1700mm Beissbarth</t>
  </si>
  <si>
    <t>L:\Letdata\data\07\0044_01\D5\070044_01-D5N01A.doc</t>
  </si>
  <si>
    <t>070044_01KOL/</t>
  </si>
  <si>
    <t>PLA NR 1700mm Beissbarth</t>
  </si>
  <si>
    <t>L:\Letdata\data\07\0045_00\D5\070045_00-D5N01A.docx</t>
  </si>
  <si>
    <t>070045_00KOL/</t>
  </si>
  <si>
    <t>PLA NR 14,2 Kg 1700mm Beissbarth</t>
  </si>
  <si>
    <t>L:\Letdata\data\07\0045_01\D5\070045_01-D5N01A.docx</t>
  </si>
  <si>
    <t>070045_01KOL/</t>
  </si>
  <si>
    <t>PLA SR FR</t>
  </si>
  <si>
    <t>L:\Letdata\data\09\0330_00\D5\090330_00-D5N01A.docx</t>
  </si>
  <si>
    <t>SR</t>
  </si>
  <si>
    <t>090330_00KOL/</t>
  </si>
  <si>
    <t>HF-050371_00KOL</t>
  </si>
  <si>
    <t>160391_01</t>
  </si>
  <si>
    <t>PLA SR 14,2Kg UTAC 1850mm geen pv</t>
  </si>
  <si>
    <t>L:\Letdata\data\09\0330_01\D5\090330_01-D5N01_.docx</t>
  </si>
  <si>
    <t>090330_01KOL/</t>
  </si>
  <si>
    <t>PLA SR FR 14.2kg 1700mm  vith pv</t>
  </si>
  <si>
    <t>L:\Letdata\data\09\0330_02\D5\090330_02-D5N01A.docx</t>
  </si>
  <si>
    <t>090330_02KOL/</t>
  </si>
  <si>
    <t>PLA SR AL UK</t>
  </si>
  <si>
    <t>L:\Letdata\data\12\0143_00\D5\120143_00-D5N01A.docx</t>
  </si>
  <si>
    <t>120143_00KOL/</t>
  </si>
  <si>
    <t>PLA SR AL UK 14,2Kg 1700mm</t>
  </si>
  <si>
    <t>L:\Letdata\data\12\0143_01\D5\120143_01-D5N01A.docx</t>
  </si>
  <si>
    <t>120143_01KOL/</t>
  </si>
  <si>
    <t>PLA DR gelagerd 14,2 Kg.</t>
  </si>
  <si>
    <t>L:\Letdata\data\13\0055_00\D5\130055_00-D5N01A.docx</t>
  </si>
  <si>
    <t>130055_00KOL/</t>
  </si>
  <si>
    <t>PLA SR AL</t>
  </si>
  <si>
    <t>L:\Letdata\data\13\0110_00\D5\130110_00-D5N01A.docx</t>
  </si>
  <si>
    <t>130110_00KOL/</t>
  </si>
  <si>
    <t>ZL gecorrigeerd</t>
  </si>
  <si>
    <t>PLA SR 14,2Kg 1700mm</t>
  </si>
  <si>
    <t>L:\Letdata\data\13\0110_01\D5\130110_01-D5N01A.docx</t>
  </si>
  <si>
    <t>130110_01KOL/</t>
  </si>
  <si>
    <t>PLA DR gelagerd 14,2Kg 1850mm UTAC</t>
  </si>
  <si>
    <t>L:\Letdata\data\15\0461_01\D5\150461_01-D5N01A.docx</t>
  </si>
  <si>
    <t>150461_01KOL/</t>
  </si>
  <si>
    <t>PLA DR (EP-020255_KOL)</t>
  </si>
  <si>
    <t>PLA DR 1700mm (EP-020255A00KOL)</t>
  </si>
  <si>
    <t>PLA NR (EP-030292_KOL)</t>
  </si>
  <si>
    <t>PLA NR 1700mm (EP-030292A00KOL)</t>
  </si>
  <si>
    <t>PLA NR 14,2kg 1700mm (EP-030292A01KOL)</t>
  </si>
  <si>
    <t>PLA DR VW (EP-050165_KOL)</t>
  </si>
  <si>
    <t>PLA DR Hella rails (EP-050166_KOL)</t>
  </si>
  <si>
    <t>PLA DR Hella rails 1700mm (EP-050166AKOL)</t>
  </si>
  <si>
    <t>PLA DR VOSA (EP-050959_KOL)</t>
  </si>
  <si>
    <t>PLA DR VOSA 510 (EP-050970_KOL)</t>
  </si>
  <si>
    <t>PLA DR gelagerd (EP-051027_KOL)</t>
  </si>
  <si>
    <t>PLA DR gelagerd 1700mm (EP-051027AKOL)</t>
  </si>
  <si>
    <t>PLA DR gelagerd 17Kg (EP-060019_KOL)</t>
  </si>
  <si>
    <t>PLA DR gelagerd 17Kg 1700mm (EP-060019AKOL)</t>
  </si>
  <si>
    <t>PLA NR 17Kg (EP-060070_KOL)</t>
  </si>
  <si>
    <t>PLA NR 17Kg 1700mm (EP-060070AKOL)</t>
  </si>
  <si>
    <t>PLA DR gelagerd 1700mm Beissbarth (EP-070044_KOL)</t>
  </si>
  <si>
    <t>PLA NR 1700mm Beissbarth (EP-070045_KOL)</t>
  </si>
  <si>
    <t>PLA DR 22 (3PLA-KDR-0022)</t>
  </si>
  <si>
    <t>PLA NR US (3PLA-KNR-0020)</t>
  </si>
  <si>
    <t>PLA SR (3PLA-KSR-0000)</t>
  </si>
  <si>
    <t>PLA SR FR (EP-090330_KOL)</t>
  </si>
  <si>
    <t>PLA SR AL UK (EP-120143_KOL)</t>
  </si>
  <si>
    <t>PLA DR gelagerd 14,2Kg (EP-130055_KOL)</t>
  </si>
  <si>
    <t>PLA SR AL (EP-130110_KOL)</t>
  </si>
  <si>
    <t>PLA SR FR 14.2kg 1700mm ( EP-090330_02KOL)</t>
  </si>
  <si>
    <t>PLA DR gelagerd 1850mm UTAC (EP-150461_01KOL)</t>
  </si>
  <si>
    <t xml:space="preserve">kristien zegt </t>
  </si>
  <si>
    <t>geen folie onderaan afdoen</t>
  </si>
  <si>
    <t xml:space="preserve"> Krachtterm</t>
  </si>
  <si>
    <t>Extra infokrachtterm</t>
  </si>
  <si>
    <t>10m wand Volvo</t>
  </si>
  <si>
    <t>EP-170285_01DAS/</t>
  </si>
  <si>
    <t>CANDIS kastje torque controle</t>
  </si>
  <si>
    <t>EP-030548C00DIS/</t>
  </si>
  <si>
    <t>ECE LED module Unical L/R</t>
  </si>
  <si>
    <t>EP-160613_01CAL/</t>
  </si>
  <si>
    <t>ECE lamp module Unical L/R</t>
  </si>
  <si>
    <t>EP-160612_01CAL/</t>
  </si>
  <si>
    <t>ECE lamp module Unical RevA</t>
  </si>
  <si>
    <t>EP-070007A00CAL/</t>
  </si>
  <si>
    <t>Gewichtskaliber VAM</t>
  </si>
  <si>
    <t>EP-020666_00VAM/</t>
  </si>
  <si>
    <t>High beam module UNICAL</t>
  </si>
  <si>
    <t>EP-060364_00CAL/</t>
  </si>
  <si>
    <t>Kalibratieframe FAS</t>
  </si>
  <si>
    <t>EP-150273A01CAL/</t>
  </si>
  <si>
    <t>Kalibratietarget FAS</t>
  </si>
  <si>
    <t>EP-150312_01CAL/</t>
  </si>
  <si>
    <t>LDW Backlight (zonder film)</t>
  </si>
  <si>
    <t>EP-120287_00ACC/</t>
  </si>
  <si>
    <t>LM 1060 (ACS200-12Cel)</t>
  </si>
  <si>
    <t>EP-030213H00OPT/</t>
  </si>
  <si>
    <t>LM1060 (ACS200)</t>
  </si>
  <si>
    <t>EP-030213G00OPT/</t>
  </si>
  <si>
    <t>LM1060 (ACS200) - RAL3000 Rood</t>
  </si>
  <si>
    <t>EP-030213G01OPT/</t>
  </si>
  <si>
    <t>LM35</t>
  </si>
  <si>
    <t>EP-160142_01OPT/</t>
  </si>
  <si>
    <t>EP-160143A01OPT/</t>
  </si>
  <si>
    <t>EP-160547_01OPT/</t>
  </si>
  <si>
    <t>EP-160142A01OPT/</t>
  </si>
  <si>
    <t>EP-160144A01OPT/</t>
  </si>
  <si>
    <t>EP-110234_00OPT/</t>
  </si>
  <si>
    <t>LM6 Inkijkspiegel Rev A</t>
  </si>
  <si>
    <t>EP-060044A00OPT/</t>
  </si>
  <si>
    <t>EP-020597A00OPT/</t>
  </si>
  <si>
    <t>EP-020599A00OPT/</t>
  </si>
  <si>
    <t>LVC1060 'Rechtse versie' (ACS200)</t>
  </si>
  <si>
    <t>EP-120242A00OPT/</t>
  </si>
  <si>
    <t>LVC1060 (ACS200)</t>
  </si>
  <si>
    <t>EP-051018E00OPT/</t>
  </si>
  <si>
    <t>LVC1060 (ACS200-12Cel)</t>
  </si>
  <si>
    <t>EP-051018F00OPT/</t>
  </si>
  <si>
    <t>LVC1060 Rechtse Versie (ACS200-12Cellen)</t>
  </si>
  <si>
    <t>EP-120242B00OPT/</t>
  </si>
  <si>
    <t>LVCC ACC Rechtse versie 12 cellen</t>
  </si>
  <si>
    <t>EP-130316A00OPT/</t>
  </si>
  <si>
    <t>LVCC APS TM (Z-motorextensie)</t>
  </si>
  <si>
    <t>EP-120103C00KOL/</t>
  </si>
  <si>
    <t>LVCC APS TM rechts (Z-motorextensie)</t>
  </si>
  <si>
    <t>EP-140086B00KOL/</t>
  </si>
  <si>
    <t>LVCC IPC APS TM</t>
  </si>
  <si>
    <t>EP-120107_00KOL/</t>
  </si>
  <si>
    <t>Laser spoorbank 4 regelschroeven</t>
  </si>
  <si>
    <t>EP-130046_00CAL/</t>
  </si>
  <si>
    <t>Lasermodule Unical L/R</t>
  </si>
  <si>
    <t>EP-160610_01CAL/</t>
  </si>
  <si>
    <t>Lijnlaser 10mW PLA</t>
  </si>
  <si>
    <t>EP-030587_00LAS/</t>
  </si>
  <si>
    <t>Lijnlaser 10mW SAR</t>
  </si>
  <si>
    <t>EP-020296_00LAS/</t>
  </si>
  <si>
    <t>Lijnlasermodule LM35</t>
  </si>
  <si>
    <t>EP-150486_01LAS/</t>
  </si>
  <si>
    <t>Lijnlasermodule LM35 Rev A</t>
  </si>
  <si>
    <t>EP-150486A01LAS/</t>
  </si>
  <si>
    <t>Lijnlasermodule LM35 Rev A (batt/bu)</t>
  </si>
  <si>
    <t>Lijnlasermodule LM35 Rev.A Continue</t>
  </si>
  <si>
    <t>Matrix LED module unical</t>
  </si>
  <si>
    <t>EP-180010_01CAL/</t>
  </si>
  <si>
    <t>Mobiele 10m wand LET</t>
  </si>
  <si>
    <t>EP-180166_01DAS/</t>
  </si>
  <si>
    <t>Optisch blok LM1060 ACS RAL3000 Rood</t>
  </si>
  <si>
    <t>PROJ-IDE110008-LM1060 ACS-ROOD</t>
  </si>
  <si>
    <t>Optisch blok LM35</t>
  </si>
  <si>
    <t>PLA DR 14,2Kg 1700mm UPD1</t>
  </si>
  <si>
    <t>EP-020255B01KOL/</t>
  </si>
  <si>
    <t>PLA DR 1700mm UPD1</t>
  </si>
  <si>
    <t>EP-020255B00KOL/</t>
  </si>
  <si>
    <t>PLA DR AL gelagerd 1700mm</t>
  </si>
  <si>
    <t>EP-170416_01KOL/</t>
  </si>
  <si>
    <t>PLA DR Hella 14,2kg 1700mm UPD1</t>
  </si>
  <si>
    <t>EP-050166_01KOL/</t>
  </si>
  <si>
    <t>PLA DR Hella 1700mm UPD1</t>
  </si>
  <si>
    <t>EP-050166B00KOL/</t>
  </si>
  <si>
    <t>PLA DR gelagerd 14,2 Kg. UPD1</t>
  </si>
  <si>
    <t>EP-130055A00KOL/</t>
  </si>
  <si>
    <t>PLA DR gelagerd 1700mm Beissbarth UPD1</t>
  </si>
  <si>
    <t>EP-070044A00KOL/</t>
  </si>
  <si>
    <t>PLA DR gelagerd 1700mm UPD1</t>
  </si>
  <si>
    <t>EP-051027B00KOL/</t>
  </si>
  <si>
    <t>PLA NR 14.2Kg. 1700mm UPD1</t>
  </si>
  <si>
    <t>EP-030292B01KOL/</t>
  </si>
  <si>
    <t>EP-030292A00KOL/</t>
  </si>
  <si>
    <t>PLA SR 14,2Kg 1700mm UPD1</t>
  </si>
  <si>
    <t>EP-130110A01KOL/</t>
  </si>
  <si>
    <t>PLA SR AL 1700mm</t>
  </si>
  <si>
    <t>EP-130110_00KOL/</t>
  </si>
  <si>
    <t>PLA SR FR 14,2Kg 1700mm UPD1</t>
  </si>
  <si>
    <t>EP-090330A02KOL/</t>
  </si>
  <si>
    <t>PLM - SAM 1050 versneld</t>
  </si>
  <si>
    <t>EP-040187B00KOL/</t>
  </si>
  <si>
    <t>PLM Shenzhen versneld</t>
  </si>
  <si>
    <t>EP-060027A00KOL/</t>
  </si>
  <si>
    <t>PLM TM rechts</t>
  </si>
  <si>
    <t>EP-120216_00KOL/</t>
  </si>
  <si>
    <t>PLM TM versneld Rev. B</t>
  </si>
  <si>
    <t>EP-080150B00KOL/</t>
  </si>
  <si>
    <t>Pair tools 350 TR met riem</t>
  </si>
  <si>
    <t>EP-VK-SDR-PAIR-350</t>
  </si>
  <si>
    <t>Rails AL version , length 5m</t>
  </si>
  <si>
    <t>EP-VK-RAIL-SINGLE UK 5M</t>
  </si>
  <si>
    <t>Referentie unical vast</t>
  </si>
  <si>
    <t>EP-150086_01CAL/</t>
  </si>
  <si>
    <t>SAR inspectie 35</t>
  </si>
  <si>
    <t>EP-020357C00KOL/</t>
  </si>
  <si>
    <t>SAR sleepketting (pltw)</t>
  </si>
  <si>
    <t>EP-050183B00KOL/</t>
  </si>
  <si>
    <t>SAR standaard (pltw)</t>
  </si>
  <si>
    <t>EP-020340A00KOL/</t>
  </si>
  <si>
    <t>Single rail 2.5m</t>
  </si>
  <si>
    <t>EP-VK-RAIL-SINGLE-2.5M</t>
  </si>
  <si>
    <t>Single rail 5m</t>
  </si>
  <si>
    <t>EP-VK-RAIL-SINGLE-5M</t>
  </si>
  <si>
    <t>Single tool RACAM rev A</t>
  </si>
  <si>
    <t>EP-VK-SDR-SINGLE-RACAM-REVA</t>
  </si>
  <si>
    <t>Single tool U/D 320 TR</t>
  </si>
  <si>
    <t>EP-VK-SDR-SINGLE-320</t>
  </si>
  <si>
    <t>Single tool U/D 350 TR</t>
  </si>
  <si>
    <t>EP-VK-SDR-SINGLE-350</t>
  </si>
  <si>
    <t>Spiegelmodule Unical L/R</t>
  </si>
  <si>
    <t>EP-160611_01CAL/</t>
  </si>
  <si>
    <t>Twee single tools 350TR met riem</t>
  </si>
  <si>
    <t>EP-VK-SDR-SINGLE-350-RIEM</t>
  </si>
  <si>
    <t>Unical L/R</t>
  </si>
  <si>
    <t>EP-160606_01CAL/</t>
  </si>
  <si>
    <t>VAM - Installatie versie 2</t>
  </si>
  <si>
    <t>EP-020056_00VAM/</t>
  </si>
  <si>
    <t>020255B00</t>
  </si>
  <si>
    <t>L:\Letdata\data\02\0255B00\D5\020255B00-D5N01_.docx</t>
  </si>
  <si>
    <t>020255B01</t>
  </si>
  <si>
    <t>L:\Letdata\data\02\0255B01\D5\020255B01-D5N01_.docx</t>
  </si>
  <si>
    <t>PLA NR 1700mm UPD1</t>
  </si>
  <si>
    <t>030292B00</t>
  </si>
  <si>
    <t>L:\Letdata\data\03\0292B00\D5\030292B00-D5N01_.docx</t>
  </si>
  <si>
    <t>030292B01</t>
  </si>
  <si>
    <t>L:\Letdata\data\03\0292B01\D5\030292B01-D5N01_.docx</t>
  </si>
  <si>
    <t>050166B00</t>
  </si>
  <si>
    <t>051027B00</t>
  </si>
  <si>
    <t>L:\Letdata\data\05\1027B00\D5\051027B00-D5N01_.docx</t>
  </si>
  <si>
    <t>060019B00</t>
  </si>
  <si>
    <t>L:\Letdata\data\06\0019B00\D5\060019B00-D5N01_.docx</t>
  </si>
  <si>
    <t>070044A00</t>
  </si>
  <si>
    <t>L:\Letdata\data\07\0044A00\D5\070044A00-D5N01_.docx</t>
  </si>
  <si>
    <t>070044A01</t>
  </si>
  <si>
    <t>L:\Letdata\data\07\0044A01\D5\070044A01-D5N01_.docx</t>
  </si>
  <si>
    <t>PLA SR FR 14,2Kg 1850mm UPD1</t>
  </si>
  <si>
    <t>090330A01</t>
  </si>
  <si>
    <t>L:\Letdata\data\09\0330A01\D5\090330A01-D5N01_.docx</t>
  </si>
  <si>
    <t>090330A02</t>
  </si>
  <si>
    <t>L:\Letdata\data\09\0330A02\D5\090330A02-D5N01_.docx</t>
  </si>
  <si>
    <t>130055A00</t>
  </si>
  <si>
    <t>L:\Letdata\data\13\0055A00\D5\130055A00-D5N01_.docx</t>
  </si>
  <si>
    <t>PLA SR AL 1700mm UPD1</t>
  </si>
  <si>
    <t>130110A00</t>
  </si>
  <si>
    <t>L:\Letdata\data\13\0110A00\D5\130110A00-D5N01_.docx</t>
  </si>
  <si>
    <t>130110A01</t>
  </si>
  <si>
    <t>L:\Letdata\data\13\0110A01\D5\130110A01-D5N01_.docx</t>
  </si>
  <si>
    <t>150461A01</t>
  </si>
  <si>
    <t>L:\Letdata\data\15\0461A01\D5\150461A01-D5N01_.docx</t>
  </si>
  <si>
    <t>3D van een Zerolevel gemonteerd</t>
  </si>
  <si>
    <t>L:\Letdata\data\10\0335_00\T3\T03100335N09_.lnk</t>
  </si>
  <si>
    <t>Object Prefix</t>
  </si>
  <si>
    <t>Object nr</t>
  </si>
  <si>
    <t>Omschrijving object</t>
  </si>
  <si>
    <t>PLA NR 14,2 Kg 1700mm UPD1</t>
  </si>
  <si>
    <t>050167_00</t>
  </si>
  <si>
    <t>050959_00</t>
  </si>
  <si>
    <t>050970_00</t>
  </si>
  <si>
    <t>PLA DR gelagerd 17Kg 1700mm UPD1</t>
  </si>
  <si>
    <t>PLA DR gelagerd 14,2Kg 1700mm Beissbarth UPD1</t>
  </si>
  <si>
    <t>PLA SR FR 14,2Kg  1700mm UPD1</t>
  </si>
  <si>
    <t>PLA DR gelagerd 14,2Kg UPD1</t>
  </si>
  <si>
    <t>PLA DR gelagerd 14,2Kg 1850mm  UPD1</t>
  </si>
  <si>
    <t>050166_01</t>
  </si>
  <si>
    <t>170416a01</t>
  </si>
  <si>
    <t>170417a01</t>
  </si>
  <si>
    <t>wiel a</t>
  </si>
  <si>
    <t>staalkabellengte</t>
  </si>
  <si>
    <t>gewicht</t>
  </si>
  <si>
    <t>BS/SBS</t>
  </si>
  <si>
    <t>32-34</t>
  </si>
  <si>
    <t>BS/BSS</t>
  </si>
  <si>
    <t>L:\Letdata\data\17\0417A01\D5\170417A01-D5N01_.docx</t>
  </si>
  <si>
    <t>L:\Letdata\data\17\0416A01\D5\170416A01-D5N01_.docx</t>
  </si>
  <si>
    <t>L:\Letdata\data\05\0166B00\D5\050166B00-D5N01A.docx</t>
  </si>
  <si>
    <t>wiel b</t>
  </si>
  <si>
    <t>wiel c</t>
  </si>
  <si>
    <t>thieryvloot</t>
  </si>
  <si>
    <t>050134</t>
  </si>
  <si>
    <t>050132</t>
  </si>
  <si>
    <t>050133</t>
  </si>
  <si>
    <t>050136</t>
  </si>
  <si>
    <t>050135</t>
  </si>
  <si>
    <t>030064</t>
  </si>
  <si>
    <t>030069</t>
  </si>
  <si>
    <t>030070</t>
  </si>
  <si>
    <t>020236</t>
  </si>
  <si>
    <t>020306</t>
  </si>
  <si>
    <t>⟞</t>
  </si>
  <si>
    <t>╤</t>
  </si>
  <si>
    <t>rubberwiel</t>
  </si>
  <si>
    <t>pla dr</t>
  </si>
  <si>
    <t>hella</t>
  </si>
  <si>
    <t>sar</t>
  </si>
  <si>
    <t>3100</t>
  </si>
  <si>
    <t>2918</t>
  </si>
  <si>
    <t>2755</t>
  </si>
  <si>
    <t>3370</t>
  </si>
  <si>
    <t>12</t>
  </si>
  <si>
    <t>14,2</t>
  </si>
  <si>
    <t>newton</t>
  </si>
  <si>
    <t>18-20</t>
  </si>
  <si>
    <t>23-25</t>
  </si>
  <si>
    <t>stops</t>
  </si>
  <si>
    <t>17</t>
  </si>
  <si>
    <t>kolom</t>
  </si>
  <si>
    <t>SB/SSB</t>
  </si>
  <si>
    <t>geschikt voor</t>
  </si>
  <si>
    <t>pla 5dr</t>
  </si>
  <si>
    <t>pla 35dr</t>
  </si>
  <si>
    <t>pla 5 nr</t>
  </si>
  <si>
    <t>pla 35 nr</t>
  </si>
  <si>
    <t>pla 35 dr hella</t>
  </si>
  <si>
    <t>pla 5 dr</t>
  </si>
  <si>
    <t>pla 1050 dr</t>
  </si>
  <si>
    <t>pla 35 dr</t>
  </si>
  <si>
    <t>pla 35 fr</t>
  </si>
  <si>
    <t>pla 35 /25,1</t>
  </si>
  <si>
    <t>pla 5 sr</t>
  </si>
  <si>
    <t>pla 35 sr</t>
  </si>
  <si>
    <t>type</t>
  </si>
  <si>
    <t>wielenset</t>
  </si>
  <si>
    <t>Type</t>
  </si>
  <si>
    <t>PV</t>
  </si>
  <si>
    <t>kleur</t>
  </si>
  <si>
    <t>bdp 25,1</t>
  </si>
  <si>
    <t>bdp 35</t>
  </si>
  <si>
    <t>batt kabeltype</t>
  </si>
  <si>
    <t>voeding</t>
  </si>
  <si>
    <t>zijblindplaat</t>
  </si>
  <si>
    <t>batt positie</t>
  </si>
  <si>
    <t>schermplaat</t>
  </si>
  <si>
    <t>laser</t>
  </si>
  <si>
    <t>hdmi</t>
  </si>
  <si>
    <t>connectorplaat</t>
  </si>
  <si>
    <t>lensfront</t>
  </si>
  <si>
    <t>oranje</t>
  </si>
  <si>
    <t>150487A01OPT</t>
  </si>
  <si>
    <t>LANG</t>
  </si>
  <si>
    <t>12V /60 W</t>
  </si>
  <si>
    <t>plat</t>
  </si>
  <si>
    <t>040186B00</t>
  </si>
  <si>
    <t>150491A02</t>
  </si>
  <si>
    <t>rood</t>
  </si>
  <si>
    <t>150487A02OPT</t>
  </si>
  <si>
    <t>150491A05</t>
  </si>
  <si>
    <t>170057_01</t>
  </si>
  <si>
    <t>170058_01</t>
  </si>
  <si>
    <t>KORT</t>
  </si>
  <si>
    <t>150491A03</t>
  </si>
  <si>
    <t>magneet</t>
  </si>
  <si>
    <t>recht</t>
  </si>
  <si>
    <t>170037_01</t>
  </si>
  <si>
    <t>150491_06</t>
  </si>
  <si>
    <t>HF-060037A00ACC Aansluitkabelset LVC1050 Shenzhen</t>
  </si>
  <si>
    <t>HF-060035B01ACC Voedingskast LVC1050 Shenzhen 10A</t>
  </si>
  <si>
    <t>EP-180246_01KOL/ PLM Shenzhen versneld rechts</t>
  </si>
  <si>
    <t>EP-120242B00OPT/ LVC1060 Rechtse Versie (ACS200-12Cellen)</t>
  </si>
  <si>
    <t>SAM LVC 1050 Shenzhen rechts</t>
  </si>
  <si>
    <t>EP-060027A00KOL/ PLM Shenzhen versneld</t>
  </si>
  <si>
    <t>SAM LVC 1050 Shenzhen</t>
  </si>
  <si>
    <t>HFKAB-050209A00KOL Spiraalkabel SAM1050</t>
  </si>
  <si>
    <t>DRFR-080021_00KOL Tussenplaat optisch blok Thailand</t>
  </si>
  <si>
    <t>HF-050205A01ACC Voedingskast SAM1050 10A</t>
  </si>
  <si>
    <t>EP-040187B00KOL/ PLM - SAM 1050 versneld</t>
  </si>
  <si>
    <t>EP-030213H00OPT/ LM 1060 (ACS200-12Cel)</t>
  </si>
  <si>
    <t>SAM 1050 Thailand</t>
  </si>
  <si>
    <t>EP-030213G01OPT/ LM1060 (ACS200) - RAL3000 Rood</t>
  </si>
  <si>
    <t>SAM 1050 Snapon Thailand</t>
  </si>
  <si>
    <t>SAM 1050 Snapon</t>
  </si>
  <si>
    <t>SAM 1050 Shenzhen inspectie</t>
  </si>
  <si>
    <t>SAM 1050</t>
  </si>
  <si>
    <t>kabel</t>
  </si>
  <si>
    <t>tussenplaat</t>
  </si>
  <si>
    <t xml:space="preserve">voedingskast </t>
  </si>
  <si>
    <t>optisch blok</t>
  </si>
  <si>
    <t>020357c00</t>
  </si>
  <si>
    <t>020357b00</t>
  </si>
  <si>
    <t>120103C00</t>
  </si>
  <si>
    <t>120216_00</t>
  </si>
  <si>
    <t>140086B00</t>
  </si>
  <si>
    <t>FM</t>
  </si>
  <si>
    <t>TM</t>
  </si>
  <si>
    <t>SAR inspectie 1050 (pltw)</t>
  </si>
  <si>
    <t>PLM TM versneld rev B</t>
  </si>
  <si>
    <t>L:\Letdata\data\14\0086B00\D5\140086B00-D5N01_.docx</t>
  </si>
  <si>
    <t>L:\Letdata\data\12\0103C00\D5\120103C00-D5N01_.docx</t>
  </si>
  <si>
    <t>L:\Letdata\data\12\0216_00\D5\120216_00-D5N01A.docx</t>
  </si>
  <si>
    <t>L:\Letdata\data\08\0150B00\D5\D05080150N02_.lnk</t>
  </si>
  <si>
    <t>L:\Letdata\data\02\0357B00\D5\D05020357N03_.lnk</t>
  </si>
  <si>
    <t>L:\Letdata\data\02\0357C00\D5\020357C00-D5N01_.doc</t>
  </si>
  <si>
    <t>040187b00</t>
  </si>
  <si>
    <t>060027a00</t>
  </si>
  <si>
    <t>180246_01</t>
  </si>
  <si>
    <t>PLM Shenzhen versneld rechts</t>
  </si>
  <si>
    <t>L:\Letdata\data\06\0027A00\D5\060027A00-D5N02A.docx</t>
  </si>
  <si>
    <t>L:\Letdata\data\04\0187B00\D5\D05040187N03_.lnk</t>
  </si>
  <si>
    <t>TM-PLM</t>
  </si>
  <si>
    <t>FM-PLA</t>
  </si>
  <si>
    <t>potmeter</t>
  </si>
  <si>
    <t>020356a00</t>
  </si>
  <si>
    <t>170030_01</t>
  </si>
  <si>
    <t>080357</t>
  </si>
  <si>
    <t>040165</t>
  </si>
  <si>
    <t>LVCC IPC MAN FM (met lijnlaser)</t>
  </si>
  <si>
    <t>LVCC IPC MAN TM (pltw)</t>
  </si>
  <si>
    <t>.</t>
  </si>
  <si>
    <t>L:\Letdata\data\05\0183B00\D5\D05050183N03_.lnk</t>
  </si>
  <si>
    <t>..</t>
  </si>
  <si>
    <t>050183B00</t>
  </si>
  <si>
    <t>020340A00</t>
  </si>
  <si>
    <t>L:\Letdata\data\02\0340A00\D5\D05020340N02_.lnk</t>
  </si>
  <si>
    <t>FM-SAR=voetpedaal</t>
  </si>
  <si>
    <t>FM-PLM-SAM =GEEL WAGENTJE</t>
  </si>
  <si>
    <t>leidwiel</t>
  </si>
  <si>
    <t>aandrijf</t>
  </si>
  <si>
    <t>encoder</t>
  </si>
  <si>
    <t>040168</t>
  </si>
  <si>
    <t>040164</t>
  </si>
  <si>
    <t>020228a</t>
  </si>
  <si>
    <t>020236a</t>
  </si>
  <si>
    <t>110162a</t>
  </si>
  <si>
    <t>2van1330</t>
  </si>
  <si>
    <t>140203a00</t>
  </si>
  <si>
    <t>L:\Letdata\data\14\0032_00\D5\140032_00-D5N02_.docx</t>
  </si>
  <si>
    <t>140032_00</t>
  </si>
  <si>
    <t>L:\Letdata\data\14\0203A00\D5\140203A00-D5E01_.docx</t>
  </si>
  <si>
    <t>PLC APS TM</t>
  </si>
  <si>
    <t>150007A01</t>
  </si>
  <si>
    <t>L:\Letdata\data\15\0007A01\D5\150007A01-D5N01_.docx</t>
  </si>
  <si>
    <t>rolwagen</t>
  </si>
  <si>
    <t>020337a00</t>
  </si>
  <si>
    <t>020338a00</t>
  </si>
  <si>
    <t>150008_01</t>
  </si>
  <si>
    <t>030239a</t>
  </si>
  <si>
    <t>080148_00</t>
  </si>
  <si>
    <t>090000_00</t>
  </si>
  <si>
    <t>120206_00</t>
  </si>
  <si>
    <t>120219_00</t>
  </si>
  <si>
    <t>030021a00</t>
  </si>
  <si>
    <t>020073a</t>
  </si>
  <si>
    <t>140088a00</t>
  </si>
  <si>
    <t>140006_00</t>
  </si>
  <si>
    <t>140023_00</t>
  </si>
  <si>
    <t>040162b00</t>
  </si>
  <si>
    <t>040220_00</t>
  </si>
  <si>
    <t>060025a00</t>
  </si>
  <si>
    <t>180253_01</t>
  </si>
  <si>
    <t>glijwaglagers</t>
  </si>
  <si>
    <t>KOG-OJUM-06-16</t>
  </si>
  <si>
    <t>KOG-LUNF16/2LS</t>
  </si>
  <si>
    <t>sam  epvk ding</t>
  </si>
  <si>
    <t>EP-051018E00OPT/ LVC1060 (ACS200)</t>
  </si>
  <si>
    <t>sam is een geel wagentje met een kolom op met motor sturing omhoog en omlaag</t>
  </si>
  <si>
    <t>030626c00</t>
  </si>
  <si>
    <t>120107a</t>
  </si>
  <si>
    <t>120107b</t>
  </si>
  <si>
    <t>020009c00</t>
  </si>
  <si>
    <t>020009d00</t>
  </si>
  <si>
    <t>060160a</t>
  </si>
  <si>
    <t>080371_00</t>
  </si>
  <si>
    <t>120109_00</t>
  </si>
  <si>
    <t>100247_00</t>
  </si>
  <si>
    <t>080005</t>
  </si>
  <si>
    <t>spindel</t>
  </si>
  <si>
    <t>050072_00</t>
  </si>
  <si>
    <t>080322_00</t>
  </si>
  <si>
    <t>080150B00</t>
  </si>
  <si>
    <t>PLM-SAM 1050 versneld</t>
  </si>
  <si>
    <t>L:\Letdata\data\18\0246_01\D5\180246_01-D5N01_.docx</t>
  </si>
  <si>
    <t>170399_01</t>
  </si>
  <si>
    <t>controlbox</t>
  </si>
  <si>
    <t>180261</t>
  </si>
  <si>
    <t>060031</t>
  </si>
  <si>
    <t>barrylabel</t>
  </si>
  <si>
    <t>nvt</t>
  </si>
  <si>
    <t>080273_</t>
  </si>
  <si>
    <t>130173a01</t>
  </si>
  <si>
    <t>computer</t>
  </si>
  <si>
    <t>2van1550</t>
  </si>
  <si>
    <t>150485a01</t>
  </si>
  <si>
    <t>020362_00</t>
  </si>
  <si>
    <t>060304A00</t>
  </si>
  <si>
    <t>sar 35 goca</t>
  </si>
  <si>
    <t>sar 50.2/50.3</t>
  </si>
  <si>
    <t>sleepketting</t>
  </si>
  <si>
    <t>050154a00</t>
  </si>
  <si>
    <t>ZL-020631a</t>
  </si>
  <si>
    <t>Sjabloon</t>
  </si>
  <si>
    <t>Status</t>
  </si>
  <si>
    <t>Object suffix</t>
  </si>
  <si>
    <t>vrijgegeven</t>
  </si>
  <si>
    <t>HF</t>
  </si>
  <si>
    <t>020298_00</t>
  </si>
  <si>
    <t>KOL</t>
  </si>
  <si>
    <t>Dubbel handvat mechanisch rev A</t>
  </si>
  <si>
    <t>030272_00</t>
  </si>
  <si>
    <t>ACC</t>
  </si>
  <si>
    <t>Laserhandvat enkelvoudige bed.</t>
  </si>
  <si>
    <t>050679_00</t>
  </si>
  <si>
    <t>laserhandvat dubbele bediening</t>
  </si>
  <si>
    <t>050856_00</t>
  </si>
  <si>
    <t>Laserhandvat enkele lijnlaser</t>
  </si>
  <si>
    <t>120177_00</t>
  </si>
  <si>
    <t>Laserhandvat L/R rotatie</t>
  </si>
  <si>
    <t>130257_00</t>
  </si>
  <si>
    <t>Laserhandvat L/R rotatie 3 knoppen</t>
  </si>
  <si>
    <t>160149_01</t>
  </si>
  <si>
    <t>Laserhandvat PLA lijnlasermodule LM35</t>
  </si>
  <si>
    <t>160548_01</t>
  </si>
  <si>
    <t>Laserhandvat SAR lijnlasermodule LM35</t>
  </si>
  <si>
    <t>020296_00</t>
  </si>
  <si>
    <t>LAS/</t>
  </si>
  <si>
    <t>Enkele lijnlaser 10mW SAR</t>
  </si>
  <si>
    <t>060113_00</t>
  </si>
  <si>
    <t>Enkele lijnlaser 15mW SAR</t>
  </si>
  <si>
    <t>140203A00</t>
  </si>
  <si>
    <t>KOL/</t>
  </si>
  <si>
    <t>150486A01</t>
  </si>
  <si>
    <t>Lijnlasermodule LM35 RevA</t>
  </si>
  <si>
    <t>Lijnlasermodule LM35 RevA Continue</t>
  </si>
  <si>
    <t>Lijnlasermodule LM35 RevA SAN</t>
  </si>
  <si>
    <t>Lijnlasermodule LM35 RevA (Continue - Storing LCD)</t>
  </si>
  <si>
    <t>hendelhandvat</t>
  </si>
  <si>
    <t>lijnlaser</t>
  </si>
  <si>
    <t>LM35 LAN</t>
  </si>
  <si>
    <t>180430_01</t>
  </si>
  <si>
    <t>hoogtesticker</t>
  </si>
  <si>
    <t>LM6 AL inkijkspiegel</t>
  </si>
  <si>
    <t>040005a00</t>
  </si>
  <si>
    <t>LVCC IPC APS TM (Z-motorextensie)</t>
  </si>
  <si>
    <t>120107c</t>
  </si>
  <si>
    <t>??</t>
  </si>
  <si>
    <t>onderliggende kolom</t>
  </si>
  <si>
    <t>030014c00</t>
  </si>
  <si>
    <t>is zelf al kolom</t>
  </si>
  <si>
    <t>140021_00</t>
  </si>
  <si>
    <t>020009d</t>
  </si>
  <si>
    <t>020105b00</t>
  </si>
  <si>
    <t>0300148b00</t>
  </si>
  <si>
    <t>060028a00</t>
  </si>
  <si>
    <t>040262a00</t>
  </si>
  <si>
    <t>080151a00</t>
  </si>
  <si>
    <t>100241a00</t>
  </si>
  <si>
    <t>120110a00</t>
  </si>
  <si>
    <t>120152a00</t>
  </si>
  <si>
    <t>120151_00</t>
  </si>
  <si>
    <t>120221_00</t>
  </si>
  <si>
    <t>130261_00</t>
  </si>
  <si>
    <t>130252_00</t>
  </si>
  <si>
    <t>140063_00</t>
  </si>
  <si>
    <t>140062_00</t>
  </si>
  <si>
    <t>180252_01</t>
  </si>
  <si>
    <t>LM 1060 (ACS200-12CEL)</t>
  </si>
  <si>
    <t>LM1050 GOCA REV.A</t>
  </si>
  <si>
    <t>EP-030041A00OPT/</t>
  </si>
  <si>
    <t>LM1060 (ACS200) - RAL3000 ROOD</t>
  </si>
  <si>
    <t>EP-030213G01OPT</t>
  </si>
  <si>
    <t>LVC C</t>
  </si>
  <si>
    <t>EP-090222_00OPT/</t>
  </si>
  <si>
    <t>LVC1050 Batterij</t>
  </si>
  <si>
    <t>EP-060020_00OPT/</t>
  </si>
  <si>
    <t>LVC1050 Rev.C</t>
  </si>
  <si>
    <t>EP-051018D00OPT/</t>
  </si>
  <si>
    <t>LVC1060 (ACS200-12CEL)</t>
  </si>
  <si>
    <t>LVC1060 ACC (65MM) (ACS200)</t>
  </si>
  <si>
    <t>EP-080339C00OPT/</t>
  </si>
  <si>
    <t>LVC1060 'RECHTSE VERSIE' (ACS200)</t>
  </si>
  <si>
    <t>LVC1060 RECHTSE VERSIE (ACS200-12CELLEN)</t>
  </si>
  <si>
    <t>LVCC</t>
  </si>
  <si>
    <t>EP-090222_OPT/</t>
  </si>
  <si>
    <t>LVCC ACC (65mm)</t>
  </si>
  <si>
    <t>EP-090229A00OPT/</t>
  </si>
  <si>
    <t>LVCC ACC RECHTSE VERSIE 12 CELLEN</t>
  </si>
  <si>
    <t>LVCC B/W</t>
  </si>
  <si>
    <t>EP-140240_00OPT/</t>
  </si>
  <si>
    <t xml:space="preserve"> LVC1060 ACC (65mm) (ACS200-12Cellen)</t>
  </si>
  <si>
    <t>EP-080339E00OPT/</t>
  </si>
  <si>
    <t>080117A00</t>
  </si>
  <si>
    <t>Lensfront LM50 ACC (12cellen)</t>
  </si>
  <si>
    <t>L:\Letdata\data\08\0117A00\D5\080117A00-D5N02_.docx</t>
  </si>
  <si>
    <t>nieuw sinds8okt2018</t>
  </si>
  <si>
    <t>groen antireflectie ACC</t>
  </si>
  <si>
    <t>fische</t>
  </si>
  <si>
    <t>JST</t>
  </si>
  <si>
    <t>meestal wel  bij FR LM35 geen bol</t>
  </si>
  <si>
    <t>richtlaser</t>
  </si>
  <si>
    <t>040409</t>
  </si>
  <si>
    <t>zie msoft nog</t>
  </si>
  <si>
    <t>meestal  niet ,  bij FR LM35 wel 090303_01</t>
  </si>
  <si>
    <t>13+14cel
BPX65</t>
  </si>
  <si>
    <t>ACC led in optisch blok 
vanuit scherm
dwars door
 fresnel</t>
  </si>
  <si>
    <t>richtlaser
 is achter 
de zwarte
 bol</t>
  </si>
  <si>
    <t>L:\Letdata\data\04\0382_02\D5\040382_02-D5N01B.docx</t>
  </si>
  <si>
    <t>L:\Letdata\data\08\0117_00\D5\080117_00-D5N01B.docx</t>
  </si>
  <si>
    <t>label clean  lens 
180470</t>
  </si>
  <si>
    <t>PLA</t>
  </si>
  <si>
    <t>SAR</t>
  </si>
  <si>
    <t>m10</t>
  </si>
  <si>
    <t>m12</t>
  </si>
  <si>
    <t>PLA DR D gelagerd 14.2kg UPD1</t>
  </si>
  <si>
    <t>PLA NR D gelagerd 14.2kg UPD1</t>
  </si>
  <si>
    <t>180544_01</t>
  </si>
  <si>
    <t>duitsland</t>
  </si>
  <si>
    <t xml:space="preserve">⅃ </t>
  </si>
  <si>
    <t>PLA DR D gelagerd UPD1</t>
  </si>
  <si>
    <t>PLA NR D AL gelagerd UPD1</t>
  </si>
  <si>
    <t>180542</t>
  </si>
  <si>
    <t>180545</t>
  </si>
  <si>
    <t>180543</t>
  </si>
  <si>
    <t>180546</t>
  </si>
  <si>
    <t>180549_01</t>
  </si>
  <si>
    <t>180548_01</t>
  </si>
  <si>
    <t>voet</t>
  </si>
  <si>
    <t>plain1</t>
  </si>
  <si>
    <t>plai1</t>
  </si>
  <si>
    <t>project</t>
  </si>
  <si>
    <t>pla35dr d</t>
  </si>
  <si>
    <t>pla35nr d</t>
  </si>
  <si>
    <t>pla5dr d</t>
  </si>
  <si>
    <t>pla5nr  d</t>
  </si>
  <si>
    <t>090224</t>
  </si>
  <si>
    <t>180541_01</t>
  </si>
  <si>
    <t>OUD14p</t>
  </si>
  <si>
    <t>ijkplaat</t>
  </si>
  <si>
    <t>Aantal</t>
  </si>
  <si>
    <t>Enh</t>
  </si>
  <si>
    <t>Alternatief Nummer</t>
  </si>
  <si>
    <t>3,00</t>
  </si>
  <si>
    <t>ST</t>
  </si>
  <si>
    <t>DNSCH</t>
  </si>
  <si>
    <t>0965-M03X08-RVS</t>
  </si>
  <si>
    <t>Metaalschroef verz.kop kruis DIN0965 M 3x 08mm A2</t>
  </si>
  <si>
    <t>0DN0965030082</t>
  </si>
  <si>
    <t>1,00</t>
  </si>
  <si>
    <t>DRFR</t>
  </si>
  <si>
    <t>050473_00OPT</t>
  </si>
  <si>
    <t>Glijstuk - 10x10x245 mm</t>
  </si>
  <si>
    <t>3LUM100008570</t>
  </si>
  <si>
    <t>PLTW</t>
  </si>
  <si>
    <t>050474_00OPT</t>
  </si>
  <si>
    <t>Ijkplaat LVCN</t>
  </si>
  <si>
    <t>3LUM100008580</t>
  </si>
  <si>
    <t>ijkplaat compleet</t>
  </si>
  <si>
    <t xml:space="preserve">pla NR D </t>
  </si>
  <si>
    <t>optie gewicht in voet</t>
  </si>
  <si>
    <t>LVC2035</t>
  </si>
  <si>
    <t>180581_01</t>
  </si>
  <si>
    <t>150487B01</t>
  </si>
  <si>
    <t>180547_01</t>
  </si>
  <si>
    <t>LVC2035 - RAL3000 Rood</t>
  </si>
  <si>
    <t>180581_02</t>
  </si>
  <si>
    <t>recht /Liion</t>
  </si>
  <si>
    <t>L:\Letdata\data\16\0142A01\T3\160142A01-T3N01_.sldasm</t>
  </si>
  <si>
    <t>Object nr VROEGER</t>
  </si>
  <si>
    <t>Object nr NU</t>
  </si>
  <si>
    <t>190071_01</t>
  </si>
  <si>
    <t>190072_01</t>
  </si>
  <si>
    <t>190074_01</t>
  </si>
  <si>
    <t>190158_01</t>
  </si>
  <si>
    <t>190159_01</t>
  </si>
  <si>
    <t>190156_01</t>
  </si>
  <si>
    <t>190077_01</t>
  </si>
  <si>
    <t>190160_01</t>
  </si>
  <si>
    <t>190161_01</t>
  </si>
  <si>
    <t>Artikel VROEGER</t>
  </si>
  <si>
    <t>Artikel NU</t>
  </si>
  <si>
    <t>…</t>
  </si>
  <si>
    <t>190097_01</t>
  </si>
  <si>
    <t>EP-190159_01LAS/</t>
  </si>
  <si>
    <t>150486A02</t>
  </si>
  <si>
    <t>150486A03</t>
  </si>
  <si>
    <t>150486A04</t>
  </si>
  <si>
    <t>150487A01</t>
  </si>
  <si>
    <t>150487A02</t>
  </si>
  <si>
    <t>eer</t>
  </si>
  <si>
    <t>LVC1060</t>
  </si>
  <si>
    <t>LVC1060 batterij</t>
  </si>
  <si>
    <t>LVC1060 batterij (ACS200)</t>
  </si>
  <si>
    <t>LVC1060 ZL Batterij (ACS200)</t>
  </si>
  <si>
    <t>LVC1060 ACC (65mm) (ACS200-12cellen)</t>
  </si>
  <si>
    <t>LVCC 12 cellen</t>
  </si>
  <si>
    <t>LVCC ACC (65mm) “tot einde stock”</t>
  </si>
  <si>
    <t>LVCC ACC (65mm) 12cellen</t>
  </si>
  <si>
    <t>LVCC 'Rechtse versie'  !NIET MEER BESTELLEN WIJZIGT NAAR 12 CEL 20-06-2017!</t>
  </si>
  <si>
    <t>LVC1060 Rechtse versie (ACS200)</t>
  </si>
  <si>
    <t>LVCC ACC 'Rechtse versie'</t>
  </si>
  <si>
    <t>LVCC B/W Rechtse versie</t>
  </si>
  <si>
    <t>LVCC B/W 12 cellen</t>
  </si>
  <si>
    <t>LVCC B/W Rechtse versie 12 cellen</t>
  </si>
  <si>
    <t>EP-060020C00OPT/</t>
  </si>
  <si>
    <t>EP-060020D00OPT/</t>
  </si>
  <si>
    <t>EP-060071D00OPT/</t>
  </si>
  <si>
    <t>EP-180581_01OPT/</t>
  </si>
  <si>
    <t>EP-180581_02OPT/</t>
  </si>
  <si>
    <t>EP-090222A00OPT/</t>
  </si>
  <si>
    <t>EP-090229B00OPT/</t>
  </si>
  <si>
    <t>EP-130316_00OPT/</t>
  </si>
  <si>
    <t>EP-180419_01OPT/</t>
  </si>
  <si>
    <t>EP-180352_01OPT/</t>
  </si>
  <si>
    <t>EP-180420_01OPT/</t>
  </si>
  <si>
    <t>EP-120023_00OPT/</t>
  </si>
  <si>
    <t>190014_01</t>
  </si>
  <si>
    <t>LVCC IPC BA MAN FM</t>
  </si>
  <si>
    <t>fm</t>
  </si>
  <si>
    <t>060300a00</t>
  </si>
  <si>
    <t>L:\Letdata\data\19\0014_01\D5\190014_01-D5N01_.docx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</si>
</sst>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u/>
      <sz val="11"/>
      <color theme="10"/>
      <name val="Arial"/>
      <family val="2"/>
    </font>
    <font>
      <sz val="10"/>
      <color theme="1"/>
      <name val="Arial"/>
      <family val="2"/>
    </font>
    <font>
      <sz val="8"/>
      <color rgb="FF000000"/>
      <name val="Arial1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Arial"/>
      <family val="2"/>
    </font>
    <font>
      <u/>
      <sz val="12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9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D89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3E4B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A068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D8E072"/>
        <bgColor indexed="64"/>
      </patternFill>
    </fill>
  </fills>
  <borders count="59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4" fillId="0" borderId="0"/>
    <xf numFmtId="0" fontId="6" fillId="0" borderId="0" applyNumberFormat="0" applyFill="0" applyBorder="0" applyAlignment="0" applyProtection="0"/>
    <xf numFmtId="0" fontId="22" fillId="0" borderId="0"/>
  </cellStyleXfs>
  <cellXfs count="465">
    <xf numFmtId="0" fontId="0" fillId="0" borderId="0" xfId="0"/>
    <xf numFmtId="14" fontId="0" fillId="0" borderId="0" xfId="0" applyNumberFormat="1"/>
    <xf numFmtId="0" fontId="1" fillId="0" borderId="0" xfId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Border="1"/>
    <xf numFmtId="0" fontId="3" fillId="0" borderId="0" xfId="0" applyFont="1" applyBorder="1" applyAlignment="1">
      <alignment horizontal="left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left"/>
    </xf>
    <xf numFmtId="0" fontId="1" fillId="0" borderId="0" xfId="1" applyBorder="1"/>
    <xf numFmtId="16" fontId="0" fillId="0" borderId="0" xfId="0" applyNumberFormat="1" applyBorder="1" applyAlignment="1">
      <alignment horizontal="left"/>
    </xf>
    <xf numFmtId="0" fontId="4" fillId="0" borderId="1" xfId="2" applyBorder="1"/>
    <xf numFmtId="0" fontId="5" fillId="0" borderId="2" xfId="2" applyFont="1" applyBorder="1"/>
    <xf numFmtId="0" fontId="4" fillId="0" borderId="2" xfId="2" applyBorder="1"/>
    <xf numFmtId="0" fontId="4" fillId="0" borderId="3" xfId="2" applyBorder="1"/>
    <xf numFmtId="0" fontId="4" fillId="0" borderId="3" xfId="2" applyFill="1" applyBorder="1"/>
    <xf numFmtId="0" fontId="4" fillId="0" borderId="0" xfId="2" applyBorder="1"/>
    <xf numFmtId="0" fontId="4" fillId="0" borderId="0" xfId="2"/>
    <xf numFmtId="0" fontId="4" fillId="2" borderId="4" xfId="2" applyFill="1" applyBorder="1"/>
    <xf numFmtId="0" fontId="6" fillId="0" borderId="0" xfId="3"/>
    <xf numFmtId="0" fontId="4" fillId="0" borderId="4" xfId="2" applyBorder="1"/>
    <xf numFmtId="0" fontId="5" fillId="0" borderId="5" xfId="2" applyFont="1" applyBorder="1"/>
    <xf numFmtId="0" fontId="4" fillId="0" borderId="5" xfId="2" applyBorder="1"/>
    <xf numFmtId="0" fontId="7" fillId="0" borderId="5" xfId="2" applyFont="1" applyBorder="1"/>
    <xf numFmtId="14" fontId="4" fillId="0" borderId="0" xfId="2" applyNumberFormat="1"/>
    <xf numFmtId="0" fontId="6" fillId="0" borderId="4" xfId="3" applyBorder="1"/>
    <xf numFmtId="0" fontId="4" fillId="3" borderId="5" xfId="2" applyFill="1" applyBorder="1"/>
    <xf numFmtId="0" fontId="4" fillId="0" borderId="6" xfId="2" applyBorder="1"/>
    <xf numFmtId="0" fontId="6" fillId="0" borderId="6" xfId="3" applyBorder="1"/>
    <xf numFmtId="0" fontId="5" fillId="0" borderId="0" xfId="2" applyFont="1"/>
    <xf numFmtId="0" fontId="4" fillId="0" borderId="5" xfId="2" applyFont="1" applyBorder="1"/>
    <xf numFmtId="0" fontId="8" fillId="0" borderId="0" xfId="2" applyFont="1" applyAlignment="1"/>
    <xf numFmtId="0" fontId="8" fillId="0" borderId="0" xfId="2" applyFont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1" applyAlignment="1">
      <alignment horizontal="left"/>
    </xf>
    <xf numFmtId="0" fontId="0" fillId="0" borderId="8" xfId="0" applyBorder="1"/>
    <xf numFmtId="49" fontId="0" fillId="0" borderId="0" xfId="0" applyNumberFormat="1"/>
    <xf numFmtId="0" fontId="9" fillId="0" borderId="0" xfId="0" applyFont="1"/>
    <xf numFmtId="0" fontId="10" fillId="0" borderId="0" xfId="0" applyFont="1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9" fillId="0" borderId="22" xfId="0" applyFont="1" applyBorder="1"/>
    <xf numFmtId="0" fontId="9" fillId="0" borderId="23" xfId="0" applyFont="1" applyBorder="1"/>
    <xf numFmtId="49" fontId="9" fillId="0" borderId="23" xfId="0" applyNumberFormat="1" applyFont="1" applyBorder="1"/>
    <xf numFmtId="49" fontId="9" fillId="0" borderId="23" xfId="0" applyNumberFormat="1" applyFont="1" applyFill="1" applyBorder="1"/>
    <xf numFmtId="49" fontId="9" fillId="0" borderId="22" xfId="0" applyNumberFormat="1" applyFont="1" applyFill="1" applyBorder="1"/>
    <xf numFmtId="0" fontId="9" fillId="0" borderId="25" xfId="0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16" xfId="0" applyBorder="1"/>
    <xf numFmtId="0" fontId="0" fillId="0" borderId="0" xfId="0" applyAlignment="1">
      <alignment horizontal="center"/>
    </xf>
    <xf numFmtId="0" fontId="9" fillId="0" borderId="37" xfId="0" applyFont="1" applyBorder="1" applyAlignment="1">
      <alignment horizontal="center"/>
    </xf>
    <xf numFmtId="0" fontId="9" fillId="0" borderId="38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9" fillId="0" borderId="41" xfId="0" applyFont="1" applyBorder="1" applyAlignment="1">
      <alignment horizontal="center"/>
    </xf>
    <xf numFmtId="0" fontId="9" fillId="0" borderId="42" xfId="0" applyFont="1" applyBorder="1" applyAlignment="1">
      <alignment horizontal="center"/>
    </xf>
    <xf numFmtId="0" fontId="0" fillId="0" borderId="0" xfId="0" applyAlignment="1"/>
    <xf numFmtId="0" fontId="1" fillId="0" borderId="14" xfId="1" applyFont="1" applyBorder="1"/>
    <xf numFmtId="0" fontId="9" fillId="0" borderId="0" xfId="0" applyFont="1" applyBorder="1"/>
    <xf numFmtId="0" fontId="0" fillId="5" borderId="9" xfId="0" applyFill="1" applyBorder="1"/>
    <xf numFmtId="0" fontId="11" fillId="0" borderId="15" xfId="0" applyFont="1" applyBorder="1"/>
    <xf numFmtId="0" fontId="11" fillId="5" borderId="16" xfId="0" applyFont="1" applyFill="1" applyBorder="1"/>
    <xf numFmtId="0" fontId="0" fillId="3" borderId="0" xfId="0" applyFill="1" applyBorder="1"/>
    <xf numFmtId="0" fontId="11" fillId="0" borderId="0" xfId="0" applyFont="1" applyBorder="1"/>
    <xf numFmtId="0" fontId="11" fillId="0" borderId="16" xfId="0" applyFont="1" applyBorder="1"/>
    <xf numFmtId="0" fontId="0" fillId="5" borderId="43" xfId="0" applyFill="1" applyBorder="1"/>
    <xf numFmtId="0" fontId="1" fillId="4" borderId="14" xfId="1" applyFont="1" applyFill="1" applyBorder="1"/>
    <xf numFmtId="0" fontId="0" fillId="18" borderId="9" xfId="0" applyFill="1" applyBorder="1"/>
    <xf numFmtId="0" fontId="13" fillId="18" borderId="15" xfId="0" applyFont="1" applyFill="1" applyBorder="1"/>
    <xf numFmtId="0" fontId="0" fillId="0" borderId="37" xfId="0" applyBorder="1"/>
    <xf numFmtId="0" fontId="1" fillId="0" borderId="38" xfId="1" applyFont="1" applyBorder="1"/>
    <xf numFmtId="0" fontId="9" fillId="0" borderId="39" xfId="0" applyFont="1" applyBorder="1"/>
    <xf numFmtId="0" fontId="0" fillId="5" borderId="40" xfId="0" applyFill="1" applyBorder="1"/>
    <xf numFmtId="0" fontId="11" fillId="0" borderId="37" xfId="0" applyFont="1" applyBorder="1"/>
    <xf numFmtId="0" fontId="11" fillId="5" borderId="41" xfId="0" applyFont="1" applyFill="1" applyBorder="1"/>
    <xf numFmtId="0" fontId="0" fillId="3" borderId="39" xfId="0" applyFill="1" applyBorder="1"/>
    <xf numFmtId="0" fontId="11" fillId="0" borderId="39" xfId="0" applyFont="1" applyBorder="1"/>
    <xf numFmtId="0" fontId="11" fillId="0" borderId="41" xfId="0" applyFont="1" applyBorder="1"/>
    <xf numFmtId="0" fontId="0" fillId="0" borderId="39" xfId="0" applyBorder="1"/>
    <xf numFmtId="0" fontId="0" fillId="15" borderId="42" xfId="0" applyFill="1" applyBorder="1"/>
    <xf numFmtId="0" fontId="0" fillId="0" borderId="41" xfId="0" applyBorder="1"/>
    <xf numFmtId="0" fontId="1" fillId="4" borderId="44" xfId="1" applyFont="1" applyFill="1" applyBorder="1"/>
    <xf numFmtId="0" fontId="9" fillId="0" borderId="35" xfId="0" applyFont="1" applyBorder="1"/>
    <xf numFmtId="0" fontId="0" fillId="5" borderId="45" xfId="0" applyFill="1" applyBorder="1"/>
    <xf numFmtId="0" fontId="11" fillId="0" borderId="34" xfId="0" applyFont="1" applyBorder="1"/>
    <xf numFmtId="0" fontId="11" fillId="5" borderId="36" xfId="0" applyFont="1" applyFill="1" applyBorder="1"/>
    <xf numFmtId="0" fontId="0" fillId="3" borderId="35" xfId="0" applyFill="1" applyBorder="1"/>
    <xf numFmtId="0" fontId="11" fillId="0" borderId="35" xfId="0" applyFont="1" applyBorder="1"/>
    <xf numFmtId="0" fontId="11" fillId="0" borderId="36" xfId="0" applyFont="1" applyBorder="1"/>
    <xf numFmtId="0" fontId="0" fillId="12" borderId="46" xfId="0" applyFill="1" applyBorder="1"/>
    <xf numFmtId="0" fontId="0" fillId="0" borderId="47" xfId="0" applyBorder="1"/>
    <xf numFmtId="0" fontId="1" fillId="0" borderId="48" xfId="1" applyFont="1" applyBorder="1"/>
    <xf numFmtId="0" fontId="9" fillId="0" borderId="33" xfId="0" applyFont="1" applyBorder="1"/>
    <xf numFmtId="0" fontId="0" fillId="18" borderId="49" xfId="0" applyFill="1" applyBorder="1"/>
    <xf numFmtId="0" fontId="13" fillId="18" borderId="47" xfId="0" applyFont="1" applyFill="1" applyBorder="1"/>
    <xf numFmtId="0" fontId="11" fillId="0" borderId="50" xfId="0" applyFont="1" applyBorder="1"/>
    <xf numFmtId="0" fontId="11" fillId="0" borderId="47" xfId="0" applyFont="1" applyBorder="1"/>
    <xf numFmtId="0" fontId="11" fillId="0" borderId="33" xfId="0" applyFont="1" applyBorder="1"/>
    <xf numFmtId="0" fontId="0" fillId="0" borderId="33" xfId="0" applyBorder="1"/>
    <xf numFmtId="0" fontId="0" fillId="12" borderId="51" xfId="0" applyFill="1" applyBorder="1"/>
    <xf numFmtId="0" fontId="0" fillId="0" borderId="50" xfId="0" applyBorder="1"/>
    <xf numFmtId="0" fontId="1" fillId="4" borderId="31" xfId="1" applyFont="1" applyFill="1" applyBorder="1"/>
    <xf numFmtId="0" fontId="9" fillId="0" borderId="18" xfId="0" applyFont="1" applyBorder="1"/>
    <xf numFmtId="0" fontId="0" fillId="5" borderId="30" xfId="0" applyFill="1" applyBorder="1"/>
    <xf numFmtId="0" fontId="11" fillId="0" borderId="17" xfId="0" applyFont="1" applyBorder="1"/>
    <xf numFmtId="0" fontId="11" fillId="5" borderId="19" xfId="0" applyFont="1" applyFill="1" applyBorder="1"/>
    <xf numFmtId="0" fontId="0" fillId="19" borderId="18" xfId="0" applyFill="1" applyBorder="1"/>
    <xf numFmtId="0" fontId="11" fillId="0" borderId="18" xfId="0" applyFont="1" applyBorder="1"/>
    <xf numFmtId="0" fontId="11" fillId="0" borderId="19" xfId="0" applyFont="1" applyBorder="1"/>
    <xf numFmtId="0" fontId="0" fillId="19" borderId="52" xfId="0" applyFill="1" applyBorder="1"/>
    <xf numFmtId="0" fontId="10" fillId="0" borderId="0" xfId="0" applyFont="1"/>
    <xf numFmtId="0" fontId="14" fillId="0" borderId="20" xfId="0" applyFont="1" applyBorder="1"/>
    <xf numFmtId="0" fontId="14" fillId="0" borderId="12" xfId="0" applyFont="1" applyBorder="1"/>
    <xf numFmtId="0" fontId="10" fillId="0" borderId="15" xfId="0" applyFont="1" applyBorder="1"/>
    <xf numFmtId="0" fontId="10" fillId="0" borderId="9" xfId="0" applyFont="1" applyBorder="1"/>
    <xf numFmtId="0" fontId="14" fillId="0" borderId="14" xfId="0" applyFont="1" applyBorder="1"/>
    <xf numFmtId="0" fontId="15" fillId="0" borderId="0" xfId="3" applyFont="1" applyBorder="1"/>
    <xf numFmtId="0" fontId="10" fillId="16" borderId="0" xfId="0" applyFont="1" applyFill="1" applyBorder="1"/>
    <xf numFmtId="49" fontId="10" fillId="9" borderId="0" xfId="0" applyNumberFormat="1" applyFont="1" applyFill="1" applyBorder="1"/>
    <xf numFmtId="49" fontId="10" fillId="0" borderId="0" xfId="0" applyNumberFormat="1" applyFont="1" applyBorder="1"/>
    <xf numFmtId="2" fontId="10" fillId="0" borderId="9" xfId="0" applyNumberFormat="1" applyFont="1" applyBorder="1"/>
    <xf numFmtId="2" fontId="10" fillId="0" borderId="0" xfId="0" applyNumberFormat="1" applyFont="1" applyBorder="1"/>
    <xf numFmtId="2" fontId="10" fillId="0" borderId="11" xfId="0" applyNumberFormat="1" applyFont="1" applyBorder="1"/>
    <xf numFmtId="0" fontId="10" fillId="14" borderId="9" xfId="0" applyFont="1" applyFill="1" applyBorder="1"/>
    <xf numFmtId="0" fontId="10" fillId="0" borderId="11" xfId="0" applyFont="1" applyBorder="1"/>
    <xf numFmtId="0" fontId="10" fillId="0" borderId="16" xfId="0" applyFont="1" applyFill="1" applyBorder="1"/>
    <xf numFmtId="0" fontId="10" fillId="17" borderId="0" xfId="0" applyFont="1" applyFill="1" applyBorder="1"/>
    <xf numFmtId="0" fontId="10" fillId="17" borderId="9" xfId="0" applyFont="1" applyFill="1" applyBorder="1"/>
    <xf numFmtId="0" fontId="10" fillId="0" borderId="26" xfId="0" applyFont="1" applyBorder="1"/>
    <xf numFmtId="0" fontId="10" fillId="0" borderId="7" xfId="0" applyFont="1" applyBorder="1"/>
    <xf numFmtId="0" fontId="14" fillId="0" borderId="13" xfId="0" applyFont="1" applyBorder="1"/>
    <xf numFmtId="0" fontId="15" fillId="0" borderId="8" xfId="3" applyFont="1" applyBorder="1"/>
    <xf numFmtId="0" fontId="10" fillId="3" borderId="8" xfId="0" applyFont="1" applyFill="1" applyBorder="1"/>
    <xf numFmtId="0" fontId="10" fillId="0" borderId="8" xfId="0" applyFont="1" applyBorder="1"/>
    <xf numFmtId="49" fontId="10" fillId="10" borderId="8" xfId="0" applyNumberFormat="1" applyFont="1" applyFill="1" applyBorder="1"/>
    <xf numFmtId="49" fontId="10" fillId="0" borderId="8" xfId="0" applyNumberFormat="1" applyFont="1" applyBorder="1"/>
    <xf numFmtId="2" fontId="10" fillId="0" borderId="7" xfId="0" applyNumberFormat="1" applyFont="1" applyBorder="1"/>
    <xf numFmtId="2" fontId="10" fillId="0" borderId="8" xfId="0" applyNumberFormat="1" applyFont="1" applyBorder="1"/>
    <xf numFmtId="2" fontId="10" fillId="0" borderId="6" xfId="0" applyNumberFormat="1" applyFont="1" applyBorder="1"/>
    <xf numFmtId="0" fontId="10" fillId="14" borderId="7" xfId="0" applyFont="1" applyFill="1" applyBorder="1"/>
    <xf numFmtId="0" fontId="10" fillId="0" borderId="6" xfId="0" applyFont="1" applyBorder="1"/>
    <xf numFmtId="0" fontId="10" fillId="0" borderId="27" xfId="0" applyFont="1" applyBorder="1"/>
    <xf numFmtId="0" fontId="10" fillId="0" borderId="28" xfId="0" applyFont="1" applyBorder="1"/>
    <xf numFmtId="0" fontId="10" fillId="0" borderId="3" xfId="0" applyFont="1" applyBorder="1"/>
    <xf numFmtId="0" fontId="14" fillId="0" borderId="2" xfId="0" applyFont="1" applyBorder="1"/>
    <xf numFmtId="0" fontId="15" fillId="0" borderId="10" xfId="3" applyFont="1" applyBorder="1"/>
    <xf numFmtId="0" fontId="10" fillId="3" borderId="10" xfId="0" applyFont="1" applyFill="1" applyBorder="1"/>
    <xf numFmtId="0" fontId="10" fillId="0" borderId="10" xfId="0" applyFont="1" applyBorder="1"/>
    <xf numFmtId="49" fontId="10" fillId="10" borderId="10" xfId="0" applyNumberFormat="1" applyFont="1" applyFill="1" applyBorder="1"/>
    <xf numFmtId="49" fontId="10" fillId="0" borderId="10" xfId="0" applyNumberFormat="1" applyFont="1" applyBorder="1"/>
    <xf numFmtId="2" fontId="10" fillId="0" borderId="3" xfId="0" applyNumberFormat="1" applyFont="1" applyBorder="1"/>
    <xf numFmtId="2" fontId="10" fillId="0" borderId="10" xfId="0" applyNumberFormat="1" applyFont="1" applyBorder="1"/>
    <xf numFmtId="2" fontId="10" fillId="0" borderId="1" xfId="0" applyNumberFormat="1" applyFont="1" applyBorder="1"/>
    <xf numFmtId="0" fontId="10" fillId="17" borderId="10" xfId="0" applyFont="1" applyFill="1" applyBorder="1"/>
    <xf numFmtId="0" fontId="10" fillId="0" borderId="1" xfId="0" applyFont="1" applyBorder="1"/>
    <xf numFmtId="0" fontId="10" fillId="17" borderId="3" xfId="0" applyFont="1" applyFill="1" applyBorder="1"/>
    <xf numFmtId="0" fontId="10" fillId="0" borderId="29" xfId="0" applyFont="1" applyBorder="1"/>
    <xf numFmtId="0" fontId="10" fillId="16" borderId="8" xfId="0" applyFont="1" applyFill="1" applyBorder="1"/>
    <xf numFmtId="49" fontId="10" fillId="11" borderId="8" xfId="0" applyNumberFormat="1" applyFont="1" applyFill="1" applyBorder="1"/>
    <xf numFmtId="0" fontId="10" fillId="17" borderId="8" xfId="0" applyFont="1" applyFill="1" applyBorder="1"/>
    <xf numFmtId="0" fontId="16" fillId="0" borderId="10" xfId="1" applyFont="1" applyBorder="1"/>
    <xf numFmtId="0" fontId="10" fillId="16" borderId="10" xfId="0" applyFont="1" applyFill="1" applyBorder="1"/>
    <xf numFmtId="49" fontId="10" fillId="11" borderId="10" xfId="0" applyNumberFormat="1" applyFont="1" applyFill="1" applyBorder="1"/>
    <xf numFmtId="0" fontId="10" fillId="14" borderId="3" xfId="0" applyFont="1" applyFill="1" applyBorder="1"/>
    <xf numFmtId="49" fontId="10" fillId="6" borderId="0" xfId="0" applyNumberFormat="1" applyFont="1" applyFill="1" applyBorder="1"/>
    <xf numFmtId="0" fontId="10" fillId="8" borderId="11" xfId="0" applyFont="1" applyFill="1" applyBorder="1"/>
    <xf numFmtId="0" fontId="10" fillId="8" borderId="0" xfId="0" applyFont="1" applyFill="1" applyBorder="1"/>
    <xf numFmtId="0" fontId="10" fillId="15" borderId="0" xfId="0" applyFont="1" applyFill="1" applyBorder="1"/>
    <xf numFmtId="0" fontId="10" fillId="13" borderId="0" xfId="0" applyFont="1" applyFill="1" applyBorder="1"/>
    <xf numFmtId="49" fontId="10" fillId="10" borderId="0" xfId="0" applyNumberFormat="1" applyFont="1" applyFill="1" applyBorder="1"/>
    <xf numFmtId="49" fontId="10" fillId="13" borderId="0" xfId="0" applyNumberFormat="1" applyFont="1" applyFill="1" applyBorder="1"/>
    <xf numFmtId="2" fontId="10" fillId="12" borderId="11" xfId="0" applyNumberFormat="1" applyFont="1" applyFill="1" applyBorder="1"/>
    <xf numFmtId="0" fontId="10" fillId="13" borderId="10" xfId="0" applyFont="1" applyFill="1" applyBorder="1"/>
    <xf numFmtId="49" fontId="10" fillId="13" borderId="10" xfId="0" applyNumberFormat="1" applyFont="1" applyFill="1" applyBorder="1"/>
    <xf numFmtId="0" fontId="10" fillId="13" borderId="8" xfId="0" applyFont="1" applyFill="1" applyBorder="1"/>
    <xf numFmtId="49" fontId="10" fillId="13" borderId="8" xfId="0" applyNumberFormat="1" applyFont="1" applyFill="1" applyBorder="1"/>
    <xf numFmtId="49" fontId="10" fillId="6" borderId="8" xfId="0" applyNumberFormat="1" applyFont="1" applyFill="1" applyBorder="1"/>
    <xf numFmtId="0" fontId="16" fillId="0" borderId="0" xfId="1" applyFont="1" applyBorder="1"/>
    <xf numFmtId="0" fontId="10" fillId="0" borderId="30" xfId="0" applyFont="1" applyBorder="1"/>
    <xf numFmtId="0" fontId="10" fillId="0" borderId="18" xfId="0" applyFont="1" applyBorder="1"/>
    <xf numFmtId="2" fontId="10" fillId="0" borderId="30" xfId="0" applyNumberFormat="1" applyFont="1" applyBorder="1"/>
    <xf numFmtId="2" fontId="10" fillId="0" borderId="18" xfId="0" applyNumberFormat="1" applyFont="1" applyBorder="1"/>
    <xf numFmtId="2" fontId="10" fillId="0" borderId="32" xfId="0" applyNumberFormat="1" applyFont="1" applyBorder="1"/>
    <xf numFmtId="0" fontId="10" fillId="14" borderId="30" xfId="0" applyFont="1" applyFill="1" applyBorder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14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19" borderId="0" xfId="0" applyFill="1"/>
    <xf numFmtId="0" fontId="0" fillId="27" borderId="0" xfId="0" applyFill="1"/>
    <xf numFmtId="0" fontId="0" fillId="28" borderId="0" xfId="0" applyFill="1"/>
    <xf numFmtId="0" fontId="14" fillId="0" borderId="23" xfId="0" applyFont="1" applyBorder="1"/>
    <xf numFmtId="0" fontId="17" fillId="0" borderId="15" xfId="0" applyFont="1" applyBorder="1"/>
    <xf numFmtId="0" fontId="1" fillId="0" borderId="35" xfId="1" applyBorder="1"/>
    <xf numFmtId="49" fontId="0" fillId="0" borderId="35" xfId="0" applyNumberFormat="1" applyBorder="1"/>
    <xf numFmtId="0" fontId="1" fillId="0" borderId="18" xfId="1" applyBorder="1"/>
    <xf numFmtId="49" fontId="0" fillId="0" borderId="18" xfId="0" applyNumberFormat="1" applyBorder="1"/>
    <xf numFmtId="49" fontId="0" fillId="0" borderId="0" xfId="0" applyNumberFormat="1" applyBorder="1"/>
    <xf numFmtId="0" fontId="0" fillId="0" borderId="0" xfId="0" applyFill="1" applyBorder="1"/>
    <xf numFmtId="49" fontId="0" fillId="0" borderId="39" xfId="0" applyNumberFormat="1" applyBorder="1"/>
    <xf numFmtId="0" fontId="9" fillId="0" borderId="37" xfId="0" applyFont="1" applyBorder="1"/>
    <xf numFmtId="0" fontId="9" fillId="0" borderId="39" xfId="0" applyFont="1" applyFill="1" applyBorder="1"/>
    <xf numFmtId="49" fontId="9" fillId="0" borderId="39" xfId="0" applyNumberFormat="1" applyFont="1" applyBorder="1"/>
    <xf numFmtId="0" fontId="9" fillId="0" borderId="41" xfId="0" applyFont="1" applyBorder="1"/>
    <xf numFmtId="0" fontId="0" fillId="22" borderId="0" xfId="0" applyFill="1" applyBorder="1"/>
    <xf numFmtId="0" fontId="0" fillId="29" borderId="0" xfId="0" applyFill="1" applyBorder="1"/>
    <xf numFmtId="0" fontId="0" fillId="29" borderId="18" xfId="0" applyFill="1" applyBorder="1"/>
    <xf numFmtId="0" fontId="0" fillId="30" borderId="0" xfId="0" applyFill="1" applyBorder="1"/>
    <xf numFmtId="0" fontId="0" fillId="31" borderId="0" xfId="0" applyFill="1" applyBorder="1"/>
    <xf numFmtId="0" fontId="0" fillId="31" borderId="18" xfId="0" applyFill="1" applyBorder="1"/>
    <xf numFmtId="0" fontId="0" fillId="19" borderId="35" xfId="0" applyFill="1" applyBorder="1"/>
    <xf numFmtId="0" fontId="0" fillId="19" borderId="0" xfId="0" applyFill="1" applyBorder="1"/>
    <xf numFmtId="0" fontId="0" fillId="32" borderId="0" xfId="0" applyFill="1" applyBorder="1"/>
    <xf numFmtId="0" fontId="0" fillId="32" borderId="18" xfId="0" applyFill="1" applyBorder="1"/>
    <xf numFmtId="0" fontId="0" fillId="12" borderId="0" xfId="0" applyFill="1" applyBorder="1"/>
    <xf numFmtId="0" fontId="0" fillId="28" borderId="0" xfId="0" applyFill="1" applyBorder="1"/>
    <xf numFmtId="0" fontId="0" fillId="33" borderId="0" xfId="0" applyFill="1" applyBorder="1"/>
    <xf numFmtId="0" fontId="0" fillId="23" borderId="0" xfId="0" applyFill="1" applyBorder="1"/>
    <xf numFmtId="49" fontId="18" fillId="0" borderId="23" xfId="0" applyNumberFormat="1" applyFont="1" applyFill="1" applyBorder="1"/>
    <xf numFmtId="49" fontId="18" fillId="0" borderId="22" xfId="0" applyNumberFormat="1" applyFont="1" applyFill="1" applyBorder="1"/>
    <xf numFmtId="0" fontId="19" fillId="32" borderId="35" xfId="0" applyFont="1" applyFill="1" applyBorder="1"/>
    <xf numFmtId="0" fontId="19" fillId="19" borderId="35" xfId="0" applyFont="1" applyFill="1" applyBorder="1"/>
    <xf numFmtId="0" fontId="19" fillId="12" borderId="18" xfId="0" applyFont="1" applyFill="1" applyBorder="1"/>
    <xf numFmtId="0" fontId="19" fillId="28" borderId="18" xfId="0" applyFont="1" applyFill="1" applyBorder="1"/>
    <xf numFmtId="0" fontId="19" fillId="33" borderId="0" xfId="0" applyFont="1" applyFill="1" applyBorder="1"/>
    <xf numFmtId="0" fontId="19" fillId="0" borderId="0" xfId="0" applyFont="1" applyBorder="1"/>
    <xf numFmtId="0" fontId="19" fillId="0" borderId="23" xfId="0" applyFont="1" applyFill="1" applyBorder="1"/>
    <xf numFmtId="0" fontId="19" fillId="23" borderId="22" xfId="0" applyFont="1" applyFill="1" applyBorder="1"/>
    <xf numFmtId="49" fontId="0" fillId="3" borderId="35" xfId="0" applyNumberFormat="1" applyFill="1" applyBorder="1"/>
    <xf numFmtId="0" fontId="0" fillId="3" borderId="18" xfId="0" applyFill="1" applyBorder="1"/>
    <xf numFmtId="49" fontId="0" fillId="3" borderId="0" xfId="0" applyNumberFormat="1" applyFill="1" applyBorder="1"/>
    <xf numFmtId="49" fontId="0" fillId="14" borderId="0" xfId="0" applyNumberFormat="1" applyFill="1" applyBorder="1"/>
    <xf numFmtId="49" fontId="0" fillId="14" borderId="18" xfId="0" applyNumberFormat="1" applyFill="1" applyBorder="1"/>
    <xf numFmtId="0" fontId="0" fillId="2" borderId="0" xfId="0" applyFill="1"/>
    <xf numFmtId="0" fontId="0" fillId="34" borderId="0" xfId="0" applyFill="1" applyBorder="1"/>
    <xf numFmtId="49" fontId="0" fillId="36" borderId="0" xfId="0" applyNumberFormat="1" applyFill="1" applyBorder="1"/>
    <xf numFmtId="0" fontId="0" fillId="36" borderId="0" xfId="0" applyFill="1" applyBorder="1"/>
    <xf numFmtId="0" fontId="0" fillId="36" borderId="35" xfId="0" applyFill="1" applyBorder="1"/>
    <xf numFmtId="0" fontId="0" fillId="0" borderId="9" xfId="0" applyBorder="1"/>
    <xf numFmtId="0" fontId="0" fillId="0" borderId="11" xfId="0" applyBorder="1"/>
    <xf numFmtId="0" fontId="10" fillId="0" borderId="0" xfId="0" applyFont="1" applyFill="1" applyBorder="1"/>
    <xf numFmtId="0" fontId="0" fillId="15" borderId="0" xfId="0" applyFill="1" applyBorder="1"/>
    <xf numFmtId="49" fontId="0" fillId="0" borderId="11" xfId="0" applyNumberFormat="1" applyBorder="1"/>
    <xf numFmtId="0" fontId="14" fillId="0" borderId="37" xfId="0" applyFont="1" applyBorder="1"/>
    <xf numFmtId="0" fontId="14" fillId="0" borderId="39" xfId="0" applyFont="1" applyBorder="1"/>
    <xf numFmtId="0" fontId="9" fillId="0" borderId="40" xfId="0" applyFont="1" applyBorder="1"/>
    <xf numFmtId="0" fontId="9" fillId="0" borderId="38" xfId="0" applyFont="1" applyBorder="1"/>
    <xf numFmtId="49" fontId="9" fillId="0" borderId="39" xfId="0" applyNumberFormat="1" applyFont="1" applyFill="1" applyBorder="1"/>
    <xf numFmtId="49" fontId="9" fillId="0" borderId="38" xfId="0" applyNumberFormat="1" applyFont="1" applyFill="1" applyBorder="1"/>
    <xf numFmtId="0" fontId="0" fillId="35" borderId="0" xfId="0" applyFill="1" applyBorder="1"/>
    <xf numFmtId="0" fontId="0" fillId="0" borderId="30" xfId="0" applyBorder="1"/>
    <xf numFmtId="0" fontId="0" fillId="0" borderId="32" xfId="0" applyBorder="1"/>
    <xf numFmtId="0" fontId="0" fillId="35" borderId="18" xfId="0" applyFill="1" applyBorder="1"/>
    <xf numFmtId="49" fontId="0" fillId="36" borderId="18" xfId="0" applyNumberFormat="1" applyFill="1" applyBorder="1"/>
    <xf numFmtId="0" fontId="0" fillId="33" borderId="18" xfId="0" applyFill="1" applyBorder="1"/>
    <xf numFmtId="0" fontId="20" fillId="0" borderId="0" xfId="0" applyFont="1" applyBorder="1"/>
    <xf numFmtId="0" fontId="0" fillId="36" borderId="18" xfId="0" applyFill="1" applyBorder="1"/>
    <xf numFmtId="0" fontId="0" fillId="0" borderId="18" xfId="0" applyFill="1" applyBorder="1"/>
    <xf numFmtId="49" fontId="0" fillId="30" borderId="18" xfId="0" applyNumberFormat="1" applyFill="1" applyBorder="1"/>
    <xf numFmtId="0" fontId="0" fillId="37" borderId="0" xfId="0" applyFill="1" applyBorder="1"/>
    <xf numFmtId="49" fontId="0" fillId="20" borderId="18" xfId="0" applyNumberFormat="1" applyFill="1" applyBorder="1"/>
    <xf numFmtId="49" fontId="0" fillId="38" borderId="0" xfId="0" applyNumberFormat="1" applyFill="1" applyBorder="1"/>
    <xf numFmtId="49" fontId="9" fillId="0" borderId="21" xfId="0" applyNumberFormat="1" applyFont="1" applyBorder="1" applyAlignment="1"/>
    <xf numFmtId="49" fontId="9" fillId="0" borderId="23" xfId="0" applyNumberFormat="1" applyFont="1" applyBorder="1" applyAlignment="1"/>
    <xf numFmtId="49" fontId="9" fillId="0" borderId="24" xfId="0" applyNumberFormat="1" applyFont="1" applyBorder="1" applyAlignment="1"/>
    <xf numFmtId="0" fontId="0" fillId="15" borderId="35" xfId="0" applyFill="1" applyBorder="1"/>
    <xf numFmtId="0" fontId="10" fillId="3" borderId="0" xfId="0" applyFont="1" applyFill="1" applyBorder="1"/>
    <xf numFmtId="0" fontId="10" fillId="3" borderId="18" xfId="0" applyFont="1" applyFill="1" applyBorder="1"/>
    <xf numFmtId="0" fontId="0" fillId="9" borderId="0" xfId="0" applyFill="1" applyBorder="1"/>
    <xf numFmtId="0" fontId="0" fillId="9" borderId="18" xfId="0" applyFill="1" applyBorder="1"/>
    <xf numFmtId="0" fontId="9" fillId="0" borderId="21" xfId="0" applyFont="1" applyBorder="1" applyAlignment="1"/>
    <xf numFmtId="0" fontId="9" fillId="0" borderId="23" xfId="0" applyFont="1" applyBorder="1" applyAlignment="1"/>
    <xf numFmtId="0" fontId="9" fillId="0" borderId="24" xfId="0" applyFont="1" applyBorder="1" applyAlignment="1"/>
    <xf numFmtId="0" fontId="10" fillId="40" borderId="14" xfId="0" applyFont="1" applyFill="1" applyBorder="1"/>
    <xf numFmtId="0" fontId="10" fillId="31" borderId="13" xfId="0" applyFont="1" applyFill="1" applyBorder="1"/>
    <xf numFmtId="49" fontId="0" fillId="3" borderId="18" xfId="0" applyNumberFormat="1" applyFill="1" applyBorder="1"/>
    <xf numFmtId="0" fontId="21" fillId="41" borderId="54" xfId="4" applyFont="1" applyFill="1" applyBorder="1" applyAlignment="1">
      <alignment horizontal="center"/>
    </xf>
    <xf numFmtId="0" fontId="21" fillId="0" borderId="55" xfId="4" applyFont="1" applyFill="1" applyBorder="1" applyAlignment="1">
      <alignment wrapText="1"/>
    </xf>
    <xf numFmtId="0" fontId="21" fillId="0" borderId="55" xfId="4" applyFont="1" applyFill="1" applyBorder="1" applyAlignment="1">
      <alignment horizontal="right" wrapText="1"/>
    </xf>
    <xf numFmtId="0" fontId="1" fillId="0" borderId="55" xfId="1" applyFill="1" applyBorder="1" applyAlignment="1">
      <alignment wrapText="1"/>
    </xf>
    <xf numFmtId="0" fontId="0" fillId="0" borderId="37" xfId="0" applyFill="1" applyBorder="1"/>
    <xf numFmtId="0" fontId="12" fillId="29" borderId="15" xfId="0" applyFont="1" applyFill="1" applyBorder="1" applyAlignment="1">
      <alignment horizontal="center"/>
    </xf>
    <xf numFmtId="0" fontId="12" fillId="29" borderId="37" xfId="0" applyFont="1" applyFill="1" applyBorder="1" applyAlignment="1">
      <alignment horizontal="center"/>
    </xf>
    <xf numFmtId="0" fontId="23" fillId="0" borderId="37" xfId="0" applyFont="1" applyBorder="1" applyAlignment="1"/>
    <xf numFmtId="49" fontId="9" fillId="0" borderId="0" xfId="0" applyNumberFormat="1" applyFont="1" applyFill="1" applyBorder="1"/>
    <xf numFmtId="49" fontId="0" fillId="30" borderId="0" xfId="0" applyNumberFormat="1" applyFill="1" applyBorder="1"/>
    <xf numFmtId="0" fontId="0" fillId="13" borderId="0" xfId="0" applyFill="1"/>
    <xf numFmtId="14" fontId="0" fillId="0" borderId="39" xfId="0" applyNumberFormat="1" applyBorder="1"/>
    <xf numFmtId="14" fontId="0" fillId="0" borderId="35" xfId="0" applyNumberFormat="1" applyBorder="1"/>
    <xf numFmtId="14" fontId="0" fillId="0" borderId="18" xfId="0" applyNumberFormat="1" applyBorder="1"/>
    <xf numFmtId="0" fontId="0" fillId="42" borderId="39" xfId="0" applyFill="1" applyBorder="1"/>
    <xf numFmtId="0" fontId="0" fillId="43" borderId="52" xfId="0" applyFill="1" applyBorder="1"/>
    <xf numFmtId="0" fontId="0" fillId="19" borderId="46" xfId="0" applyFill="1" applyBorder="1"/>
    <xf numFmtId="0" fontId="0" fillId="19" borderId="51" xfId="0" applyFill="1" applyBorder="1"/>
    <xf numFmtId="0" fontId="0" fillId="42" borderId="0" xfId="0" applyFill="1" applyBorder="1"/>
    <xf numFmtId="0" fontId="0" fillId="42" borderId="14" xfId="0" applyFill="1" applyBorder="1"/>
    <xf numFmtId="0" fontId="0" fillId="42" borderId="38" xfId="0" applyFill="1" applyBorder="1"/>
    <xf numFmtId="0" fontId="0" fillId="42" borderId="35" xfId="0" applyFill="1" applyBorder="1"/>
    <xf numFmtId="0" fontId="0" fillId="42" borderId="44" xfId="0" applyFill="1" applyBorder="1"/>
    <xf numFmtId="0" fontId="0" fillId="42" borderId="33" xfId="0" applyFill="1" applyBorder="1"/>
    <xf numFmtId="0" fontId="0" fillId="42" borderId="48" xfId="0" applyFill="1" applyBorder="1"/>
    <xf numFmtId="0" fontId="0" fillId="44" borderId="18" xfId="0" applyFill="1" applyBorder="1"/>
    <xf numFmtId="0" fontId="0" fillId="44" borderId="31" xfId="0" applyFill="1" applyBorder="1"/>
    <xf numFmtId="0" fontId="0" fillId="3" borderId="43" xfId="0" applyFill="1" applyBorder="1"/>
    <xf numFmtId="0" fontId="0" fillId="3" borderId="42" xfId="0" applyFill="1" applyBorder="1"/>
    <xf numFmtId="0" fontId="24" fillId="0" borderId="0" xfId="0" applyFont="1"/>
    <xf numFmtId="0" fontId="9" fillId="0" borderId="39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14" fillId="0" borderId="11" xfId="0" applyFont="1" applyBorder="1"/>
    <xf numFmtId="0" fontId="10" fillId="0" borderId="16" xfId="0" applyFont="1" applyBorder="1"/>
    <xf numFmtId="2" fontId="10" fillId="12" borderId="6" xfId="0" applyNumberFormat="1" applyFont="1" applyFill="1" applyBorder="1"/>
    <xf numFmtId="0" fontId="10" fillId="17" borderId="56" xfId="0" applyFont="1" applyFill="1" applyBorder="1"/>
    <xf numFmtId="0" fontId="10" fillId="40" borderId="13" xfId="0" applyFont="1" applyFill="1" applyBorder="1"/>
    <xf numFmtId="0" fontId="10" fillId="16" borderId="12" xfId="0" applyFont="1" applyFill="1" applyBorder="1"/>
    <xf numFmtId="49" fontId="10" fillId="11" borderId="0" xfId="0" applyNumberFormat="1" applyFont="1" applyFill="1" applyBorder="1"/>
    <xf numFmtId="0" fontId="14" fillId="0" borderId="0" xfId="0" applyFont="1" applyFill="1" applyBorder="1"/>
    <xf numFmtId="0" fontId="10" fillId="0" borderId="12" xfId="0" applyFont="1" applyBorder="1"/>
    <xf numFmtId="0" fontId="10" fillId="0" borderId="56" xfId="0" applyFont="1" applyBorder="1"/>
    <xf numFmtId="0" fontId="14" fillId="0" borderId="8" xfId="0" applyFont="1" applyFill="1" applyBorder="1"/>
    <xf numFmtId="0" fontId="0" fillId="0" borderId="6" xfId="0" applyBorder="1"/>
    <xf numFmtId="0" fontId="14" fillId="0" borderId="10" xfId="0" applyFont="1" applyFill="1" applyBorder="1"/>
    <xf numFmtId="0" fontId="0" fillId="0" borderId="10" xfId="0" applyBorder="1"/>
    <xf numFmtId="0" fontId="10" fillId="40" borderId="2" xfId="0" applyFont="1" applyFill="1" applyBorder="1"/>
    <xf numFmtId="0" fontId="0" fillId="0" borderId="27" xfId="0" applyBorder="1"/>
    <xf numFmtId="0" fontId="0" fillId="0" borderId="29" xfId="0" applyBorder="1"/>
    <xf numFmtId="0" fontId="14" fillId="0" borderId="18" xfId="0" applyFont="1" applyFill="1" applyBorder="1"/>
    <xf numFmtId="0" fontId="10" fillId="31" borderId="48" xfId="0" applyFont="1" applyFill="1" applyBorder="1"/>
    <xf numFmtId="0" fontId="10" fillId="0" borderId="19" xfId="0" applyFont="1" applyFill="1" applyBorder="1"/>
    <xf numFmtId="49" fontId="0" fillId="45" borderId="8" xfId="0" quotePrefix="1" applyNumberFormat="1" applyFill="1" applyBorder="1"/>
    <xf numFmtId="49" fontId="0" fillId="36" borderId="10" xfId="0" quotePrefix="1" applyNumberFormat="1" applyFill="1" applyBorder="1"/>
    <xf numFmtId="0" fontId="25" fillId="0" borderId="26" xfId="0" applyFont="1" applyBorder="1"/>
    <xf numFmtId="0" fontId="25" fillId="0" borderId="15" xfId="0" applyFont="1" applyBorder="1"/>
    <xf numFmtId="0" fontId="26" fillId="0" borderId="26" xfId="0" applyFont="1" applyBorder="1"/>
    <xf numFmtId="0" fontId="26" fillId="0" borderId="28" xfId="0" applyFont="1" applyBorder="1"/>
    <xf numFmtId="0" fontId="26" fillId="0" borderId="15" xfId="0" applyFont="1" applyBorder="1"/>
    <xf numFmtId="0" fontId="26" fillId="0" borderId="17" xfId="0" applyFont="1" applyBorder="1" applyAlignment="1">
      <alignment vertical="center"/>
    </xf>
    <xf numFmtId="0" fontId="10" fillId="0" borderId="0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10" fillId="12" borderId="0" xfId="0" applyFont="1" applyFill="1" applyBorder="1" applyAlignment="1">
      <alignment horizontal="center"/>
    </xf>
    <xf numFmtId="0" fontId="10" fillId="12" borderId="8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9" borderId="0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9" borderId="18" xfId="0" applyFill="1" applyBorder="1" applyAlignment="1">
      <alignment horizontal="center"/>
    </xf>
    <xf numFmtId="0" fontId="0" fillId="3" borderId="35" xfId="0" applyFill="1" applyBorder="1" applyAlignment="1">
      <alignment horizontal="center"/>
    </xf>
    <xf numFmtId="0" fontId="10" fillId="31" borderId="8" xfId="0" applyFont="1" applyFill="1" applyBorder="1"/>
    <xf numFmtId="0" fontId="10" fillId="29" borderId="8" xfId="0" applyFont="1" applyFill="1" applyBorder="1"/>
    <xf numFmtId="0" fontId="10" fillId="29" borderId="0" xfId="0" applyFont="1" applyFill="1" applyBorder="1"/>
    <xf numFmtId="0" fontId="0" fillId="35" borderId="8" xfId="0" applyFill="1" applyBorder="1"/>
    <xf numFmtId="0" fontId="0" fillId="35" borderId="10" xfId="0" applyFill="1" applyBorder="1"/>
    <xf numFmtId="0" fontId="25" fillId="35" borderId="8" xfId="1" applyFont="1" applyFill="1" applyBorder="1"/>
    <xf numFmtId="0" fontId="25" fillId="35" borderId="10" xfId="1" applyFont="1" applyFill="1" applyBorder="1"/>
    <xf numFmtId="0" fontId="25" fillId="35" borderId="0" xfId="1" applyFont="1" applyFill="1" applyBorder="1"/>
    <xf numFmtId="0" fontId="25" fillId="35" borderId="18" xfId="1" applyFont="1" applyFill="1" applyBorder="1"/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49" fontId="0" fillId="0" borderId="2" xfId="0" applyNumberFormat="1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 wrapText="1"/>
    </xf>
    <xf numFmtId="0" fontId="0" fillId="0" borderId="3" xfId="0" applyBorder="1" applyAlignment="1">
      <alignment horizontal="left" vertical="center"/>
    </xf>
    <xf numFmtId="0" fontId="0" fillId="0" borderId="4" xfId="0" applyBorder="1"/>
    <xf numFmtId="0" fontId="0" fillId="0" borderId="5" xfId="0" applyBorder="1"/>
    <xf numFmtId="49" fontId="0" fillId="36" borderId="5" xfId="0" applyNumberFormat="1" applyFill="1" applyBorder="1"/>
    <xf numFmtId="0" fontId="0" fillId="3" borderId="5" xfId="0" applyFill="1" applyBorder="1"/>
    <xf numFmtId="0" fontId="0" fillId="36" borderId="5" xfId="0" applyFill="1" applyBorder="1"/>
    <xf numFmtId="0" fontId="1" fillId="0" borderId="5" xfId="1" applyBorder="1"/>
    <xf numFmtId="0" fontId="0" fillId="0" borderId="56" xfId="0" applyBorder="1"/>
    <xf numFmtId="0" fontId="0" fillId="16" borderId="5" xfId="0" applyFill="1" applyBorder="1"/>
    <xf numFmtId="0" fontId="0" fillId="15" borderId="5" xfId="0" applyFill="1" applyBorder="1"/>
    <xf numFmtId="0" fontId="0" fillId="19" borderId="5" xfId="0" applyFill="1" applyBorder="1"/>
    <xf numFmtId="0" fontId="0" fillId="2" borderId="5" xfId="0" applyFill="1" applyBorder="1"/>
    <xf numFmtId="49" fontId="0" fillId="34" borderId="5" xfId="0" applyNumberFormat="1" applyFill="1" applyBorder="1"/>
    <xf numFmtId="0" fontId="0" fillId="8" borderId="5" xfId="0" applyFill="1" applyBorder="1"/>
    <xf numFmtId="0" fontId="0" fillId="34" borderId="5" xfId="0" applyFill="1" applyBorder="1"/>
    <xf numFmtId="0" fontId="1" fillId="3" borderId="5" xfId="1" applyFill="1" applyBorder="1"/>
    <xf numFmtId="0" fontId="0" fillId="31" borderId="5" xfId="0" applyFill="1" applyBorder="1"/>
    <xf numFmtId="0" fontId="0" fillId="12" borderId="5" xfId="0" applyFill="1" applyBorder="1"/>
    <xf numFmtId="0" fontId="0" fillId="0" borderId="13" xfId="0" applyBorder="1"/>
    <xf numFmtId="49" fontId="0" fillId="23" borderId="13" xfId="0" applyNumberFormat="1" applyFill="1" applyBorder="1"/>
    <xf numFmtId="0" fontId="0" fillId="3" borderId="13" xfId="0" applyFill="1" applyBorder="1"/>
    <xf numFmtId="0" fontId="0" fillId="42" borderId="13" xfId="0" applyFill="1" applyBorder="1"/>
    <xf numFmtId="0" fontId="0" fillId="23" borderId="13" xfId="0" applyFill="1" applyBorder="1"/>
    <xf numFmtId="0" fontId="0" fillId="19" borderId="13" xfId="0" applyFill="1" applyBorder="1"/>
    <xf numFmtId="0" fontId="1" fillId="0" borderId="13" xfId="1" applyBorder="1"/>
    <xf numFmtId="0" fontId="0" fillId="0" borderId="7" xfId="0" applyBorder="1"/>
    <xf numFmtId="0" fontId="10" fillId="31" borderId="10" xfId="0" applyFont="1" applyFill="1" applyBorder="1"/>
    <xf numFmtId="0" fontId="21" fillId="3" borderId="55" xfId="4" applyFont="1" applyFill="1" applyBorder="1" applyAlignment="1">
      <alignment wrapText="1"/>
    </xf>
    <xf numFmtId="0" fontId="21" fillId="2" borderId="55" xfId="4" applyFont="1" applyFill="1" applyBorder="1" applyAlignment="1">
      <alignment wrapText="1"/>
    </xf>
    <xf numFmtId="0" fontId="9" fillId="0" borderId="23" xfId="0" applyFont="1" applyBorder="1" applyAlignment="1">
      <alignment horizontal="center"/>
    </xf>
    <xf numFmtId="0" fontId="9" fillId="0" borderId="35" xfId="0" applyFont="1" applyFill="1" applyBorder="1"/>
    <xf numFmtId="0" fontId="0" fillId="0" borderId="35" xfId="0" applyBorder="1" applyAlignment="1">
      <alignment horizontal="left"/>
    </xf>
    <xf numFmtId="0" fontId="0" fillId="18" borderId="30" xfId="0" applyFill="1" applyBorder="1"/>
    <xf numFmtId="0" fontId="1" fillId="0" borderId="18" xfId="1" applyBorder="1" applyAlignment="1">
      <alignment horizontal="left"/>
    </xf>
    <xf numFmtId="0" fontId="0" fillId="42" borderId="57" xfId="0" applyFill="1" applyBorder="1"/>
    <xf numFmtId="0" fontId="0" fillId="0" borderId="46" xfId="0" applyBorder="1"/>
    <xf numFmtId="0" fontId="0" fillId="38" borderId="35" xfId="0" applyFill="1" applyBorder="1"/>
    <xf numFmtId="0" fontId="11" fillId="12" borderId="36" xfId="0" applyFont="1" applyFill="1" applyBorder="1"/>
    <xf numFmtId="0" fontId="12" fillId="19" borderId="36" xfId="0" applyFont="1" applyFill="1" applyBorder="1" applyAlignment="1">
      <alignment horizontal="center"/>
    </xf>
    <xf numFmtId="0" fontId="12" fillId="19" borderId="50" xfId="0" applyFont="1" applyFill="1" applyBorder="1" applyAlignment="1">
      <alignment horizontal="center"/>
    </xf>
    <xf numFmtId="0" fontId="12" fillId="19" borderId="19" xfId="0" applyFont="1" applyFill="1" applyBorder="1" applyAlignment="1">
      <alignment horizontal="center"/>
    </xf>
    <xf numFmtId="0" fontId="12" fillId="19" borderId="42" xfId="0" applyFont="1" applyFill="1" applyBorder="1" applyAlignment="1">
      <alignment horizontal="center"/>
    </xf>
    <xf numFmtId="0" fontId="0" fillId="19" borderId="39" xfId="0" applyFill="1" applyBorder="1"/>
    <xf numFmtId="0" fontId="0" fillId="19" borderId="42" xfId="0" applyFill="1" applyBorder="1"/>
    <xf numFmtId="0" fontId="11" fillId="12" borderId="41" xfId="0" applyFont="1" applyFill="1" applyBorder="1"/>
    <xf numFmtId="0" fontId="0" fillId="38" borderId="39" xfId="0" applyFill="1" applyBorder="1"/>
    <xf numFmtId="0" fontId="0" fillId="0" borderId="42" xfId="0" applyBorder="1"/>
    <xf numFmtId="0" fontId="0" fillId="34" borderId="10" xfId="0" applyFill="1" applyBorder="1"/>
    <xf numFmtId="0" fontId="0" fillId="34" borderId="18" xfId="0" applyFill="1" applyBorder="1"/>
    <xf numFmtId="0" fontId="27" fillId="0" borderId="39" xfId="0" applyFont="1" applyBorder="1" applyAlignment="1">
      <alignment horizontal="center"/>
    </xf>
    <xf numFmtId="0" fontId="28" fillId="0" borderId="39" xfId="0" applyFont="1" applyBorder="1" applyAlignment="1">
      <alignment horizontal="center"/>
    </xf>
    <xf numFmtId="0" fontId="9" fillId="0" borderId="37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1" xfId="0" applyFont="1" applyBorder="1" applyAlignment="1">
      <alignment horizontal="center"/>
    </xf>
    <xf numFmtId="0" fontId="9" fillId="0" borderId="18" xfId="0" applyFont="1" applyFill="1" applyBorder="1"/>
    <xf numFmtId="0" fontId="11" fillId="12" borderId="19" xfId="0" applyFont="1" applyFill="1" applyBorder="1"/>
    <xf numFmtId="0" fontId="12" fillId="19" borderId="52" xfId="0" applyFont="1" applyFill="1" applyBorder="1" applyAlignment="1">
      <alignment horizontal="center"/>
    </xf>
    <xf numFmtId="0" fontId="0" fillId="42" borderId="18" xfId="0" applyFill="1" applyBorder="1"/>
    <xf numFmtId="0" fontId="0" fillId="42" borderId="58" xfId="0" applyFill="1" applyBorder="1"/>
    <xf numFmtId="0" fontId="0" fillId="38" borderId="18" xfId="0" applyFill="1" applyBorder="1"/>
    <xf numFmtId="0" fontId="0" fillId="0" borderId="52" xfId="0" applyBorder="1"/>
    <xf numFmtId="0" fontId="0" fillId="0" borderId="39" xfId="0" applyBorder="1" applyAlignment="1">
      <alignment horizontal="left"/>
    </xf>
    <xf numFmtId="0" fontId="0" fillId="46" borderId="37" xfId="0" applyFill="1" applyBorder="1"/>
    <xf numFmtId="0" fontId="0" fillId="46" borderId="17" xfId="0" applyFill="1" applyBorder="1"/>
    <xf numFmtId="0" fontId="0" fillId="31" borderId="15" xfId="0" applyFill="1" applyBorder="1"/>
    <xf numFmtId="0" fontId="0" fillId="31" borderId="37" xfId="0" applyFill="1" applyBorder="1"/>
    <xf numFmtId="0" fontId="0" fillId="31" borderId="34" xfId="0" applyFill="1" applyBorder="1"/>
    <xf numFmtId="0" fontId="0" fillId="31" borderId="47" xfId="0" applyFill="1" applyBorder="1"/>
    <xf numFmtId="0" fontId="0" fillId="31" borderId="17" xfId="0" applyFill="1" applyBorder="1"/>
    <xf numFmtId="0" fontId="0" fillId="0" borderId="43" xfId="0" applyBorder="1"/>
    <xf numFmtId="0" fontId="9" fillId="0" borderId="39" xfId="0" applyFont="1" applyBorder="1" applyAlignment="1">
      <alignment horizontal="center"/>
    </xf>
    <xf numFmtId="0" fontId="7" fillId="0" borderId="17" xfId="0" applyFont="1" applyBorder="1"/>
    <xf numFmtId="0" fontId="0" fillId="12" borderId="18" xfId="0" applyFill="1" applyBorder="1"/>
    <xf numFmtId="0" fontId="0" fillId="12" borderId="35" xfId="0" applyFill="1" applyBorder="1"/>
    <xf numFmtId="0" fontId="0" fillId="14" borderId="18" xfId="0" applyFill="1" applyBorder="1"/>
    <xf numFmtId="49" fontId="0" fillId="3" borderId="0" xfId="0" applyNumberFormat="1" applyFill="1" applyAlignment="1">
      <alignment horizontal="center"/>
    </xf>
    <xf numFmtId="0" fontId="9" fillId="0" borderId="37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1" xfId="0" applyFont="1" applyBorder="1" applyAlignment="1">
      <alignment horizontal="center"/>
    </xf>
    <xf numFmtId="49" fontId="9" fillId="0" borderId="40" xfId="0" applyNumberFormat="1" applyFont="1" applyBorder="1" applyAlignment="1">
      <alignment horizontal="center"/>
    </xf>
    <xf numFmtId="49" fontId="9" fillId="0" borderId="39" xfId="0" applyNumberFormat="1" applyFont="1" applyBorder="1" applyAlignment="1">
      <alignment horizontal="center"/>
    </xf>
    <xf numFmtId="49" fontId="9" fillId="0" borderId="53" xfId="0" applyNumberFormat="1" applyFont="1" applyBorder="1" applyAlignment="1">
      <alignment horizontal="center"/>
    </xf>
    <xf numFmtId="49" fontId="9" fillId="0" borderId="21" xfId="0" applyNumberFormat="1" applyFont="1" applyBorder="1" applyAlignment="1">
      <alignment horizontal="center"/>
    </xf>
    <xf numFmtId="49" fontId="9" fillId="0" borderId="23" xfId="0" applyNumberFormat="1" applyFont="1" applyBorder="1" applyAlignment="1">
      <alignment horizontal="center"/>
    </xf>
    <xf numFmtId="49" fontId="9" fillId="0" borderId="24" xfId="0" applyNumberFormat="1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0" fontId="0" fillId="23" borderId="35" xfId="0" applyFill="1" applyBorder="1"/>
    <xf numFmtId="0" fontId="0" fillId="6" borderId="18" xfId="0" applyFill="1" applyBorder="1"/>
    <xf numFmtId="0" fontId="0" fillId="13" borderId="18" xfId="0" applyFill="1" applyBorder="1"/>
  </cellXfs>
  <cellStyles count="5">
    <cellStyle name="Hyperlink" xfId="1" builtinId="8"/>
    <cellStyle name="Hyperlink 2" xfId="3"/>
    <cellStyle name="Standaard" xfId="0" builtinId="0"/>
    <cellStyle name="Standaard 2" xfId="2"/>
    <cellStyle name="Standaard_opties" xfId="4"/>
  </cellStyles>
  <dxfs count="45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D89FFF"/>
      <color rgb="FF66FFFF"/>
      <color rgb="FFD8E072"/>
      <color rgb="FFFF99FF"/>
      <color rgb="FF00CC00"/>
      <color rgb="FF0CC638"/>
      <color rgb="FFFFC92F"/>
      <color rgb="FFCC607F"/>
      <color rgb="FFBA0687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file:///L:\Letdata\data\10\0335_00\T3\T03100335N09_.lnk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504825</xdr:colOff>
      <xdr:row>8</xdr:row>
      <xdr:rowOff>133350</xdr:rowOff>
    </xdr:from>
    <xdr:to>
      <xdr:col>2</xdr:col>
      <xdr:colOff>2447925</xdr:colOff>
      <xdr:row>14</xdr:row>
      <xdr:rowOff>64770</xdr:rowOff>
    </xdr:to>
    <xdr:pic>
      <xdr:nvPicPr>
        <xdr:cNvPr id="2" name="Afbeelding 1" descr="EP-060027AKOL1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16" t="38863" r="12859"/>
        <a:stretch>
          <a:fillRect/>
        </a:stretch>
      </xdr:blipFill>
      <xdr:spPr bwMode="auto">
        <a:xfrm>
          <a:off x="6229350" y="1657350"/>
          <a:ext cx="1943100" cy="107442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</xdr:col>
      <xdr:colOff>1276350</xdr:colOff>
      <xdr:row>9</xdr:row>
      <xdr:rowOff>152400</xdr:rowOff>
    </xdr:from>
    <xdr:to>
      <xdr:col>4</xdr:col>
      <xdr:colOff>3000375</xdr:colOff>
      <xdr:row>29</xdr:row>
      <xdr:rowOff>133350</xdr:rowOff>
    </xdr:to>
    <xdr:pic>
      <xdr:nvPicPr>
        <xdr:cNvPr id="4" name="Afbeelding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5025" y="1914525"/>
          <a:ext cx="5124450" cy="3790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0</xdr:row>
          <xdr:rowOff>123825</xdr:rowOff>
        </xdr:from>
        <xdr:to>
          <xdr:col>21</xdr:col>
          <xdr:colOff>342900</xdr:colOff>
          <xdr:row>2</xdr:row>
          <xdr:rowOff>28575</xdr:rowOff>
        </xdr:to>
        <xdr:sp macro="" textlink="">
          <xdr:nvSpPr>
            <xdr:cNvPr id="5121" name="CommandButton3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57150</xdr:colOff>
          <xdr:row>2</xdr:row>
          <xdr:rowOff>76200</xdr:rowOff>
        </xdr:from>
        <xdr:to>
          <xdr:col>22</xdr:col>
          <xdr:colOff>38100</xdr:colOff>
          <xdr:row>3</xdr:row>
          <xdr:rowOff>190500</xdr:rowOff>
        </xdr:to>
        <xdr:sp macro="" textlink="">
          <xdr:nvSpPr>
            <xdr:cNvPr id="5122" name="CommandButton4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0</xdr:row>
          <xdr:rowOff>123825</xdr:rowOff>
        </xdr:from>
        <xdr:to>
          <xdr:col>1</xdr:col>
          <xdr:colOff>1009650</xdr:colOff>
          <xdr:row>2</xdr:row>
          <xdr:rowOff>38100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0</xdr:row>
          <xdr:rowOff>152400</xdr:rowOff>
        </xdr:from>
        <xdr:to>
          <xdr:col>1</xdr:col>
          <xdr:colOff>2438400</xdr:colOff>
          <xdr:row>2</xdr:row>
          <xdr:rowOff>57150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0</xdr:row>
          <xdr:rowOff>142875</xdr:rowOff>
        </xdr:from>
        <xdr:to>
          <xdr:col>2</xdr:col>
          <xdr:colOff>1095375</xdr:colOff>
          <xdr:row>0</xdr:row>
          <xdr:rowOff>447675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1266825</xdr:colOff>
          <xdr:row>0</xdr:row>
          <xdr:rowOff>142875</xdr:rowOff>
        </xdr:from>
        <xdr:to>
          <xdr:col>3</xdr:col>
          <xdr:colOff>762000</xdr:colOff>
          <xdr:row>0</xdr:row>
          <xdr:rowOff>447675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92410</xdr:colOff>
      <xdr:row>0</xdr:row>
      <xdr:rowOff>657225</xdr:rowOff>
    </xdr:from>
    <xdr:to>
      <xdr:col>13</xdr:col>
      <xdr:colOff>533953</xdr:colOff>
      <xdr:row>24</xdr:row>
      <xdr:rowOff>104775</xdr:rowOff>
    </xdr:to>
    <xdr:pic>
      <xdr:nvPicPr>
        <xdr:cNvPr id="2" name="Afbeelding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41760" y="657225"/>
          <a:ext cx="2270343" cy="46005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783167</xdr:colOff>
      <xdr:row>21</xdr:row>
      <xdr:rowOff>63500</xdr:rowOff>
    </xdr:from>
    <xdr:to>
      <xdr:col>1</xdr:col>
      <xdr:colOff>1502833</xdr:colOff>
      <xdr:row>39</xdr:row>
      <xdr:rowOff>179916</xdr:rowOff>
    </xdr:to>
    <xdr:sp macro="" textlink="">
      <xdr:nvSpPr>
        <xdr:cNvPr id="2" name="Verbodssymbool 1"/>
        <xdr:cNvSpPr/>
      </xdr:nvSpPr>
      <xdr:spPr>
        <a:xfrm>
          <a:off x="783167" y="4064000"/>
          <a:ext cx="3704166" cy="3545416"/>
        </a:xfrm>
        <a:prstGeom prst="noSmoking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BE" sz="1100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3" name="Tabel3" displayName="Tabel3" ref="A1:K14" totalsRowShown="0">
  <autoFilter ref="A1:K14">
    <filterColumn colId="3">
      <customFilters>
        <customFilter operator="notEqual" val=" "/>
      </customFilters>
    </filterColumn>
  </autoFilter>
  <tableColumns count="11">
    <tableColumn id="1" name="Omschrijving"/>
    <tableColumn id="2" name="Art.groep"/>
    <tableColumn id="3" name="Artikelsymbool"/>
    <tableColumn id="4" name="onlangs gemaakt"/>
    <tableColumn id="5" name="pv 4in1"/>
    <tableColumn id="6" name="Kolom2"/>
    <tableColumn id="7" name="Kolom3"/>
    <tableColumn id="8" name="Kolom4"/>
    <tableColumn id="9" name="Kolom5"/>
    <tableColumn id="10" name="Kolom6"/>
    <tableColumn id="11" name="Kolom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2" displayName="Tabel2" ref="A1:O14" totalsRowShown="0" headerRowDxfId="44" headerRowBorderDxfId="43" tableBorderDxfId="42" totalsRowBorderDxfId="41">
  <autoFilter ref="A1:O14"/>
  <tableColumns count="15">
    <tableColumn id="1" name="Omschrijving" dataDxfId="40"/>
    <tableColumn id="14" name="laatste_x000a_ jaar _x000a_gemaakt" dataDxfId="39"/>
    <tableColumn id="3" name="Artikel" dataDxfId="38"/>
    <tableColumn id="4" name="glas labeltje" dataDxfId="37"/>
    <tableColumn id="5" name="richtlaser_x000a_ is achter _x000a_de zwarte_x000a_ bol" dataDxfId="36"/>
    <tableColumn id="12" name="ACC led in optisch blok _x000a_vanuit scherm_x000a_dwars door_x000a_ fresnel" dataDxfId="35"/>
    <tableColumn id="6" name="zonnepaneel" dataDxfId="34"/>
    <tableColumn id="2" name="fische" dataDxfId="33"/>
    <tableColumn id="7" name="13+14cel_x000a_BPX65" dataDxfId="32"/>
    <tableColumn id="11" name="zwarte bol" dataDxfId="31"/>
    <tableColumn id="15" name="label clean  lens _x000a_180470" dataDxfId="30"/>
    <tableColumn id="8" name="pcb canbus" dataDxfId="29"/>
    <tableColumn id="9" name="pv" dataDxfId="28"/>
    <tableColumn id="13" name="deze pv editen _x000a_naar grote gaten" dataDxfId="27"/>
    <tableColumn id="10" name="teste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el1" displayName="Tabel1" ref="A1:I11" totalsRowShown="0" tableBorderDxfId="25">
  <autoFilter ref="A1:I11"/>
  <tableColumns count="9">
    <tableColumn id="1" name="Omschrijving"/>
    <tableColumn id="2" name="Art.groep"/>
    <tableColumn id="3" name="Artikelsymbool"/>
    <tableColumn id="4" name="pv"/>
    <tableColumn id="9" name="PV geprint" dataDxfId="24"/>
    <tableColumn id="5" name="adaptorsticker +_x000a_12v 60w stekkerset"/>
    <tableColumn id="6" name="PV geprint2"/>
    <tableColumn id="7" name="Kolom2"/>
    <tableColumn id="8" name="Kolom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el13" displayName="Tabel13" ref="A1:T22" totalsRowShown="0" headerRowDxfId="23" headerRowBorderDxfId="22" tableBorderDxfId="21" totalsRowBorderDxfId="20">
  <autoFilter ref="A1:T22"/>
  <tableColumns count="20">
    <tableColumn id="1" name="Omschrijving" dataDxfId="19"/>
    <tableColumn id="20" name="PV vith" dataDxfId="18"/>
    <tableColumn id="14" name="soort" dataDxfId="17"/>
    <tableColumn id="18" name="wielkant" dataDxfId="16"/>
    <tableColumn id="2" name="Artikelsymbool" dataDxfId="15"/>
    <tableColumn id="15" name="Kolom1" dataDxfId="14">
      <calculatedColumnFormula>"EP-"&amp;Tabel13[[#This Row],[Artikelsymbool]]</calculatedColumnFormula>
    </tableColumn>
    <tableColumn id="3" name="Nm" dataDxfId="13"/>
    <tableColumn id="4" name="kbl" dataDxfId="12"/>
    <tableColumn id="5" name="STOPS" dataDxfId="11"/>
    <tableColumn id="6" name="OpenButeeStopsel" dataDxfId="10"/>
    <tableColumn id="7" name="KG" dataDxfId="9"/>
    <tableColumn id="8" name="WIEL A" dataDxfId="8"/>
    <tableColumn id="9" name="WIEL B" dataDxfId="7"/>
    <tableColumn id="10" name="WIEL C" dataDxfId="6"/>
    <tableColumn id="11" name="glijwagen" dataDxfId="5"/>
    <tableColumn id="19" name="ZL?" dataDxfId="4"/>
    <tableColumn id="12" name="ref spiegel/laser" dataDxfId="3"/>
    <tableColumn id="17" name="voet " dataDxfId="2"/>
    <tableColumn id="16" name="speciale vloot op vast wiel" dataDxfId="1"/>
    <tableColumn id="13" name="erop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file01.letdeinze.lan\company\Letdata\data\02\0597A00\D5\020597A00-D5N02C.docx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file:///\\file01.letdeinze.lan\company\Letdata\data\16\0401A01\D5\160401A01-D5N01_.docx" TargetMode="External"/><Relationship Id="rId13" Type="http://schemas.openxmlformats.org/officeDocument/2006/relationships/vmlDrawing" Target="../drawings/vmlDrawing1.vml"/><Relationship Id="rId3" Type="http://schemas.openxmlformats.org/officeDocument/2006/relationships/hyperlink" Target="file:///\\file01.letdeinze.lan\company\Letdata\data\16\0143A01\D5\160143A01-D5N01A.docx" TargetMode="External"/><Relationship Id="rId7" Type="http://schemas.openxmlformats.org/officeDocument/2006/relationships/hyperlink" Target="file:///\\file01.letdeinze.lan\company\Letdata\data\16\0547_01\D5\160547_01-D5N01C.docx" TargetMode="External"/><Relationship Id="rId12" Type="http://schemas.openxmlformats.org/officeDocument/2006/relationships/drawing" Target="../drawings/drawing2.xml"/><Relationship Id="rId17" Type="http://schemas.openxmlformats.org/officeDocument/2006/relationships/image" Target="../media/image4.emf"/><Relationship Id="rId2" Type="http://schemas.openxmlformats.org/officeDocument/2006/relationships/hyperlink" Target="file:///\\file01.letdeinze.lan\company\Letdata\data\16\0142A02\D5\160142A02-D5N01A.docx" TargetMode="External"/><Relationship Id="rId16" Type="http://schemas.openxmlformats.org/officeDocument/2006/relationships/control" Target="../activeX/activeX2.xml"/><Relationship Id="rId1" Type="http://schemas.openxmlformats.org/officeDocument/2006/relationships/hyperlink" Target="file:///\\file01.letdeinze.lan\company\Letdata\data\16\0142A01\D5\160142A01-D5N01A.docx" TargetMode="External"/><Relationship Id="rId6" Type="http://schemas.openxmlformats.org/officeDocument/2006/relationships/hyperlink" Target="file:///\\file01.letdeinze.lan\company\Letdata\data\16\0401A01\D5\160401A01-D5N01_.docx" TargetMode="External"/><Relationship Id="rId11" Type="http://schemas.openxmlformats.org/officeDocument/2006/relationships/printerSettings" Target="../printerSettings/printerSettings4.bin"/><Relationship Id="rId5" Type="http://schemas.openxmlformats.org/officeDocument/2006/relationships/hyperlink" Target="file:///\\file01.letdeinze.lan\company\Letdata\data\16\0144A02\D5\160144A02-D5N01A.docx" TargetMode="External"/><Relationship Id="rId15" Type="http://schemas.openxmlformats.org/officeDocument/2006/relationships/image" Target="../media/image3.emf"/><Relationship Id="rId10" Type="http://schemas.openxmlformats.org/officeDocument/2006/relationships/hyperlink" Target="file:///\\file01.letdeinze.lan\company\Letdata\data\16\0142A01\T3\160142A01-T3N01_.sldasm" TargetMode="External"/><Relationship Id="rId4" Type="http://schemas.openxmlformats.org/officeDocument/2006/relationships/hyperlink" Target="file:///\\file01.letdeinze.lan\company\Letdata\data\16\0144A01\D5\160144A01-D5N01A.docx" TargetMode="External"/><Relationship Id="rId9" Type="http://schemas.openxmlformats.org/officeDocument/2006/relationships/hyperlink" Target="file:///\\file01.letdeinze.lan\company\Letdata\data\16\0142A01\D5\160142A01-D5N01A.docx" TargetMode="External"/><Relationship Id="rId1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file:///\\file01.letdeinze.lan\company\Letdata\data\17\0038_01\D5\170038_01-D5N01_.docx" TargetMode="External"/><Relationship Id="rId13" Type="http://schemas.openxmlformats.org/officeDocument/2006/relationships/hyperlink" Target="file:///\\file01.letdeinze.lan\company\Letdata\data\08\0117A00\D5\080117A00-D5N02_.docx" TargetMode="External"/><Relationship Id="rId3" Type="http://schemas.openxmlformats.org/officeDocument/2006/relationships/hyperlink" Target="file:///\\file01.letdeinze.lan\company\Letdata\data\02\0370_00\D5\D05020370N01_.lnk" TargetMode="External"/><Relationship Id="rId7" Type="http://schemas.openxmlformats.org/officeDocument/2006/relationships/hyperlink" Target="file:///\\file01.letdeinze.lan\company\Letdata\data\15\0494_01\D5\150494_01-D5N01_.docx" TargetMode="External"/><Relationship Id="rId12" Type="http://schemas.openxmlformats.org/officeDocument/2006/relationships/hyperlink" Target="file:///\\file01.letdeinze.lan\company\Letdata\data\17\0038_01\D5\170038_01-D5N01A.docx" TargetMode="External"/><Relationship Id="rId17" Type="http://schemas.openxmlformats.org/officeDocument/2006/relationships/table" Target="../tables/table2.xml"/><Relationship Id="rId2" Type="http://schemas.openxmlformats.org/officeDocument/2006/relationships/hyperlink" Target="file:///\\file01.letdeinze.lan\company\Letdata\data\02\0039_01\D5\020039_01-D5N01_.docx" TargetMode="External"/><Relationship Id="rId16" Type="http://schemas.openxmlformats.org/officeDocument/2006/relationships/printerSettings" Target="../printerSettings/printerSettings5.bin"/><Relationship Id="rId1" Type="http://schemas.openxmlformats.org/officeDocument/2006/relationships/hyperlink" Target="file:///\\file01.letdeinze.lan\company\Letdata\data\02\0039A03\D5\020039A03-D5N01A.docx" TargetMode="External"/><Relationship Id="rId6" Type="http://schemas.openxmlformats.org/officeDocument/2006/relationships/hyperlink" Target="file:///\\file01.letdeinze.lan\company\Letdata\data\12\0324_00\D5\D05120324N01_.lnk" TargetMode="External"/><Relationship Id="rId11" Type="http://schemas.openxmlformats.org/officeDocument/2006/relationships/hyperlink" Target="file:///\\file01.letdeinze.lan\company\Letdata\data\15\0494_01\D5\150494_01-D5N01A.docx" TargetMode="External"/><Relationship Id="rId5" Type="http://schemas.openxmlformats.org/officeDocument/2006/relationships/hyperlink" Target="file:///\\file01.letdeinze.lan\company\Letdata\data\09\0023_00\D5\D05090023N01_.lnk" TargetMode="External"/><Relationship Id="rId15" Type="http://schemas.openxmlformats.org/officeDocument/2006/relationships/hyperlink" Target="file:///\\file01.letdeinze.lan\company\Letdata\data\08\0117_00\D5\080117_00-D5N01B.docx" TargetMode="External"/><Relationship Id="rId10" Type="http://schemas.openxmlformats.org/officeDocument/2006/relationships/hyperlink" Target="file:///\\file01.letdeinze.lan\company\Letdata\data\02\0039A03\D5\020039A03-D5N01B.docx" TargetMode="External"/><Relationship Id="rId4" Type="http://schemas.openxmlformats.org/officeDocument/2006/relationships/hyperlink" Target="file:///\\file01.letdeinze.lan\company\Letdata\data\03\0598_00\D5\D05030598N01_.lnk" TargetMode="External"/><Relationship Id="rId9" Type="http://schemas.openxmlformats.org/officeDocument/2006/relationships/hyperlink" Target="file:///\\file01.letdeinze.lan\company\Letdata\data\02\0039_02\D5\020039_02-D5N01A.docx" TargetMode="External"/><Relationship Id="rId14" Type="http://schemas.openxmlformats.org/officeDocument/2006/relationships/hyperlink" Target="file:///\\file01.letdeinze.lan\company\Letdata\data\04\0382_02\D5\040382_02-D5N01B.docx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file:///\\file01.letdeinze.lan\company\Letdata\data\07\0044A00\D5\070044A00-D5N01_.docx" TargetMode="External"/><Relationship Id="rId13" Type="http://schemas.openxmlformats.org/officeDocument/2006/relationships/hyperlink" Target="file:///\\file01.letdeinze.lan\company\Letdata\data\13\0110A00\D5\130110A00-D5N01_.docx" TargetMode="External"/><Relationship Id="rId18" Type="http://schemas.openxmlformats.org/officeDocument/2006/relationships/hyperlink" Target="file:///\\file01.letdeinze.lan\company\Letdata\data\02\0357B00\D5\D05020357N03_.lnk" TargetMode="External"/><Relationship Id="rId26" Type="http://schemas.openxmlformats.org/officeDocument/2006/relationships/hyperlink" Target="file:///\\file01.letdeinze.lan\company\Letdata\data\02\0340A00\D5\D05020340N02_.lnk" TargetMode="External"/><Relationship Id="rId39" Type="http://schemas.openxmlformats.org/officeDocument/2006/relationships/vmlDrawing" Target="../drawings/vmlDrawing2.vml"/><Relationship Id="rId3" Type="http://schemas.openxmlformats.org/officeDocument/2006/relationships/hyperlink" Target="file:///\\file01.letdeinze.lan\company\Letdata\data\03\0292B00\D5\030292B00-D5N01_.docx" TargetMode="External"/><Relationship Id="rId21" Type="http://schemas.openxmlformats.org/officeDocument/2006/relationships/hyperlink" Target="file:///\\file01.letdeinze.lan\company\Letdata\data\12\0103C00\D5\120103C00-D5N01_.docx" TargetMode="External"/><Relationship Id="rId34" Type="http://schemas.openxmlformats.org/officeDocument/2006/relationships/hyperlink" Target="http://graphemica.com/%E2%85%83" TargetMode="External"/><Relationship Id="rId42" Type="http://schemas.openxmlformats.org/officeDocument/2006/relationships/control" Target="../activeX/activeX4.xml"/><Relationship Id="rId7" Type="http://schemas.openxmlformats.org/officeDocument/2006/relationships/hyperlink" Target="file:///\\file01.letdeinze.lan\company\Letdata\data\06\0019B00\D5\060019B00-D5N01_.docx" TargetMode="External"/><Relationship Id="rId12" Type="http://schemas.openxmlformats.org/officeDocument/2006/relationships/hyperlink" Target="file:///\\file01.letdeinze.lan\company\Letdata\data\13\0055A00\D5\130055A00-D5N01_.docx" TargetMode="External"/><Relationship Id="rId17" Type="http://schemas.openxmlformats.org/officeDocument/2006/relationships/hyperlink" Target="file:///\\file01.letdeinze.lan\company\Letdata\data\05\0166B00\D5\050166B00-D5N01A.docx" TargetMode="External"/><Relationship Id="rId25" Type="http://schemas.openxmlformats.org/officeDocument/2006/relationships/hyperlink" Target="file:///\\file01.letdeinze.lan\company\Letdata\data\05\0183B00\D5\D05050183N03_.lnk" TargetMode="External"/><Relationship Id="rId33" Type="http://schemas.openxmlformats.org/officeDocument/2006/relationships/hyperlink" Target="http://graphemica.com/%E2%85%83" TargetMode="External"/><Relationship Id="rId38" Type="http://schemas.openxmlformats.org/officeDocument/2006/relationships/drawing" Target="../drawings/drawing3.xml"/><Relationship Id="rId2" Type="http://schemas.openxmlformats.org/officeDocument/2006/relationships/hyperlink" Target="file:///\\file01.letdeinze.lan\company\Letdata\data\02\0255B01\D5\020255B01-D5N01_.docx" TargetMode="External"/><Relationship Id="rId16" Type="http://schemas.openxmlformats.org/officeDocument/2006/relationships/hyperlink" Target="file:///\\file01.letdeinze.lan\company\Letdata\data\17\0416A01\D5\170416A01-D5N01_.docx" TargetMode="External"/><Relationship Id="rId20" Type="http://schemas.openxmlformats.org/officeDocument/2006/relationships/hyperlink" Target="file:///\\file01.letdeinze.lan\company\Letdata\data\14\0086B00\D5\140086B00-D5N01_.docx" TargetMode="External"/><Relationship Id="rId29" Type="http://schemas.openxmlformats.org/officeDocument/2006/relationships/hyperlink" Target="file:///\\file01.letdeinze.lan\company\Letdata\data\15\0007A01\D5\150007A01-D5N01_.docx" TargetMode="External"/><Relationship Id="rId41" Type="http://schemas.openxmlformats.org/officeDocument/2006/relationships/image" Target="../media/image5.emf"/><Relationship Id="rId1" Type="http://schemas.openxmlformats.org/officeDocument/2006/relationships/hyperlink" Target="file:///\\file01.letdeinze.lan\company\Letdata\data\02\0255B00\D5\020255B00-D5N01_.docx" TargetMode="External"/><Relationship Id="rId6" Type="http://schemas.openxmlformats.org/officeDocument/2006/relationships/hyperlink" Target="file:///\\file01.letdeinze.lan\company\Letdata\data\05\1027B00\D5\051027B00-D5N01_.docx" TargetMode="External"/><Relationship Id="rId11" Type="http://schemas.openxmlformats.org/officeDocument/2006/relationships/hyperlink" Target="file:///\\file01.letdeinze.lan\company\Letdata\data\09\0330A02\D5\090330A02-D5N01_.docx" TargetMode="External"/><Relationship Id="rId24" Type="http://schemas.openxmlformats.org/officeDocument/2006/relationships/hyperlink" Target="file:///\\file01.letdeinze.lan\company\Letdata\data\04\0187B00\D5\D05040187N03_.lnk" TargetMode="External"/><Relationship Id="rId32" Type="http://schemas.openxmlformats.org/officeDocument/2006/relationships/hyperlink" Target="http://graphemica.com/%E2%85%83" TargetMode="External"/><Relationship Id="rId37" Type="http://schemas.openxmlformats.org/officeDocument/2006/relationships/printerSettings" Target="../printerSettings/printerSettings6.bin"/><Relationship Id="rId40" Type="http://schemas.openxmlformats.org/officeDocument/2006/relationships/control" Target="../activeX/activeX3.xml"/><Relationship Id="rId5" Type="http://schemas.openxmlformats.org/officeDocument/2006/relationships/hyperlink" Target="file:///\\file01.letdeinze.lan\company\Letdata\data\03\0292B01\D5\030292B01-D5N01_.docx" TargetMode="External"/><Relationship Id="rId15" Type="http://schemas.openxmlformats.org/officeDocument/2006/relationships/hyperlink" Target="file:///\\file01.letdeinze.lan\company\Letdata\data\17\0417A01\D5\170417A01-D5N01_.docx" TargetMode="External"/><Relationship Id="rId23" Type="http://schemas.openxmlformats.org/officeDocument/2006/relationships/hyperlink" Target="file:///\\file01.letdeinze.lan\company\Letdata\data\06\0027A00\D5\060027A00-D5N02A.docx" TargetMode="External"/><Relationship Id="rId28" Type="http://schemas.openxmlformats.org/officeDocument/2006/relationships/hyperlink" Target="file:///\\file01.letdeinze.lan\company\Letdata\data\14\0203A00\D5\140203A00-D5E01_.docx" TargetMode="External"/><Relationship Id="rId36" Type="http://schemas.openxmlformats.org/officeDocument/2006/relationships/hyperlink" Target="file:///\\file01.letdeinze.lan\company\Letdata\data\19\0014_01\D5\190014_01-D5N01_.docx" TargetMode="External"/><Relationship Id="rId10" Type="http://schemas.openxmlformats.org/officeDocument/2006/relationships/hyperlink" Target="file:///\\file01.letdeinze.lan\company\Letdata\data\09\0330A01\D5\090330A01-D5N01_.docx" TargetMode="External"/><Relationship Id="rId19" Type="http://schemas.openxmlformats.org/officeDocument/2006/relationships/hyperlink" Target="file:///\\file01.letdeinze.lan\company\Letdata\data\02\0357C00\D5\020357C00-D5N01_.doc" TargetMode="External"/><Relationship Id="rId31" Type="http://schemas.openxmlformats.org/officeDocument/2006/relationships/hyperlink" Target="file:///\\file01.letdeinze.lan\company\Letdata\data\18\0246_01\D5\180246_01-D5N01_.docx" TargetMode="External"/><Relationship Id="rId4" Type="http://schemas.openxmlformats.org/officeDocument/2006/relationships/hyperlink" Target="file:///\\file01.letdeinze.lan\company\Letdata\data\15\0461A01\D5\150461A01-D5N01_.docx" TargetMode="External"/><Relationship Id="rId9" Type="http://schemas.openxmlformats.org/officeDocument/2006/relationships/hyperlink" Target="file:///\\file01.letdeinze.lan\company\Letdata\data\07\0044A01\D5\070044A01-D5N01_.docx" TargetMode="External"/><Relationship Id="rId14" Type="http://schemas.openxmlformats.org/officeDocument/2006/relationships/hyperlink" Target="file:///\\file01.letdeinze.lan\company\Letdata\data\13\0110A01\D5\130110A01-D5N01_.docx" TargetMode="External"/><Relationship Id="rId22" Type="http://schemas.openxmlformats.org/officeDocument/2006/relationships/hyperlink" Target="file:///\\file01.letdeinze.lan\company\Letdata\data\12\0216_00\D5\120216_00-D5N01A.docx" TargetMode="External"/><Relationship Id="rId27" Type="http://schemas.openxmlformats.org/officeDocument/2006/relationships/hyperlink" Target="file:///\\file01.letdeinze.lan\company\Letdata\data\14\0032_00\D5\140032_00-D5N02_.docx" TargetMode="External"/><Relationship Id="rId30" Type="http://schemas.openxmlformats.org/officeDocument/2006/relationships/hyperlink" Target="file:///\\file01.letdeinze.lan\company\Letdata\data\08\0150B00\D5\D05080150N02_.lnk" TargetMode="External"/><Relationship Id="rId35" Type="http://schemas.openxmlformats.org/officeDocument/2006/relationships/hyperlink" Target="http://graphemica.com/%E2%85%83" TargetMode="External"/><Relationship Id="rId43" Type="http://schemas.openxmlformats.org/officeDocument/2006/relationships/image" Target="../media/image6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file:///\\file01.letdeinze.lan\company\Letdata\data\05\0856_00\D5\D05050856N01_.lnk" TargetMode="External"/><Relationship Id="rId7" Type="http://schemas.openxmlformats.org/officeDocument/2006/relationships/hyperlink" Target="file:///\\file01.letdeinze.lan\company\Letdata\data\16\0548_01\D5\160548_01-D5N01_.docx" TargetMode="External"/><Relationship Id="rId2" Type="http://schemas.openxmlformats.org/officeDocument/2006/relationships/hyperlink" Target="file:///\\file01.letdeinze.lan\company\Letdata\data\03\0272_00\D5\D05030272N01_.lnk" TargetMode="External"/><Relationship Id="rId1" Type="http://schemas.openxmlformats.org/officeDocument/2006/relationships/hyperlink" Target="file:///\\file01.letdeinze.lan\company\Letdata\data\02\0298_00\D5\D05020298N01_.lnk" TargetMode="External"/><Relationship Id="rId6" Type="http://schemas.openxmlformats.org/officeDocument/2006/relationships/hyperlink" Target="file:///\\file01.letdeinze.lan\company\Letdata\data\16\0149_01\D5\160149_01-D5N01_.docx" TargetMode="External"/><Relationship Id="rId5" Type="http://schemas.openxmlformats.org/officeDocument/2006/relationships/hyperlink" Target="file:///\\file01.letdeinze.lan\company\Letdata\data\13\0257_00\D5\D05130257N01_.lnk" TargetMode="External"/><Relationship Id="rId4" Type="http://schemas.openxmlformats.org/officeDocument/2006/relationships/hyperlink" Target="file:///\\file01.letdeinze.lan\company\Letdata\data\12\0177_00\D5\D05120177N01_.lnk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file:///\\file01.letdeinze.lan\company\Letdata\data\16\0401A01\D5\160401A01-D5N01_.docx" TargetMode="External"/><Relationship Id="rId13" Type="http://schemas.openxmlformats.org/officeDocument/2006/relationships/control" Target="../activeX/activeX5.xml"/><Relationship Id="rId3" Type="http://schemas.openxmlformats.org/officeDocument/2006/relationships/hyperlink" Target="file:///\\file01.letdeinze.lan\company\Letdata\data\16\0143A01\D5\160143A01-D5N01A.docx" TargetMode="External"/><Relationship Id="rId7" Type="http://schemas.openxmlformats.org/officeDocument/2006/relationships/hyperlink" Target="file:///\\file01.letdeinze.lan\company\Letdata\data\16\0547_01\D5\160547_01-D5N01C.docx" TargetMode="External"/><Relationship Id="rId12" Type="http://schemas.openxmlformats.org/officeDocument/2006/relationships/vmlDrawing" Target="../drawings/vmlDrawing3.vml"/><Relationship Id="rId17" Type="http://schemas.openxmlformats.org/officeDocument/2006/relationships/table" Target="../tables/table3.xml"/><Relationship Id="rId2" Type="http://schemas.openxmlformats.org/officeDocument/2006/relationships/hyperlink" Target="file:///\\file01.letdeinze.lan\company\Letdata\data\16\0142A02\D5\160142A02-D5N01A.docx" TargetMode="External"/><Relationship Id="rId16" Type="http://schemas.openxmlformats.org/officeDocument/2006/relationships/image" Target="../media/image8.emf"/><Relationship Id="rId1" Type="http://schemas.openxmlformats.org/officeDocument/2006/relationships/hyperlink" Target="file:///\\file01.letdeinze.lan\company\Letdata\data\16\0142A01\D5\160142A01-D5N01A.docx" TargetMode="External"/><Relationship Id="rId6" Type="http://schemas.openxmlformats.org/officeDocument/2006/relationships/hyperlink" Target="file:///\\file01.letdeinze.lan\company\Letdata\data\16\0401A01\D5\160401A01-D5N01_.docx" TargetMode="External"/><Relationship Id="rId11" Type="http://schemas.openxmlformats.org/officeDocument/2006/relationships/drawing" Target="../drawings/drawing4.xml"/><Relationship Id="rId5" Type="http://schemas.openxmlformats.org/officeDocument/2006/relationships/hyperlink" Target="file:///\\file01.letdeinze.lan\company\Letdata\data\16\0144A02\D5\160144A02-D5N01A.docx" TargetMode="External"/><Relationship Id="rId15" Type="http://schemas.openxmlformats.org/officeDocument/2006/relationships/control" Target="../activeX/activeX6.xml"/><Relationship Id="rId10" Type="http://schemas.openxmlformats.org/officeDocument/2006/relationships/printerSettings" Target="../printerSettings/printerSettings7.bin"/><Relationship Id="rId4" Type="http://schemas.openxmlformats.org/officeDocument/2006/relationships/hyperlink" Target="file:///\\file01.letdeinze.lan\company\Letdata\data\16\0144A01\D5\160144A01-D5N01A.docx" TargetMode="External"/><Relationship Id="rId9" Type="http://schemas.openxmlformats.org/officeDocument/2006/relationships/hyperlink" Target="file:///\\file01.letdeinze.lan\company\Letdata\data\10\0335_00\T3\T03100335N09_.lnk" TargetMode="External"/><Relationship Id="rId14" Type="http://schemas.openxmlformats.org/officeDocument/2006/relationships/image" Target="../media/image7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://graphemica.com/%E2%85%83" TargetMode="External"/><Relationship Id="rId2" Type="http://schemas.openxmlformats.org/officeDocument/2006/relationships/hyperlink" Target="http://graphemica.com/%E2%85%83" TargetMode="External"/><Relationship Id="rId1" Type="http://schemas.openxmlformats.org/officeDocument/2006/relationships/hyperlink" Target="http://graphemica.com/%E2%85%83" TargetMode="Externa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://graphemica.com/%E2%85%83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file:///\\file01.letdeinze.lan\company\Letdata\data\06\0070A00\D5\060070A00-D5N02A.docx" TargetMode="External"/><Relationship Id="rId13" Type="http://schemas.openxmlformats.org/officeDocument/2006/relationships/hyperlink" Target="file:///\\file01.letdeinze.lan\company\Letdata\data\09\0330_00\D5\090330_00-D5N01A.docx" TargetMode="External"/><Relationship Id="rId18" Type="http://schemas.openxmlformats.org/officeDocument/2006/relationships/hyperlink" Target="file:///\\file01.letdeinze.lan\company\Letdata\data\13\0055_00\D5\130055_00-D5N01A.docx" TargetMode="External"/><Relationship Id="rId3" Type="http://schemas.openxmlformats.org/officeDocument/2006/relationships/hyperlink" Target="file:///\\file01.letdeinze.lan\company\Letdata\data\03\0292A00\D5\030292A00-D5N02A.docx" TargetMode="External"/><Relationship Id="rId21" Type="http://schemas.openxmlformats.org/officeDocument/2006/relationships/hyperlink" Target="file:///\\file01.letdeinze.lan\company\Letdata\data\15\0461_01\D5\150461_01-D5N01A.docx" TargetMode="External"/><Relationship Id="rId7" Type="http://schemas.openxmlformats.org/officeDocument/2006/relationships/hyperlink" Target="file:///\\file01.letdeinze.lan\company\Letdata\data\06\0019A00\D5\060019A00-D5N02A.docx" TargetMode="External"/><Relationship Id="rId12" Type="http://schemas.openxmlformats.org/officeDocument/2006/relationships/hyperlink" Target="file:///\\file01.letdeinze.lan\company\Letdata\data\07\0045_01\D5\070045_01-D5N01A.docx" TargetMode="External"/><Relationship Id="rId17" Type="http://schemas.openxmlformats.org/officeDocument/2006/relationships/hyperlink" Target="file:///\\file01.letdeinze.lan\company\Letdata\data\12\0143_01\D5\120143_01-D5N01A.docx" TargetMode="External"/><Relationship Id="rId2" Type="http://schemas.openxmlformats.org/officeDocument/2006/relationships/hyperlink" Target="file:///\\file01.letdeinze.lan\company\Letdata\data\02\0255A01\D5\020255A01-D5N01A.docx" TargetMode="External"/><Relationship Id="rId16" Type="http://schemas.openxmlformats.org/officeDocument/2006/relationships/hyperlink" Target="file:///\\file01.letdeinze.lan\company\Letdata\data\12\0143_00\D5\120143_00-D5N01A.docx" TargetMode="External"/><Relationship Id="rId20" Type="http://schemas.openxmlformats.org/officeDocument/2006/relationships/hyperlink" Target="file:///\\file01.letdeinze.lan\company\Letdata\data\13\0110_01\D5\130110_01-D5N01A.docx" TargetMode="External"/><Relationship Id="rId1" Type="http://schemas.openxmlformats.org/officeDocument/2006/relationships/hyperlink" Target="file:///\\file01.letdeinze.lan\company\Letdata\data\02\0255A00\D5\020255A00-D5N02A.docx" TargetMode="External"/><Relationship Id="rId6" Type="http://schemas.openxmlformats.org/officeDocument/2006/relationships/hyperlink" Target="file:///\\file01.letdeinze.lan\company\Letdata\data\05\1027A00\D5\051027A00-D5N02A.docx" TargetMode="External"/><Relationship Id="rId11" Type="http://schemas.openxmlformats.org/officeDocument/2006/relationships/hyperlink" Target="file:///\\file01.letdeinze.lan\company\Letdata\data\07\0045_00\D5\070045_00-D5N01A.docx" TargetMode="External"/><Relationship Id="rId24" Type="http://schemas.openxmlformats.org/officeDocument/2006/relationships/table" Target="../tables/table4.xml"/><Relationship Id="rId5" Type="http://schemas.openxmlformats.org/officeDocument/2006/relationships/hyperlink" Target="file:///\\file01.letdeinze.lan\company\Letdata\data\05\0166A00\D5\050166A00-D5N02A.docx" TargetMode="External"/><Relationship Id="rId15" Type="http://schemas.openxmlformats.org/officeDocument/2006/relationships/hyperlink" Target="file:///\\file01.letdeinze.lan\company\Letdata\data\09\0330_02\D5\090330_02-D5N01A.docx" TargetMode="External"/><Relationship Id="rId23" Type="http://schemas.openxmlformats.org/officeDocument/2006/relationships/drawing" Target="../drawings/drawing5.xml"/><Relationship Id="rId10" Type="http://schemas.openxmlformats.org/officeDocument/2006/relationships/hyperlink" Target="file:///\\file01.letdeinze.lan\company\Letdata\data\07\0044_01\D5\070044_01-D5N01A.doc" TargetMode="External"/><Relationship Id="rId19" Type="http://schemas.openxmlformats.org/officeDocument/2006/relationships/hyperlink" Target="file:///\\file01.letdeinze.lan\company\Letdata\data\13\0110_00\D5\130110_00-D5N01A.docx" TargetMode="External"/><Relationship Id="rId4" Type="http://schemas.openxmlformats.org/officeDocument/2006/relationships/hyperlink" Target="file:///\\file01.letdeinze.lan\company\Letdata\data\03\0292A01\D5\030292A01-D5N01B.docx" TargetMode="External"/><Relationship Id="rId9" Type="http://schemas.openxmlformats.org/officeDocument/2006/relationships/hyperlink" Target="file:///\\file01.letdeinze.lan\company\Letdata\data\07\0044_00\D5\070044_00-D5N01A.docx" TargetMode="External"/><Relationship Id="rId14" Type="http://schemas.openxmlformats.org/officeDocument/2006/relationships/hyperlink" Target="file:///\\file01.letdeinze.lan\company\Letdata\data\09\0330_01\D5\090330_01-D5N01_.docx" TargetMode="External"/><Relationship Id="rId22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>
    <tabColor rgb="FFFFC000"/>
    <pageSetUpPr fitToPage="1"/>
  </sheetPr>
  <dimension ref="A1:F32"/>
  <sheetViews>
    <sheetView zoomScaleNormal="100" workbookViewId="0">
      <selection activeCell="C26" sqref="C26"/>
    </sheetView>
  </sheetViews>
  <sheetFormatPr defaultRowHeight="15"/>
  <cols>
    <col min="1" max="1" width="28.85546875" bestFit="1" customWidth="1"/>
    <col min="2" max="2" width="57" bestFit="1" customWidth="1"/>
    <col min="3" max="3" width="40.85546875" customWidth="1"/>
    <col min="4" max="4" width="51" bestFit="1" customWidth="1"/>
    <col min="5" max="5" width="50.140625" bestFit="1" customWidth="1"/>
    <col min="6" max="6" width="50.42578125" bestFit="1" customWidth="1"/>
  </cols>
  <sheetData>
    <row r="1" spans="1:6" s="318" customFormat="1" ht="18.75">
      <c r="A1" s="318" t="s">
        <v>664</v>
      </c>
      <c r="B1" s="318" t="s">
        <v>588</v>
      </c>
      <c r="C1" s="318" t="s">
        <v>518</v>
      </c>
      <c r="D1" s="318" t="s">
        <v>587</v>
      </c>
      <c r="E1" s="318" t="s">
        <v>586</v>
      </c>
      <c r="F1" s="318" t="s">
        <v>585</v>
      </c>
    </row>
    <row r="2" spans="1:6">
      <c r="A2" s="42" t="s">
        <v>584</v>
      </c>
      <c r="B2" s="33" t="s">
        <v>578</v>
      </c>
      <c r="C2" s="201" t="s">
        <v>577</v>
      </c>
      <c r="D2" s="200" t="s">
        <v>576</v>
      </c>
      <c r="E2" t="s">
        <v>21</v>
      </c>
      <c r="F2" s="198" t="s">
        <v>574</v>
      </c>
    </row>
    <row r="3" spans="1:6">
      <c r="A3" s="42" t="s">
        <v>583</v>
      </c>
      <c r="B3" s="33" t="s">
        <v>578</v>
      </c>
      <c r="C3" s="201" t="s">
        <v>577</v>
      </c>
      <c r="D3" s="194" t="s">
        <v>568</v>
      </c>
      <c r="E3" t="s">
        <v>21</v>
      </c>
      <c r="F3" t="s">
        <v>567</v>
      </c>
    </row>
    <row r="4" spans="1:6">
      <c r="A4" s="42" t="s">
        <v>582</v>
      </c>
      <c r="B4" s="203" t="s">
        <v>580</v>
      </c>
      <c r="C4" s="201" t="s">
        <v>577</v>
      </c>
      <c r="D4" t="s">
        <v>21</v>
      </c>
      <c r="E4" t="s">
        <v>21</v>
      </c>
      <c r="F4" t="s">
        <v>21</v>
      </c>
    </row>
    <row r="5" spans="1:6">
      <c r="A5" s="42" t="s">
        <v>581</v>
      </c>
      <c r="B5" s="203" t="s">
        <v>580</v>
      </c>
      <c r="C5" s="201" t="s">
        <v>577</v>
      </c>
      <c r="D5" t="s">
        <v>21</v>
      </c>
      <c r="E5" s="199" t="s">
        <v>575</v>
      </c>
      <c r="F5" t="s">
        <v>21</v>
      </c>
    </row>
    <row r="6" spans="1:6">
      <c r="A6" s="42" t="s">
        <v>579</v>
      </c>
      <c r="B6" s="202" t="s">
        <v>578</v>
      </c>
      <c r="C6" s="201" t="s">
        <v>577</v>
      </c>
      <c r="D6" s="200" t="s">
        <v>576</v>
      </c>
      <c r="E6" s="199" t="s">
        <v>575</v>
      </c>
      <c r="F6" s="198" t="s">
        <v>574</v>
      </c>
    </row>
    <row r="7" spans="1:6">
      <c r="A7" s="42" t="s">
        <v>573</v>
      </c>
      <c r="B7" s="246" t="s">
        <v>665</v>
      </c>
      <c r="C7" s="197" t="s">
        <v>572</v>
      </c>
      <c r="D7" s="194" t="s">
        <v>568</v>
      </c>
      <c r="E7" t="s">
        <v>21</v>
      </c>
      <c r="F7" s="193" t="s">
        <v>567</v>
      </c>
    </row>
    <row r="8" spans="1:6">
      <c r="A8" s="42" t="s">
        <v>571</v>
      </c>
      <c r="B8" s="196" t="s">
        <v>570</v>
      </c>
      <c r="C8" s="195" t="s">
        <v>569</v>
      </c>
      <c r="D8" s="194" t="s">
        <v>568</v>
      </c>
      <c r="E8" t="s">
        <v>21</v>
      </c>
      <c r="F8" s="193" t="s">
        <v>567</v>
      </c>
    </row>
    <row r="16" spans="1:6">
      <c r="C16" t="s">
        <v>666</v>
      </c>
    </row>
    <row r="32" spans="5:5">
      <c r="E32" t="s">
        <v>888</v>
      </c>
    </row>
  </sheetData>
  <pageMargins left="0.7" right="0.7" top="0.75" bottom="0.75" header="0.3" footer="0.3"/>
  <pageSetup paperSize="9" scale="51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FF0000"/>
  </sheetPr>
  <dimension ref="A1:AF25"/>
  <sheetViews>
    <sheetView workbookViewId="0">
      <selection activeCell="A16" sqref="A16"/>
    </sheetView>
  </sheetViews>
  <sheetFormatPr defaultRowHeight="15"/>
  <cols>
    <col min="1" max="1" width="31.85546875" bestFit="1" customWidth="1"/>
    <col min="2" max="2" width="11.5703125" customWidth="1"/>
    <col min="3" max="3" width="16.7109375" customWidth="1"/>
    <col min="4" max="4" width="18" customWidth="1"/>
    <col min="5" max="11" width="9.85546875" customWidth="1"/>
  </cols>
  <sheetData>
    <row r="1" spans="1:32">
      <c r="A1" t="s">
        <v>0</v>
      </c>
      <c r="B1" t="s">
        <v>1</v>
      </c>
      <c r="C1" t="s">
        <v>60</v>
      </c>
      <c r="D1" t="s">
        <v>106</v>
      </c>
      <c r="E1" t="s">
        <v>123</v>
      </c>
      <c r="F1" t="s">
        <v>92</v>
      </c>
      <c r="G1" t="s">
        <v>93</v>
      </c>
      <c r="H1" t="s">
        <v>107</v>
      </c>
      <c r="I1" t="s">
        <v>108</v>
      </c>
      <c r="J1" t="s">
        <v>109</v>
      </c>
      <c r="K1" t="s">
        <v>110</v>
      </c>
    </row>
    <row r="2" spans="1:32">
      <c r="A2" t="s">
        <v>94</v>
      </c>
      <c r="B2" t="s">
        <v>62</v>
      </c>
      <c r="C2" t="s">
        <v>111</v>
      </c>
      <c r="D2" t="s">
        <v>22</v>
      </c>
      <c r="E2" s="2" t="s">
        <v>124</v>
      </c>
      <c r="W2" s="1"/>
      <c r="AE2" s="1"/>
      <c r="AF2" s="1"/>
    </row>
    <row r="3" spans="1:32">
      <c r="A3" t="s">
        <v>95</v>
      </c>
      <c r="B3" t="s">
        <v>62</v>
      </c>
      <c r="C3" t="s">
        <v>112</v>
      </c>
      <c r="D3" t="s">
        <v>22</v>
      </c>
      <c r="E3" t="str">
        <f>E2</f>
        <v>4in1</v>
      </c>
      <c r="W3" s="1"/>
      <c r="AE3" s="1"/>
      <c r="AF3" s="1"/>
    </row>
    <row r="4" spans="1:32" hidden="1">
      <c r="A4" t="s">
        <v>96</v>
      </c>
      <c r="B4" t="s">
        <v>62</v>
      </c>
      <c r="C4" t="s">
        <v>113</v>
      </c>
      <c r="W4" s="1"/>
      <c r="AE4" s="1"/>
      <c r="AF4" s="1"/>
    </row>
    <row r="5" spans="1:32" hidden="1">
      <c r="A5" t="s">
        <v>97</v>
      </c>
      <c r="B5" t="s">
        <v>62</v>
      </c>
      <c r="C5" t="s">
        <v>114</v>
      </c>
      <c r="W5" s="1"/>
      <c r="AE5" s="1"/>
      <c r="AF5" s="1"/>
    </row>
    <row r="6" spans="1:32" hidden="1">
      <c r="A6" t="s">
        <v>98</v>
      </c>
      <c r="B6" t="s">
        <v>62</v>
      </c>
      <c r="C6" t="s">
        <v>115</v>
      </c>
      <c r="W6" s="1"/>
      <c r="AE6" s="1"/>
      <c r="AF6" s="1"/>
    </row>
    <row r="7" spans="1:32" hidden="1">
      <c r="A7" t="s">
        <v>99</v>
      </c>
      <c r="B7" t="s">
        <v>62</v>
      </c>
      <c r="C7" t="s">
        <v>116</v>
      </c>
      <c r="W7" s="1"/>
      <c r="AE7" s="1"/>
      <c r="AF7" s="1"/>
    </row>
    <row r="8" spans="1:32" hidden="1">
      <c r="A8" t="s">
        <v>100</v>
      </c>
      <c r="B8" t="s">
        <v>62</v>
      </c>
      <c r="C8" t="s">
        <v>117</v>
      </c>
      <c r="W8" s="1"/>
      <c r="AE8" s="1"/>
      <c r="AF8" s="1"/>
    </row>
    <row r="9" spans="1:32">
      <c r="A9" t="s">
        <v>101</v>
      </c>
      <c r="B9" t="s">
        <v>62</v>
      </c>
      <c r="C9" t="s">
        <v>118</v>
      </c>
      <c r="D9" t="s">
        <v>22</v>
      </c>
      <c r="E9" t="str">
        <f>E2</f>
        <v>4in1</v>
      </c>
      <c r="W9" s="1"/>
      <c r="AE9" s="1"/>
      <c r="AF9" s="1"/>
    </row>
    <row r="10" spans="1:32" hidden="1">
      <c r="A10" t="s">
        <v>102</v>
      </c>
      <c r="B10" t="s">
        <v>62</v>
      </c>
      <c r="C10" t="s">
        <v>119</v>
      </c>
      <c r="W10" s="1"/>
      <c r="AE10" s="1"/>
      <c r="AF10" s="1"/>
    </row>
    <row r="11" spans="1:32" hidden="1">
      <c r="A11" t="s">
        <v>103</v>
      </c>
      <c r="B11" t="s">
        <v>62</v>
      </c>
      <c r="C11" t="s">
        <v>120</v>
      </c>
      <c r="W11" s="1"/>
      <c r="AE11" s="1"/>
      <c r="AF11" s="1"/>
    </row>
    <row r="12" spans="1:32">
      <c r="A12" t="s">
        <v>741</v>
      </c>
      <c r="B12" t="s">
        <v>62</v>
      </c>
      <c r="C12" t="s">
        <v>121</v>
      </c>
      <c r="D12" t="s">
        <v>22</v>
      </c>
      <c r="E12" t="str">
        <f>E2</f>
        <v>4in1</v>
      </c>
      <c r="W12" s="1"/>
      <c r="AE12" s="1"/>
      <c r="AF12" s="1"/>
    </row>
    <row r="13" spans="1:32" hidden="1">
      <c r="A13" t="s">
        <v>105</v>
      </c>
      <c r="B13" t="s">
        <v>62</v>
      </c>
      <c r="C13" t="s">
        <v>122</v>
      </c>
      <c r="W13" s="1"/>
      <c r="AE13" s="1"/>
      <c r="AF13" s="1"/>
    </row>
    <row r="14" spans="1:32" hidden="1"/>
    <row r="17" spans="5:5">
      <c r="E17" t="s">
        <v>125</v>
      </c>
    </row>
    <row r="18" spans="5:5">
      <c r="E18" t="s">
        <v>126</v>
      </c>
    </row>
    <row r="19" spans="5:5">
      <c r="E19" t="s">
        <v>127</v>
      </c>
    </row>
    <row r="20" spans="5:5">
      <c r="E20" t="s">
        <v>128</v>
      </c>
    </row>
    <row r="21" spans="5:5">
      <c r="E21" t="s">
        <v>129</v>
      </c>
    </row>
    <row r="22" spans="5:5">
      <c r="E22" t="s">
        <v>130</v>
      </c>
    </row>
    <row r="23" spans="5:5">
      <c r="E23" t="s">
        <v>136</v>
      </c>
    </row>
    <row r="25" spans="5:5">
      <c r="E25" t="s">
        <v>137</v>
      </c>
    </row>
  </sheetData>
  <hyperlinks>
    <hyperlink ref="E2" r:id="rId1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>
    <tabColor rgb="FF0070C0"/>
  </sheetPr>
  <dimension ref="A1:AP73"/>
  <sheetViews>
    <sheetView workbookViewId="0">
      <selection activeCell="C77" sqref="C77"/>
    </sheetView>
  </sheetViews>
  <sheetFormatPr defaultRowHeight="15"/>
  <cols>
    <col min="1" max="1" width="42.42578125" customWidth="1"/>
    <col min="2" max="2" width="21.5703125" customWidth="1"/>
    <col min="3" max="3" width="18.7109375" style="41" customWidth="1"/>
    <col min="4" max="4" width="7.5703125" bestFit="1" customWidth="1"/>
    <col min="5" max="5" width="6.7109375" bestFit="1" customWidth="1"/>
    <col min="6" max="6" width="4.28515625" bestFit="1" customWidth="1"/>
    <col min="7" max="7" width="9.42578125" bestFit="1" customWidth="1"/>
    <col min="8" max="8" width="16.85546875" bestFit="1" customWidth="1"/>
    <col min="9" max="9" width="48.5703125" bestFit="1" customWidth="1"/>
    <col min="10" max="10" width="19.28515625" bestFit="1" customWidth="1"/>
    <col min="11" max="11" width="16" bestFit="1" customWidth="1"/>
    <col min="12" max="12" width="10.5703125" bestFit="1" customWidth="1"/>
    <col min="13" max="13" width="21.5703125" bestFit="1" customWidth="1"/>
    <col min="14" max="14" width="17.85546875" bestFit="1" customWidth="1"/>
    <col min="15" max="15" width="5.5703125" bestFit="1" customWidth="1"/>
  </cols>
  <sheetData>
    <row r="1" spans="1:42">
      <c r="C1" s="41" t="s">
        <v>799</v>
      </c>
    </row>
    <row r="2" spans="1:42">
      <c r="A2" s="33" t="s">
        <v>767</v>
      </c>
      <c r="B2" t="s">
        <v>768</v>
      </c>
      <c r="AG2" s="1"/>
      <c r="AO2" s="1"/>
      <c r="AP2" s="1"/>
    </row>
    <row r="3" spans="1:42">
      <c r="A3" s="33" t="s">
        <v>315</v>
      </c>
      <c r="B3" t="s">
        <v>316</v>
      </c>
      <c r="AG3" s="1"/>
      <c r="AO3" s="1"/>
      <c r="AP3" s="1"/>
    </row>
    <row r="4" spans="1:42">
      <c r="A4" s="33" t="s">
        <v>769</v>
      </c>
      <c r="B4" t="s">
        <v>770</v>
      </c>
      <c r="AG4" s="1"/>
      <c r="AO4" s="1"/>
      <c r="AP4" s="1"/>
    </row>
    <row r="5" spans="1:42">
      <c r="A5" s="33" t="s">
        <v>766</v>
      </c>
      <c r="B5" t="s">
        <v>314</v>
      </c>
      <c r="AG5" s="1"/>
      <c r="AO5" s="1"/>
      <c r="AP5" s="1"/>
    </row>
    <row r="6" spans="1:42">
      <c r="A6" s="33" t="s">
        <v>775</v>
      </c>
      <c r="B6" t="s">
        <v>776</v>
      </c>
      <c r="AG6" s="1"/>
      <c r="AO6" s="1"/>
      <c r="AP6" s="1"/>
    </row>
    <row r="7" spans="1:42">
      <c r="A7" s="33" t="s">
        <v>332</v>
      </c>
      <c r="B7" t="s">
        <v>333</v>
      </c>
      <c r="AG7" s="1"/>
      <c r="AO7" s="1"/>
      <c r="AP7" s="1"/>
    </row>
    <row r="8" spans="1:42">
      <c r="A8" s="33" t="s">
        <v>777</v>
      </c>
      <c r="B8" t="s">
        <v>335</v>
      </c>
      <c r="AG8" s="1"/>
      <c r="AO8" s="1"/>
      <c r="AP8" s="1"/>
    </row>
    <row r="9" spans="1:42">
      <c r="A9" s="33" t="s">
        <v>773</v>
      </c>
      <c r="B9" t="s">
        <v>774</v>
      </c>
      <c r="AG9" s="1"/>
      <c r="AO9" s="1"/>
      <c r="AP9" s="1"/>
    </row>
    <row r="10" spans="1:42">
      <c r="A10" s="33" t="s">
        <v>778</v>
      </c>
      <c r="B10" t="s">
        <v>779</v>
      </c>
      <c r="AG10" s="1"/>
      <c r="AO10" s="1"/>
      <c r="AP10" s="1"/>
    </row>
    <row r="11" spans="1:42">
      <c r="A11" s="33" t="s">
        <v>789</v>
      </c>
      <c r="B11" t="s">
        <v>790</v>
      </c>
      <c r="AG11" s="1"/>
      <c r="AO11" s="1"/>
      <c r="AP11" s="1"/>
    </row>
    <row r="12" spans="1:42">
      <c r="A12" s="33" t="s">
        <v>771</v>
      </c>
      <c r="B12" t="s">
        <v>772</v>
      </c>
      <c r="AG12" s="1"/>
      <c r="AO12" s="1"/>
      <c r="AP12" s="1"/>
    </row>
    <row r="13" spans="1:42">
      <c r="A13" s="33" t="s">
        <v>782</v>
      </c>
      <c r="B13" t="s">
        <v>783</v>
      </c>
      <c r="AG13" s="1"/>
      <c r="AO13" s="1"/>
      <c r="AP13" s="1"/>
    </row>
    <row r="14" spans="1:42">
      <c r="A14" s="33" t="s">
        <v>784</v>
      </c>
      <c r="B14" t="s">
        <v>785</v>
      </c>
      <c r="C14" s="41" t="s">
        <v>800</v>
      </c>
      <c r="AG14" s="1"/>
      <c r="AO14" s="1"/>
      <c r="AP14" s="1"/>
    </row>
    <row r="15" spans="1:42">
      <c r="A15" s="33"/>
      <c r="AG15" s="1"/>
      <c r="AO15" s="1"/>
      <c r="AP15" s="1"/>
    </row>
    <row r="16" spans="1:42">
      <c r="A16" s="33"/>
      <c r="AG16" s="1"/>
      <c r="AO16" s="1"/>
      <c r="AP16" s="1"/>
    </row>
    <row r="17" spans="1:42">
      <c r="A17" s="33" t="s">
        <v>330</v>
      </c>
      <c r="B17" t="s">
        <v>331</v>
      </c>
      <c r="AG17" s="1"/>
      <c r="AO17" s="1"/>
      <c r="AP17" s="1"/>
    </row>
    <row r="18" spans="1:42">
      <c r="A18" s="33" t="s">
        <v>780</v>
      </c>
      <c r="B18" t="s">
        <v>337</v>
      </c>
      <c r="AG18" s="1"/>
      <c r="AO18" s="1"/>
      <c r="AP18" s="1"/>
    </row>
    <row r="19" spans="1:42">
      <c r="A19" s="33" t="s">
        <v>781</v>
      </c>
      <c r="B19" t="s">
        <v>337</v>
      </c>
      <c r="AG19" s="1"/>
      <c r="AO19" s="1"/>
      <c r="AP19" s="1"/>
    </row>
    <row r="20" spans="1:42">
      <c r="A20" s="33" t="s">
        <v>786</v>
      </c>
      <c r="B20" t="s">
        <v>339</v>
      </c>
      <c r="C20" s="41" t="s">
        <v>800</v>
      </c>
      <c r="AG20" s="1"/>
      <c r="AO20" s="1"/>
      <c r="AP20" s="1"/>
    </row>
    <row r="21" spans="1:42">
      <c r="A21" s="33"/>
      <c r="AG21" s="1"/>
      <c r="AO21" s="1"/>
      <c r="AP21" s="1"/>
    </row>
    <row r="22" spans="1:42">
      <c r="A22" s="33" t="s">
        <v>787</v>
      </c>
      <c r="B22" t="s">
        <v>788</v>
      </c>
      <c r="D22" t="s">
        <v>837</v>
      </c>
      <c r="AG22" s="1"/>
      <c r="AO22" s="1"/>
      <c r="AP22" s="1"/>
    </row>
    <row r="23" spans="1:42">
      <c r="B23" t="s">
        <v>801</v>
      </c>
      <c r="C23" s="41" t="s">
        <v>800</v>
      </c>
      <c r="AG23" s="1"/>
      <c r="AO23" s="1"/>
      <c r="AP23" s="1"/>
    </row>
    <row r="24" spans="1:42">
      <c r="AG24" s="1"/>
      <c r="AO24" s="1"/>
      <c r="AP24" s="1"/>
    </row>
    <row r="25" spans="1:42">
      <c r="C25" s="41" t="s">
        <v>834</v>
      </c>
      <c r="AG25" s="1"/>
      <c r="AO25" s="1"/>
      <c r="AP25" s="1"/>
    </row>
    <row r="26" spans="1:42">
      <c r="AG26" s="1"/>
      <c r="AO26" s="1"/>
      <c r="AP26" s="1"/>
    </row>
    <row r="27" spans="1:42">
      <c r="AG27" s="1"/>
      <c r="AO27" s="1"/>
      <c r="AP27" s="1"/>
    </row>
    <row r="28" spans="1:42">
      <c r="AG28" s="1"/>
      <c r="AO28" s="1"/>
      <c r="AP28" s="1"/>
    </row>
    <row r="29" spans="1:42">
      <c r="C29" s="449" t="s">
        <v>856</v>
      </c>
      <c r="D29" s="449"/>
      <c r="E29" s="195" t="s">
        <v>838</v>
      </c>
      <c r="F29" s="195" t="s">
        <v>839</v>
      </c>
      <c r="G29" s="195" t="s">
        <v>1</v>
      </c>
      <c r="H29" s="195" t="s">
        <v>60</v>
      </c>
      <c r="I29" s="195" t="s">
        <v>0</v>
      </c>
      <c r="J29" s="195" t="s">
        <v>840</v>
      </c>
      <c r="AG29" s="1"/>
      <c r="AO29" s="1"/>
      <c r="AP29" s="1"/>
    </row>
    <row r="30" spans="1:42">
      <c r="C30" s="449"/>
      <c r="D30" s="449"/>
      <c r="E30" s="195" t="s">
        <v>841</v>
      </c>
      <c r="F30" s="195" t="s">
        <v>842</v>
      </c>
      <c r="G30" s="195" t="s">
        <v>843</v>
      </c>
      <c r="H30" s="195" t="s">
        <v>844</v>
      </c>
      <c r="I30" s="195" t="s">
        <v>845</v>
      </c>
      <c r="J30" s="195" t="s">
        <v>846</v>
      </c>
      <c r="AG30" s="1"/>
      <c r="AO30" s="1"/>
      <c r="AP30" s="1"/>
    </row>
    <row r="31" spans="1:42">
      <c r="C31" s="449"/>
      <c r="D31" s="449"/>
      <c r="E31" s="195" t="s">
        <v>847</v>
      </c>
      <c r="F31" s="195" t="s">
        <v>842</v>
      </c>
      <c r="G31" s="195" t="s">
        <v>848</v>
      </c>
      <c r="H31" s="195" t="s">
        <v>849</v>
      </c>
      <c r="I31" s="195" t="s">
        <v>850</v>
      </c>
      <c r="J31" s="195" t="s">
        <v>851</v>
      </c>
      <c r="AG31" s="1"/>
      <c r="AO31" s="1"/>
      <c r="AP31" s="1"/>
    </row>
    <row r="32" spans="1:42">
      <c r="C32" s="449"/>
      <c r="D32" s="449"/>
      <c r="E32" s="195" t="s">
        <v>847</v>
      </c>
      <c r="F32" s="195" t="s">
        <v>842</v>
      </c>
      <c r="G32" s="195" t="s">
        <v>852</v>
      </c>
      <c r="H32" s="195" t="s">
        <v>853</v>
      </c>
      <c r="I32" s="195" t="s">
        <v>854</v>
      </c>
      <c r="J32" s="195" t="s">
        <v>855</v>
      </c>
      <c r="AG32" s="1"/>
      <c r="AO32" s="1"/>
      <c r="AP32" s="1"/>
    </row>
    <row r="33" spans="1:42">
      <c r="AG33" s="1"/>
      <c r="AO33" s="1"/>
      <c r="AP33" s="1"/>
    </row>
    <row r="34" spans="1:42">
      <c r="A34" s="33" t="s">
        <v>789</v>
      </c>
      <c r="B34" t="s">
        <v>790</v>
      </c>
    </row>
    <row r="35" spans="1:42">
      <c r="A35" s="33" t="s">
        <v>766</v>
      </c>
      <c r="B35" t="s">
        <v>314</v>
      </c>
    </row>
    <row r="36" spans="1:42">
      <c r="A36" s="33" t="s">
        <v>767</v>
      </c>
      <c r="B36" t="s">
        <v>768</v>
      </c>
    </row>
    <row r="37" spans="1:42">
      <c r="A37" s="33" t="s">
        <v>315</v>
      </c>
      <c r="B37" t="s">
        <v>316</v>
      </c>
    </row>
    <row r="38" spans="1:42">
      <c r="A38" s="33" t="s">
        <v>769</v>
      </c>
      <c r="B38" t="s">
        <v>770</v>
      </c>
    </row>
    <row r="39" spans="1:42">
      <c r="A39" s="33" t="s">
        <v>771</v>
      </c>
      <c r="B39" t="s">
        <v>772</v>
      </c>
    </row>
    <row r="40" spans="1:42" ht="15.75" thickBot="1">
      <c r="A40" s="33" t="s">
        <v>773</v>
      </c>
      <c r="B40" t="s">
        <v>774</v>
      </c>
    </row>
    <row r="41" spans="1:42">
      <c r="A41" s="33" t="s">
        <v>775</v>
      </c>
      <c r="B41" s="409" t="s">
        <v>776</v>
      </c>
    </row>
    <row r="42" spans="1:42" ht="15.75" thickBot="1">
      <c r="A42" t="s">
        <v>889</v>
      </c>
      <c r="B42" s="434" t="s">
        <v>776</v>
      </c>
    </row>
    <row r="43" spans="1:42">
      <c r="A43" t="s">
        <v>332</v>
      </c>
      <c r="B43" s="409" t="s">
        <v>333</v>
      </c>
    </row>
    <row r="44" spans="1:42" ht="15.75" thickBot="1">
      <c r="A44" s="33" t="s">
        <v>332</v>
      </c>
      <c r="B44" s="434" t="s">
        <v>333</v>
      </c>
    </row>
    <row r="45" spans="1:42">
      <c r="A45" t="s">
        <v>334</v>
      </c>
      <c r="B45" s="409" t="s">
        <v>335</v>
      </c>
    </row>
    <row r="46" spans="1:42" ht="15.75" thickBot="1">
      <c r="A46" s="33" t="s">
        <v>777</v>
      </c>
      <c r="B46" s="434" t="s">
        <v>335</v>
      </c>
    </row>
    <row r="47" spans="1:42">
      <c r="A47" s="33" t="s">
        <v>778</v>
      </c>
      <c r="B47" t="s">
        <v>779</v>
      </c>
    </row>
    <row r="48" spans="1:42">
      <c r="A48" t="s">
        <v>893</v>
      </c>
      <c r="B48" t="s">
        <v>790</v>
      </c>
    </row>
    <row r="49" spans="1:2">
      <c r="A49" t="s">
        <v>890</v>
      </c>
      <c r="B49" t="s">
        <v>903</v>
      </c>
    </row>
    <row r="50" spans="1:2" ht="15.75" thickBot="1">
      <c r="A50" t="s">
        <v>891</v>
      </c>
      <c r="B50" t="s">
        <v>904</v>
      </c>
    </row>
    <row r="51" spans="1:2">
      <c r="A51" t="s">
        <v>898</v>
      </c>
      <c r="B51" s="409" t="s">
        <v>331</v>
      </c>
    </row>
    <row r="52" spans="1:2" ht="15.75" thickBot="1">
      <c r="A52" s="33" t="s">
        <v>330</v>
      </c>
      <c r="B52" s="434" t="s">
        <v>331</v>
      </c>
    </row>
    <row r="53" spans="1:2">
      <c r="A53" s="33" t="s">
        <v>780</v>
      </c>
      <c r="B53" s="409" t="s">
        <v>337</v>
      </c>
    </row>
    <row r="54" spans="1:2">
      <c r="A54" t="s">
        <v>336</v>
      </c>
      <c r="B54" s="443" t="s">
        <v>337</v>
      </c>
    </row>
    <row r="55" spans="1:2" ht="15.75" thickBot="1">
      <c r="A55" s="33" t="s">
        <v>781</v>
      </c>
      <c r="B55" s="434" t="s">
        <v>337</v>
      </c>
    </row>
    <row r="56" spans="1:2">
      <c r="A56" t="s">
        <v>892</v>
      </c>
      <c r="B56" t="s">
        <v>905</v>
      </c>
    </row>
    <row r="57" spans="1:2">
      <c r="A57" t="s">
        <v>859</v>
      </c>
      <c r="B57" t="s">
        <v>906</v>
      </c>
    </row>
    <row r="58" spans="1:2" ht="15.75" thickBot="1">
      <c r="A58" t="s">
        <v>863</v>
      </c>
      <c r="B58" t="s">
        <v>907</v>
      </c>
    </row>
    <row r="59" spans="1:2">
      <c r="A59" t="s">
        <v>782</v>
      </c>
      <c r="B59" s="409" t="s">
        <v>772</v>
      </c>
    </row>
    <row r="60" spans="1:2" ht="15.75" thickBot="1">
      <c r="A60" s="33" t="s">
        <v>782</v>
      </c>
      <c r="B60" s="434" t="s">
        <v>783</v>
      </c>
    </row>
    <row r="61" spans="1:2" ht="15.75" thickBot="1">
      <c r="A61" t="s">
        <v>894</v>
      </c>
      <c r="B61" t="s">
        <v>908</v>
      </c>
    </row>
    <row r="62" spans="1:2">
      <c r="A62" s="33" t="s">
        <v>784</v>
      </c>
      <c r="B62" s="409" t="s">
        <v>785</v>
      </c>
    </row>
    <row r="63" spans="1:2" ht="15.75" thickBot="1">
      <c r="A63" t="s">
        <v>895</v>
      </c>
      <c r="B63" s="434" t="s">
        <v>785</v>
      </c>
    </row>
    <row r="64" spans="1:2">
      <c r="A64" t="s">
        <v>896</v>
      </c>
      <c r="B64" t="s">
        <v>909</v>
      </c>
    </row>
    <row r="65" spans="1:2" ht="15.75" thickBot="1">
      <c r="A65" t="s">
        <v>899</v>
      </c>
      <c r="B65" t="s">
        <v>910</v>
      </c>
    </row>
    <row r="66" spans="1:2">
      <c r="A66" t="s">
        <v>338</v>
      </c>
      <c r="B66" s="409" t="s">
        <v>339</v>
      </c>
    </row>
    <row r="67" spans="1:2" ht="15.75" thickBot="1">
      <c r="A67" s="33" t="s">
        <v>786</v>
      </c>
      <c r="B67" s="434" t="s">
        <v>339</v>
      </c>
    </row>
    <row r="68" spans="1:2">
      <c r="A68" t="s">
        <v>787</v>
      </c>
      <c r="B68" s="409" t="s">
        <v>788</v>
      </c>
    </row>
    <row r="69" spans="1:2" ht="15.75" thickBot="1">
      <c r="A69" s="33" t="s">
        <v>787</v>
      </c>
      <c r="B69" s="434" t="s">
        <v>788</v>
      </c>
    </row>
    <row r="70" spans="1:2">
      <c r="A70" t="s">
        <v>901</v>
      </c>
      <c r="B70" t="s">
        <v>911</v>
      </c>
    </row>
    <row r="71" spans="1:2">
      <c r="A71" t="s">
        <v>900</v>
      </c>
      <c r="B71" t="s">
        <v>912</v>
      </c>
    </row>
    <row r="72" spans="1:2">
      <c r="A72" t="s">
        <v>902</v>
      </c>
      <c r="B72" t="s">
        <v>913</v>
      </c>
    </row>
    <row r="73" spans="1:2">
      <c r="A73" t="s">
        <v>897</v>
      </c>
      <c r="B73" t="s">
        <v>914</v>
      </c>
    </row>
  </sheetData>
  <sortState ref="A1:B34">
    <sortCondition ref="B1"/>
  </sortState>
  <mergeCells count="1">
    <mergeCell ref="C29:D3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tabColor rgb="FFFFC000"/>
    <pageSetUpPr fitToPage="1"/>
  </sheetPr>
  <dimension ref="A1:BJ18"/>
  <sheetViews>
    <sheetView zoomScale="120" zoomScaleNormal="120" workbookViewId="0">
      <selection activeCell="H18" sqref="H18"/>
    </sheetView>
  </sheetViews>
  <sheetFormatPr defaultRowHeight="15"/>
  <cols>
    <col min="2" max="2" width="30.140625" bestFit="1" customWidth="1"/>
    <col min="3" max="3" width="1.85546875" customWidth="1"/>
    <col min="4" max="4" width="10.7109375" bestFit="1" customWidth="1"/>
    <col min="5" max="5" width="11" bestFit="1" customWidth="1"/>
    <col min="6" max="6" width="6.7109375" bestFit="1" customWidth="1"/>
    <col min="7" max="8" width="11.7109375" bestFit="1" customWidth="1"/>
    <col min="9" max="9" width="11.28515625" bestFit="1" customWidth="1"/>
    <col min="10" max="10" width="9.85546875" bestFit="1" customWidth="1"/>
    <col min="11" max="11" width="12.5703125" bestFit="1" customWidth="1"/>
    <col min="12" max="12" width="11.85546875" bestFit="1" customWidth="1"/>
    <col min="13" max="13" width="8.85546875" bestFit="1" customWidth="1"/>
    <col min="14" max="16" width="8.7109375" bestFit="1" customWidth="1"/>
    <col min="17" max="17" width="5.28515625" bestFit="1" customWidth="1"/>
    <col min="18" max="18" width="5.28515625" customWidth="1"/>
    <col min="19" max="19" width="14.42578125" bestFit="1" customWidth="1"/>
    <col min="20" max="20" width="10.7109375" bestFit="1" customWidth="1"/>
  </cols>
  <sheetData>
    <row r="1" spans="1:62" ht="15.75" thickBot="1"/>
    <row r="2" spans="1:62" s="58" customFormat="1" ht="15.75" thickBot="1">
      <c r="B2" s="59" t="s">
        <v>535</v>
      </c>
      <c r="C2" s="60" t="s">
        <v>536</v>
      </c>
      <c r="D2" s="423" t="s">
        <v>879</v>
      </c>
      <c r="E2" s="424" t="s">
        <v>878</v>
      </c>
      <c r="F2" s="62" t="s">
        <v>537</v>
      </c>
      <c r="G2" s="59" t="s">
        <v>538</v>
      </c>
      <c r="H2" s="63" t="s">
        <v>539</v>
      </c>
      <c r="I2" s="296" t="s">
        <v>540</v>
      </c>
      <c r="J2" s="61" t="s">
        <v>541</v>
      </c>
      <c r="K2" s="60" t="s">
        <v>542</v>
      </c>
      <c r="L2" s="61" t="s">
        <v>543</v>
      </c>
      <c r="M2" s="450" t="s">
        <v>544</v>
      </c>
      <c r="N2" s="451"/>
      <c r="O2" s="451"/>
      <c r="P2" s="452"/>
      <c r="Q2" s="61" t="s">
        <v>545</v>
      </c>
      <c r="R2" s="64" t="s">
        <v>546</v>
      </c>
      <c r="S2" s="64" t="s">
        <v>547</v>
      </c>
      <c r="T2" s="63" t="s">
        <v>548</v>
      </c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/>
      <c r="AU2" s="65"/>
      <c r="AV2" s="65"/>
      <c r="AW2" s="65"/>
      <c r="AX2" s="65"/>
      <c r="AY2" s="65"/>
      <c r="AZ2" s="65"/>
      <c r="BA2" s="65"/>
      <c r="BB2" s="65"/>
      <c r="BC2" s="65"/>
      <c r="BD2" s="65"/>
      <c r="BE2" s="65"/>
      <c r="BF2" s="65"/>
      <c r="BG2" s="65"/>
      <c r="BH2" s="65"/>
      <c r="BI2" s="65"/>
      <c r="BJ2" s="65"/>
    </row>
    <row r="3" spans="1:62" s="55" customFormat="1">
      <c r="A3" s="5"/>
      <c r="B3" s="44" t="s">
        <v>63</v>
      </c>
      <c r="C3" s="66" t="s">
        <v>80</v>
      </c>
      <c r="D3" s="67" t="s">
        <v>619</v>
      </c>
      <c r="E3" s="67" t="s">
        <v>79</v>
      </c>
      <c r="F3" s="68" t="s">
        <v>549</v>
      </c>
      <c r="G3" s="69"/>
      <c r="H3" s="70" t="s">
        <v>550</v>
      </c>
      <c r="I3" s="294" t="s">
        <v>551</v>
      </c>
      <c r="J3" s="307" t="s">
        <v>552</v>
      </c>
      <c r="K3" s="308" t="s">
        <v>125</v>
      </c>
      <c r="L3" s="71" t="s">
        <v>553</v>
      </c>
      <c r="M3" s="69" t="s">
        <v>554</v>
      </c>
      <c r="N3" s="72"/>
      <c r="O3" s="72"/>
      <c r="P3" s="73"/>
      <c r="Q3" s="5"/>
      <c r="R3" s="316" t="s">
        <v>21</v>
      </c>
      <c r="S3" s="74" t="s">
        <v>555</v>
      </c>
      <c r="T3" s="57" t="s">
        <v>51</v>
      </c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</row>
    <row r="4" spans="1:62" s="46" customFormat="1" ht="15.75" thickBot="1">
      <c r="A4" s="5"/>
      <c r="B4" s="44" t="s">
        <v>64</v>
      </c>
      <c r="C4" s="75" t="s">
        <v>81</v>
      </c>
      <c r="D4" s="67" t="s">
        <v>619</v>
      </c>
      <c r="E4" s="67" t="s">
        <v>72</v>
      </c>
      <c r="F4" s="76" t="s">
        <v>556</v>
      </c>
      <c r="G4" s="77" t="s">
        <v>557</v>
      </c>
      <c r="H4" s="73"/>
      <c r="I4" s="294" t="s">
        <v>551</v>
      </c>
      <c r="J4" s="307" t="s">
        <v>552</v>
      </c>
      <c r="K4" s="308" t="s">
        <v>125</v>
      </c>
      <c r="L4" s="71" t="s">
        <v>553</v>
      </c>
      <c r="M4" s="69" t="s">
        <v>554</v>
      </c>
      <c r="N4" s="72"/>
      <c r="O4" s="72"/>
      <c r="P4" s="73"/>
      <c r="Q4" s="5"/>
      <c r="R4" s="316" t="s">
        <v>21</v>
      </c>
      <c r="S4" s="74" t="s">
        <v>555</v>
      </c>
      <c r="T4" s="57" t="s">
        <v>51</v>
      </c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</row>
    <row r="5" spans="1:62" ht="15.75" thickBot="1">
      <c r="A5" s="5"/>
      <c r="B5" s="78" t="s">
        <v>65</v>
      </c>
      <c r="C5" s="79" t="s">
        <v>82</v>
      </c>
      <c r="D5" s="80" t="s">
        <v>619</v>
      </c>
      <c r="E5" s="80" t="s">
        <v>73</v>
      </c>
      <c r="F5" s="81" t="s">
        <v>549</v>
      </c>
      <c r="G5" s="82"/>
      <c r="H5" s="83" t="s">
        <v>550</v>
      </c>
      <c r="I5" s="295" t="s">
        <v>551</v>
      </c>
      <c r="J5" s="303" t="s">
        <v>552</v>
      </c>
      <c r="K5" s="309" t="s">
        <v>125</v>
      </c>
      <c r="L5" s="84" t="s">
        <v>553</v>
      </c>
      <c r="M5" s="82" t="s">
        <v>554</v>
      </c>
      <c r="N5" s="85"/>
      <c r="O5" s="85"/>
      <c r="P5" s="86"/>
      <c r="Q5" s="87" t="s">
        <v>22</v>
      </c>
      <c r="R5" s="317" t="s">
        <v>21</v>
      </c>
      <c r="S5" s="88" t="s">
        <v>558</v>
      </c>
      <c r="T5" s="89" t="s">
        <v>51</v>
      </c>
    </row>
    <row r="6" spans="1:62" s="40" customFormat="1">
      <c r="A6" s="5"/>
      <c r="B6" s="44" t="s">
        <v>66</v>
      </c>
      <c r="C6" s="75" t="s">
        <v>83</v>
      </c>
      <c r="D6" s="67" t="s">
        <v>619</v>
      </c>
      <c r="E6" s="67" t="s">
        <v>74</v>
      </c>
      <c r="F6" s="68" t="s">
        <v>549</v>
      </c>
      <c r="G6" s="69"/>
      <c r="H6" s="70" t="s">
        <v>550</v>
      </c>
      <c r="I6" s="294" t="s">
        <v>551</v>
      </c>
      <c r="J6" s="307" t="s">
        <v>552</v>
      </c>
      <c r="K6" s="308" t="s">
        <v>125</v>
      </c>
      <c r="L6" s="71" t="s">
        <v>553</v>
      </c>
      <c r="M6" s="69"/>
      <c r="N6" s="72" t="s">
        <v>559</v>
      </c>
      <c r="O6" s="72"/>
      <c r="P6" s="73"/>
      <c r="Q6" s="5"/>
      <c r="R6" s="316" t="s">
        <v>21</v>
      </c>
      <c r="S6" s="74" t="s">
        <v>555</v>
      </c>
      <c r="T6" s="57" t="s">
        <v>51</v>
      </c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</row>
    <row r="7" spans="1:62" s="5" customFormat="1" ht="15.75" thickBot="1">
      <c r="B7" s="44" t="s">
        <v>67</v>
      </c>
      <c r="C7" s="66" t="s">
        <v>84</v>
      </c>
      <c r="D7" s="67" t="s">
        <v>881</v>
      </c>
      <c r="E7" s="67" t="s">
        <v>75</v>
      </c>
      <c r="F7" s="68" t="s">
        <v>549</v>
      </c>
      <c r="G7" s="69"/>
      <c r="H7" s="70" t="s">
        <v>550</v>
      </c>
      <c r="I7" s="294" t="s">
        <v>551</v>
      </c>
      <c r="J7" s="307" t="s">
        <v>552</v>
      </c>
      <c r="K7" s="308" t="s">
        <v>125</v>
      </c>
      <c r="L7" s="71" t="s">
        <v>553</v>
      </c>
      <c r="M7" s="69"/>
      <c r="N7" s="72"/>
      <c r="O7" s="72" t="s">
        <v>560</v>
      </c>
      <c r="P7" s="73"/>
      <c r="R7" s="316" t="s">
        <v>21</v>
      </c>
      <c r="S7" s="74" t="s">
        <v>555</v>
      </c>
      <c r="T7" s="57" t="s">
        <v>51</v>
      </c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</row>
    <row r="8" spans="1:62" s="55" customFormat="1" ht="15.75" thickBot="1">
      <c r="A8" s="5"/>
      <c r="B8" s="54" t="s">
        <v>68</v>
      </c>
      <c r="C8" s="90" t="s">
        <v>138</v>
      </c>
      <c r="D8" s="91" t="s">
        <v>619</v>
      </c>
      <c r="E8" s="91" t="s">
        <v>76</v>
      </c>
      <c r="F8" s="92" t="s">
        <v>549</v>
      </c>
      <c r="G8" s="93"/>
      <c r="H8" s="94" t="s">
        <v>550</v>
      </c>
      <c r="I8" s="412" t="s">
        <v>561</v>
      </c>
      <c r="J8" s="310" t="s">
        <v>552</v>
      </c>
      <c r="K8" s="311" t="s">
        <v>125</v>
      </c>
      <c r="L8" s="115" t="s">
        <v>564</v>
      </c>
      <c r="M8" s="93" t="s">
        <v>554</v>
      </c>
      <c r="N8" s="96"/>
      <c r="O8" s="96"/>
      <c r="P8" s="97"/>
      <c r="R8" s="305" t="s">
        <v>22</v>
      </c>
      <c r="S8" s="98" t="s">
        <v>562</v>
      </c>
      <c r="T8" s="56" t="s">
        <v>51</v>
      </c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</row>
    <row r="9" spans="1:62" s="46" customFormat="1" ht="15.75" thickBot="1">
      <c r="A9" s="5"/>
      <c r="B9" s="99" t="s">
        <v>69</v>
      </c>
      <c r="C9" s="100" t="s">
        <v>85</v>
      </c>
      <c r="D9" s="101" t="s">
        <v>619</v>
      </c>
      <c r="E9" s="101" t="s">
        <v>77</v>
      </c>
      <c r="F9" s="102" t="s">
        <v>556</v>
      </c>
      <c r="G9" s="103" t="s">
        <v>557</v>
      </c>
      <c r="H9" s="104"/>
      <c r="I9" s="413" t="s">
        <v>561</v>
      </c>
      <c r="J9" s="312" t="s">
        <v>552</v>
      </c>
      <c r="K9" s="313" t="s">
        <v>125</v>
      </c>
      <c r="L9" s="115" t="s">
        <v>564</v>
      </c>
      <c r="M9" s="105" t="s">
        <v>554</v>
      </c>
      <c r="N9" s="106"/>
      <c r="O9" s="106"/>
      <c r="P9" s="104"/>
      <c r="Q9" s="107"/>
      <c r="R9" s="306" t="s">
        <v>22</v>
      </c>
      <c r="S9" s="108" t="s">
        <v>562</v>
      </c>
      <c r="T9" s="109" t="s">
        <v>51</v>
      </c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</row>
    <row r="10" spans="1:62" ht="15.75" thickBot="1">
      <c r="B10" s="45" t="s">
        <v>70</v>
      </c>
      <c r="C10" s="110" t="s">
        <v>86</v>
      </c>
      <c r="D10" s="111" t="s">
        <v>880</v>
      </c>
      <c r="E10" s="111" t="s">
        <v>78</v>
      </c>
      <c r="F10" s="112" t="s">
        <v>549</v>
      </c>
      <c r="G10" s="113"/>
      <c r="H10" s="114" t="s">
        <v>550</v>
      </c>
      <c r="I10" s="414" t="s">
        <v>561</v>
      </c>
      <c r="J10" s="314" t="s">
        <v>21</v>
      </c>
      <c r="K10" s="315" t="s">
        <v>563</v>
      </c>
      <c r="L10" s="115" t="s">
        <v>564</v>
      </c>
      <c r="M10" s="113"/>
      <c r="N10" s="116"/>
      <c r="O10" s="116"/>
      <c r="P10" s="117" t="s">
        <v>565</v>
      </c>
      <c r="Q10" s="46"/>
      <c r="R10" s="118" t="s">
        <v>22</v>
      </c>
      <c r="S10" s="304" t="s">
        <v>566</v>
      </c>
      <c r="T10" s="47" t="s">
        <v>51</v>
      </c>
    </row>
    <row r="11" spans="1:62" ht="15.75" thickBot="1">
      <c r="B11" s="293" t="s">
        <v>738</v>
      </c>
      <c r="C11" s="79" t="s">
        <v>80</v>
      </c>
      <c r="D11" s="80" t="s">
        <v>619</v>
      </c>
      <c r="E11" s="80" t="s">
        <v>739</v>
      </c>
      <c r="F11" s="81" t="s">
        <v>549</v>
      </c>
      <c r="G11" s="82"/>
      <c r="H11" s="83" t="s">
        <v>550</v>
      </c>
      <c r="I11" s="295" t="s">
        <v>551</v>
      </c>
      <c r="J11" s="303" t="s">
        <v>552</v>
      </c>
      <c r="K11" s="309" t="s">
        <v>125</v>
      </c>
      <c r="L11" s="84" t="s">
        <v>553</v>
      </c>
      <c r="M11" s="82" t="s">
        <v>554</v>
      </c>
      <c r="N11" s="85"/>
      <c r="O11" s="85"/>
      <c r="P11" s="86"/>
      <c r="Q11" s="87"/>
      <c r="R11" s="317" t="s">
        <v>21</v>
      </c>
      <c r="S11" s="88" t="s">
        <v>558</v>
      </c>
      <c r="T11" s="89" t="s">
        <v>51</v>
      </c>
    </row>
    <row r="12" spans="1:62" ht="15.75" thickBot="1">
      <c r="Q12" s="4"/>
      <c r="R12" s="4"/>
    </row>
    <row r="13" spans="1:62" ht="15.75" thickBot="1">
      <c r="B13" s="54" t="s">
        <v>859</v>
      </c>
      <c r="C13" s="55"/>
      <c r="D13" s="404"/>
      <c r="E13" s="404" t="s">
        <v>860</v>
      </c>
      <c r="F13" s="92" t="s">
        <v>549</v>
      </c>
      <c r="G13" s="54"/>
      <c r="H13" s="411" t="s">
        <v>861</v>
      </c>
      <c r="I13" s="415" t="s">
        <v>561</v>
      </c>
      <c r="J13" s="303" t="s">
        <v>552</v>
      </c>
      <c r="K13" s="408" t="s">
        <v>125</v>
      </c>
      <c r="L13" s="416" t="s">
        <v>865</v>
      </c>
      <c r="M13" s="93" t="s">
        <v>554</v>
      </c>
      <c r="N13" s="55"/>
      <c r="O13" s="55"/>
      <c r="P13" s="56"/>
      <c r="Q13" s="405"/>
      <c r="R13" s="417" t="s">
        <v>22</v>
      </c>
      <c r="S13" s="410" t="s">
        <v>862</v>
      </c>
      <c r="T13" s="409" t="s">
        <v>51</v>
      </c>
    </row>
    <row r="14" spans="1:62" ht="15.75" thickBot="1">
      <c r="B14" s="45" t="s">
        <v>863</v>
      </c>
      <c r="C14" s="46"/>
      <c r="D14" s="214"/>
      <c r="E14" s="214" t="s">
        <v>864</v>
      </c>
      <c r="F14" s="406" t="s">
        <v>556</v>
      </c>
      <c r="G14" s="45"/>
      <c r="H14" s="418" t="s">
        <v>861</v>
      </c>
      <c r="I14" s="415" t="s">
        <v>561</v>
      </c>
      <c r="J14" s="303" t="s">
        <v>552</v>
      </c>
      <c r="K14" s="408" t="s">
        <v>125</v>
      </c>
      <c r="L14" s="416" t="s">
        <v>865</v>
      </c>
      <c r="M14" s="82" t="s">
        <v>554</v>
      </c>
      <c r="N14" s="46"/>
      <c r="O14" s="46"/>
      <c r="P14" s="47"/>
      <c r="Q14" s="407"/>
      <c r="R14" s="417" t="s">
        <v>22</v>
      </c>
      <c r="S14" s="419" t="s">
        <v>862</v>
      </c>
      <c r="T14" s="420" t="s">
        <v>51</v>
      </c>
    </row>
    <row r="15" spans="1:62">
      <c r="Q15" s="4"/>
      <c r="R15" s="4"/>
    </row>
    <row r="18" spans="8:8">
      <c r="H18" s="2" t="s">
        <v>866</v>
      </c>
    </row>
  </sheetData>
  <mergeCells count="1">
    <mergeCell ref="M2:P2"/>
  </mergeCells>
  <hyperlinks>
    <hyperlink ref="C3" r:id="rId1"/>
    <hyperlink ref="C4" r:id="rId2"/>
    <hyperlink ref="C5" r:id="rId3"/>
    <hyperlink ref="C6" r:id="rId4"/>
    <hyperlink ref="C7" r:id="rId5"/>
    <hyperlink ref="C8" r:id="rId6" display="L:\Letdata\data\16\0401A01\D5\160401A01-D5N01_.docx"/>
    <hyperlink ref="C10" r:id="rId7"/>
    <hyperlink ref="C9" r:id="rId8"/>
    <hyperlink ref="C11" r:id="rId9"/>
    <hyperlink ref="H18" r:id="rId10"/>
  </hyperlinks>
  <pageMargins left="0.7" right="0.7" top="0.75" bottom="0.75" header="0.3" footer="0.3"/>
  <pageSetup paperSize="8" scale="97" orientation="landscape" r:id="rId11"/>
  <drawing r:id="rId12"/>
  <legacyDrawing r:id="rId13"/>
  <controls>
    <mc:AlternateContent xmlns:mc="http://schemas.openxmlformats.org/markup-compatibility/2006">
      <mc:Choice Requires="x14">
        <control shapeId="5121" r:id="rId14" name="CommandButton3">
          <controlPr autoLine="0" r:id="rId15">
            <anchor moveWithCells="1">
              <from>
                <xdr:col>20</xdr:col>
                <xdr:colOff>47625</xdr:colOff>
                <xdr:row>0</xdr:row>
                <xdr:rowOff>123825</xdr:rowOff>
              </from>
              <to>
                <xdr:col>21</xdr:col>
                <xdr:colOff>342900</xdr:colOff>
                <xdr:row>2</xdr:row>
                <xdr:rowOff>28575</xdr:rowOff>
              </to>
            </anchor>
          </controlPr>
        </control>
      </mc:Choice>
      <mc:Fallback>
        <control shapeId="5121" r:id="rId14" name="CommandButton3"/>
      </mc:Fallback>
    </mc:AlternateContent>
    <mc:AlternateContent xmlns:mc="http://schemas.openxmlformats.org/markup-compatibility/2006">
      <mc:Choice Requires="x14">
        <control shapeId="5122" r:id="rId16" name="CommandButton4">
          <controlPr autoLine="0" r:id="rId17">
            <anchor moveWithCells="1">
              <from>
                <xdr:col>20</xdr:col>
                <xdr:colOff>57150</xdr:colOff>
                <xdr:row>2</xdr:row>
                <xdr:rowOff>76200</xdr:rowOff>
              </from>
              <to>
                <xdr:col>22</xdr:col>
                <xdr:colOff>38100</xdr:colOff>
                <xdr:row>3</xdr:row>
                <xdr:rowOff>190500</xdr:rowOff>
              </to>
            </anchor>
          </controlPr>
        </control>
      </mc:Choice>
      <mc:Fallback>
        <control shapeId="5122" r:id="rId16" name="CommandButton4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3"/>
  <dimension ref="B2:T16"/>
  <sheetViews>
    <sheetView topLeftCell="B1" zoomScale="130" zoomScaleNormal="130" workbookViewId="0">
      <selection activeCell="E26" sqref="E26"/>
    </sheetView>
  </sheetViews>
  <sheetFormatPr defaultRowHeight="15"/>
  <cols>
    <col min="3" max="3" width="29.85546875" bestFit="1" customWidth="1"/>
    <col min="4" max="4" width="10" hidden="1" customWidth="1"/>
    <col min="5" max="5" width="10.28515625" bestFit="1" customWidth="1"/>
    <col min="6" max="6" width="6.7109375" bestFit="1" customWidth="1"/>
    <col min="7" max="8" width="8.85546875" bestFit="1" customWidth="1"/>
    <col min="9" max="9" width="11.28515625" bestFit="1" customWidth="1"/>
    <col min="10" max="10" width="9.85546875" bestFit="1" customWidth="1"/>
    <col min="11" max="11" width="12.5703125" bestFit="1" customWidth="1"/>
    <col min="12" max="12" width="11.140625" bestFit="1" customWidth="1"/>
    <col min="13" max="13" width="8.85546875" bestFit="1" customWidth="1"/>
    <col min="14" max="16" width="8.7109375" bestFit="1" customWidth="1"/>
    <col min="17" max="17" width="5.28515625" bestFit="1" customWidth="1"/>
    <col min="18" max="18" width="5.5703125" bestFit="1" customWidth="1"/>
    <col min="19" max="19" width="14.42578125" bestFit="1" customWidth="1"/>
    <col min="20" max="20" width="10.85546875" bestFit="1" customWidth="1"/>
  </cols>
  <sheetData>
    <row r="2" spans="2:20" ht="15.75" thickBot="1"/>
    <row r="3" spans="2:20" ht="15.75" thickBot="1">
      <c r="B3" s="58"/>
      <c r="C3" s="425" t="s">
        <v>535</v>
      </c>
      <c r="D3" s="423" t="s">
        <v>879</v>
      </c>
      <c r="E3" s="423" t="s">
        <v>879</v>
      </c>
      <c r="F3" s="62" t="s">
        <v>537</v>
      </c>
      <c r="G3" s="425" t="s">
        <v>538</v>
      </c>
      <c r="H3" s="427" t="s">
        <v>539</v>
      </c>
      <c r="I3" s="296" t="s">
        <v>540</v>
      </c>
      <c r="J3" s="426" t="s">
        <v>541</v>
      </c>
      <c r="K3" s="60" t="s">
        <v>542</v>
      </c>
      <c r="L3" s="426" t="s">
        <v>543</v>
      </c>
      <c r="M3" s="450" t="s">
        <v>544</v>
      </c>
      <c r="N3" s="451"/>
      <c r="O3" s="451"/>
      <c r="P3" s="452"/>
      <c r="Q3" s="426" t="s">
        <v>545</v>
      </c>
      <c r="R3" s="64" t="s">
        <v>546</v>
      </c>
      <c r="S3" s="64" t="s">
        <v>547</v>
      </c>
      <c r="T3" s="427" t="s">
        <v>548</v>
      </c>
    </row>
    <row r="4" spans="2:20">
      <c r="B4" s="5"/>
      <c r="C4" s="438" t="s">
        <v>63</v>
      </c>
      <c r="D4" s="67"/>
      <c r="E4" s="67" t="s">
        <v>79</v>
      </c>
      <c r="F4" s="68" t="s">
        <v>549</v>
      </c>
      <c r="G4" s="69"/>
      <c r="H4" s="70" t="s">
        <v>886</v>
      </c>
      <c r="I4" s="294" t="s">
        <v>551</v>
      </c>
      <c r="J4" s="307" t="s">
        <v>552</v>
      </c>
      <c r="K4" s="308" t="s">
        <v>125</v>
      </c>
      <c r="L4" s="71" t="s">
        <v>553</v>
      </c>
      <c r="M4" s="69" t="s">
        <v>554</v>
      </c>
      <c r="N4" s="72"/>
      <c r="O4" s="72"/>
      <c r="P4" s="73"/>
      <c r="Q4" s="5"/>
      <c r="R4" s="316" t="s">
        <v>21</v>
      </c>
      <c r="S4" s="74" t="s">
        <v>555</v>
      </c>
      <c r="T4" s="57" t="s">
        <v>51</v>
      </c>
    </row>
    <row r="5" spans="2:20" ht="15.75" thickBot="1">
      <c r="B5" s="5"/>
      <c r="C5" s="438" t="s">
        <v>64</v>
      </c>
      <c r="D5" s="67"/>
      <c r="E5" s="67" t="s">
        <v>72</v>
      </c>
      <c r="F5" s="76" t="s">
        <v>556</v>
      </c>
      <c r="G5" s="77" t="s">
        <v>887</v>
      </c>
      <c r="H5" s="73"/>
      <c r="I5" s="294" t="s">
        <v>551</v>
      </c>
      <c r="J5" s="307" t="s">
        <v>552</v>
      </c>
      <c r="K5" s="308" t="s">
        <v>125</v>
      </c>
      <c r="L5" s="71" t="s">
        <v>553</v>
      </c>
      <c r="M5" s="69" t="s">
        <v>554</v>
      </c>
      <c r="N5" s="72"/>
      <c r="O5" s="72"/>
      <c r="P5" s="73"/>
      <c r="Q5" s="5"/>
      <c r="R5" s="316" t="s">
        <v>21</v>
      </c>
      <c r="S5" s="74" t="s">
        <v>555</v>
      </c>
      <c r="T5" s="57" t="s">
        <v>51</v>
      </c>
    </row>
    <row r="6" spans="2:20" ht="15.75" thickBot="1">
      <c r="B6" s="5"/>
      <c r="C6" s="439" t="s">
        <v>65</v>
      </c>
      <c r="D6" s="80"/>
      <c r="E6" s="80" t="s">
        <v>73</v>
      </c>
      <c r="F6" s="81" t="s">
        <v>549</v>
      </c>
      <c r="G6" s="82"/>
      <c r="H6" s="83" t="s">
        <v>886</v>
      </c>
      <c r="I6" s="295" t="s">
        <v>551</v>
      </c>
      <c r="J6" s="303" t="s">
        <v>552</v>
      </c>
      <c r="K6" s="309" t="s">
        <v>125</v>
      </c>
      <c r="L6" s="84" t="s">
        <v>553</v>
      </c>
      <c r="M6" s="82" t="s">
        <v>554</v>
      </c>
      <c r="N6" s="85"/>
      <c r="O6" s="85"/>
      <c r="P6" s="86"/>
      <c r="Q6" s="87" t="s">
        <v>22</v>
      </c>
      <c r="R6" s="317" t="s">
        <v>21</v>
      </c>
      <c r="S6" s="88" t="s">
        <v>558</v>
      </c>
      <c r="T6" s="89" t="s">
        <v>51</v>
      </c>
    </row>
    <row r="7" spans="2:20">
      <c r="B7" s="5"/>
      <c r="C7" s="438" t="s">
        <v>66</v>
      </c>
      <c r="D7" s="67"/>
      <c r="E7" s="67" t="s">
        <v>74</v>
      </c>
      <c r="F7" s="68" t="s">
        <v>549</v>
      </c>
      <c r="G7" s="69"/>
      <c r="H7" s="70" t="s">
        <v>886</v>
      </c>
      <c r="I7" s="294" t="s">
        <v>551</v>
      </c>
      <c r="J7" s="307" t="s">
        <v>552</v>
      </c>
      <c r="K7" s="308" t="s">
        <v>125</v>
      </c>
      <c r="L7" s="71" t="s">
        <v>553</v>
      </c>
      <c r="M7" s="69"/>
      <c r="N7" s="72" t="s">
        <v>559</v>
      </c>
      <c r="O7" s="72"/>
      <c r="P7" s="73"/>
      <c r="Q7" s="5"/>
      <c r="R7" s="316" t="s">
        <v>21</v>
      </c>
      <c r="S7" s="74" t="s">
        <v>555</v>
      </c>
      <c r="T7" s="57" t="s">
        <v>51</v>
      </c>
    </row>
    <row r="8" spans="2:20" ht="15.75" thickBot="1">
      <c r="B8" s="5"/>
      <c r="C8" s="438" t="s">
        <v>67</v>
      </c>
      <c r="D8" s="5"/>
      <c r="E8" s="67" t="s">
        <v>881</v>
      </c>
      <c r="F8" s="68" t="s">
        <v>549</v>
      </c>
      <c r="G8" s="69"/>
      <c r="H8" s="70" t="s">
        <v>886</v>
      </c>
      <c r="I8" s="294" t="s">
        <v>551</v>
      </c>
      <c r="J8" s="307" t="s">
        <v>552</v>
      </c>
      <c r="K8" s="308" t="s">
        <v>125</v>
      </c>
      <c r="L8" s="71" t="s">
        <v>553</v>
      </c>
      <c r="M8" s="69"/>
      <c r="N8" s="72"/>
      <c r="O8" s="72" t="s">
        <v>560</v>
      </c>
      <c r="P8" s="73"/>
      <c r="Q8" s="5"/>
      <c r="R8" s="316" t="s">
        <v>21</v>
      </c>
      <c r="S8" s="74" t="s">
        <v>555</v>
      </c>
      <c r="T8" s="57" t="s">
        <v>51</v>
      </c>
    </row>
    <row r="9" spans="2:20" ht="15.75" thickBot="1">
      <c r="B9" s="5"/>
      <c r="C9" s="440" t="s">
        <v>68</v>
      </c>
      <c r="D9" s="91"/>
      <c r="E9" s="91" t="s">
        <v>76</v>
      </c>
      <c r="F9" s="92" t="s">
        <v>549</v>
      </c>
      <c r="G9" s="93"/>
      <c r="H9" s="94" t="s">
        <v>886</v>
      </c>
      <c r="I9" s="412" t="s">
        <v>561</v>
      </c>
      <c r="J9" s="310" t="s">
        <v>552</v>
      </c>
      <c r="K9" s="311" t="s">
        <v>125</v>
      </c>
      <c r="L9" s="115" t="s">
        <v>564</v>
      </c>
      <c r="M9" s="93" t="s">
        <v>554</v>
      </c>
      <c r="N9" s="96"/>
      <c r="O9" s="96"/>
      <c r="P9" s="97"/>
      <c r="Q9" s="55"/>
      <c r="R9" s="305" t="s">
        <v>22</v>
      </c>
      <c r="S9" s="98" t="s">
        <v>562</v>
      </c>
      <c r="T9" s="56" t="s">
        <v>51</v>
      </c>
    </row>
    <row r="10" spans="2:20" ht="15.75" thickBot="1">
      <c r="B10" s="5"/>
      <c r="C10" s="441" t="s">
        <v>69</v>
      </c>
      <c r="D10" s="101"/>
      <c r="E10" s="101" t="s">
        <v>77</v>
      </c>
      <c r="F10" s="102" t="s">
        <v>556</v>
      </c>
      <c r="G10" s="103" t="s">
        <v>887</v>
      </c>
      <c r="H10" s="104"/>
      <c r="I10" s="413" t="s">
        <v>561</v>
      </c>
      <c r="J10" s="312" t="s">
        <v>552</v>
      </c>
      <c r="K10" s="313" t="s">
        <v>125</v>
      </c>
      <c r="L10" s="115" t="s">
        <v>564</v>
      </c>
      <c r="M10" s="105" t="s">
        <v>554</v>
      </c>
      <c r="N10" s="106"/>
      <c r="O10" s="106"/>
      <c r="P10" s="104"/>
      <c r="Q10" s="107"/>
      <c r="R10" s="306" t="s">
        <v>22</v>
      </c>
      <c r="S10" s="108" t="s">
        <v>562</v>
      </c>
      <c r="T10" s="109" t="s">
        <v>51</v>
      </c>
    </row>
    <row r="11" spans="2:20" ht="15.75" thickBot="1">
      <c r="C11" s="442" t="s">
        <v>70</v>
      </c>
      <c r="D11" s="111"/>
      <c r="E11" s="111" t="s">
        <v>78</v>
      </c>
      <c r="F11" s="112" t="s">
        <v>549</v>
      </c>
      <c r="G11" s="113"/>
      <c r="H11" s="114" t="s">
        <v>886</v>
      </c>
      <c r="I11" s="414" t="s">
        <v>561</v>
      </c>
      <c r="J11" s="314" t="s">
        <v>21</v>
      </c>
      <c r="K11" s="315" t="s">
        <v>563</v>
      </c>
      <c r="L11" s="115" t="s">
        <v>564</v>
      </c>
      <c r="M11" s="113"/>
      <c r="N11" s="116"/>
      <c r="O11" s="116"/>
      <c r="P11" s="117" t="s">
        <v>565</v>
      </c>
      <c r="Q11" s="46"/>
      <c r="R11" s="118" t="s">
        <v>22</v>
      </c>
      <c r="S11" s="304" t="s">
        <v>566</v>
      </c>
      <c r="T11" s="47" t="s">
        <v>51</v>
      </c>
    </row>
    <row r="12" spans="2:20" ht="15.75" thickBot="1">
      <c r="C12" s="439" t="s">
        <v>738</v>
      </c>
      <c r="D12" s="80"/>
      <c r="E12" s="80" t="s">
        <v>739</v>
      </c>
      <c r="F12" s="81" t="s">
        <v>549</v>
      </c>
      <c r="G12" s="82"/>
      <c r="H12" s="83" t="s">
        <v>886</v>
      </c>
      <c r="I12" s="295" t="s">
        <v>551</v>
      </c>
      <c r="J12" s="303" t="s">
        <v>552</v>
      </c>
      <c r="K12" s="309" t="s">
        <v>125</v>
      </c>
      <c r="L12" s="84" t="s">
        <v>553</v>
      </c>
      <c r="M12" s="82" t="s">
        <v>554</v>
      </c>
      <c r="N12" s="85"/>
      <c r="O12" s="85"/>
      <c r="P12" s="86"/>
      <c r="Q12" s="87"/>
      <c r="R12" s="317" t="s">
        <v>21</v>
      </c>
      <c r="S12" s="88" t="s">
        <v>558</v>
      </c>
      <c r="T12" s="89" t="s">
        <v>51</v>
      </c>
    </row>
    <row r="13" spans="2:20" ht="15.75" thickBot="1">
      <c r="Q13" s="4"/>
      <c r="R13" s="4"/>
    </row>
    <row r="14" spans="2:20" ht="15.75" thickBot="1">
      <c r="C14" s="436" t="s">
        <v>859</v>
      </c>
      <c r="D14" s="214"/>
      <c r="E14" s="214" t="s">
        <v>860</v>
      </c>
      <c r="F14" s="81" t="s">
        <v>549</v>
      </c>
      <c r="G14" s="78"/>
      <c r="H14" s="418" t="s">
        <v>861</v>
      </c>
      <c r="I14" s="415" t="s">
        <v>561</v>
      </c>
      <c r="J14" s="303" t="s">
        <v>552</v>
      </c>
      <c r="K14" s="408" t="s">
        <v>125</v>
      </c>
      <c r="L14" s="416" t="s">
        <v>865</v>
      </c>
      <c r="M14" s="82" t="s">
        <v>554</v>
      </c>
      <c r="N14" s="87"/>
      <c r="O14" s="87"/>
      <c r="P14" s="89"/>
      <c r="Q14" s="435"/>
      <c r="R14" s="417" t="s">
        <v>22</v>
      </c>
      <c r="S14" s="419" t="s">
        <v>862</v>
      </c>
      <c r="T14" s="420" t="s">
        <v>51</v>
      </c>
    </row>
    <row r="15" spans="2:20" ht="15.75" thickBot="1">
      <c r="C15" s="437" t="s">
        <v>863</v>
      </c>
      <c r="D15" s="428"/>
      <c r="E15" s="428" t="s">
        <v>864</v>
      </c>
      <c r="F15" s="406" t="s">
        <v>556</v>
      </c>
      <c r="G15" s="45"/>
      <c r="H15" s="429" t="s">
        <v>861</v>
      </c>
      <c r="I15" s="430" t="s">
        <v>561</v>
      </c>
      <c r="J15" s="431" t="s">
        <v>552</v>
      </c>
      <c r="K15" s="432" t="s">
        <v>125</v>
      </c>
      <c r="L15" s="115" t="s">
        <v>865</v>
      </c>
      <c r="M15" s="113" t="s">
        <v>554</v>
      </c>
      <c r="N15" s="46"/>
      <c r="O15" s="46"/>
      <c r="P15" s="47"/>
      <c r="Q15" s="407"/>
      <c r="R15" s="118" t="s">
        <v>22</v>
      </c>
      <c r="S15" s="433" t="s">
        <v>862</v>
      </c>
      <c r="T15" s="434" t="s">
        <v>51</v>
      </c>
    </row>
    <row r="16" spans="2:20">
      <c r="Q16" s="4"/>
      <c r="R16" s="4"/>
    </row>
  </sheetData>
  <mergeCells count="1">
    <mergeCell ref="M3:P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tabColor rgb="FFD89FFF"/>
    <pageSetUpPr fitToPage="1"/>
  </sheetPr>
  <dimension ref="A1:AK17"/>
  <sheetViews>
    <sheetView zoomScaleNormal="100" workbookViewId="0">
      <selection activeCell="E14" sqref="E14"/>
    </sheetView>
  </sheetViews>
  <sheetFormatPr defaultRowHeight="15"/>
  <cols>
    <col min="1" max="1" width="34.140625" customWidth="1"/>
    <col min="2" max="2" width="6.140625" customWidth="1"/>
    <col min="3" max="3" width="10.42578125" customWidth="1"/>
    <col min="4" max="4" width="24.42578125" customWidth="1"/>
    <col min="5" max="5" width="12.7109375" style="41" customWidth="1"/>
    <col min="6" max="6" width="10.28515625" customWidth="1"/>
    <col min="7" max="7" width="15.140625" bestFit="1" customWidth="1"/>
    <col min="8" max="8" width="9.140625" customWidth="1"/>
    <col min="9" max="9" width="9" customWidth="1"/>
    <col min="10" max="10" width="32.140625" customWidth="1"/>
    <col min="11" max="11" width="17" customWidth="1"/>
    <col min="12" max="12" width="13.7109375" bestFit="1" customWidth="1"/>
    <col min="13" max="13" width="39.28515625" customWidth="1"/>
    <col min="14" max="14" width="29.42578125" customWidth="1"/>
    <col min="15" max="15" width="12.42578125" bestFit="1" customWidth="1"/>
  </cols>
  <sheetData>
    <row r="1" spans="1:37" s="3" customFormat="1" ht="102" customHeight="1">
      <c r="A1" s="369" t="s">
        <v>0</v>
      </c>
      <c r="B1" s="370" t="s">
        <v>131</v>
      </c>
      <c r="C1" s="371" t="s">
        <v>59</v>
      </c>
      <c r="D1" s="371" t="s">
        <v>37</v>
      </c>
      <c r="E1" s="372" t="s">
        <v>805</v>
      </c>
      <c r="F1" s="370" t="s">
        <v>804</v>
      </c>
      <c r="G1" s="371" t="s">
        <v>14</v>
      </c>
      <c r="H1" s="371" t="s">
        <v>796</v>
      </c>
      <c r="I1" s="370" t="s">
        <v>803</v>
      </c>
      <c r="J1" s="371" t="s">
        <v>18</v>
      </c>
      <c r="K1" s="370" t="s">
        <v>808</v>
      </c>
      <c r="L1" s="371" t="s">
        <v>20</v>
      </c>
      <c r="M1" s="371" t="s">
        <v>15</v>
      </c>
      <c r="N1" s="373" t="s">
        <v>55</v>
      </c>
      <c r="O1" s="374" t="s">
        <v>16</v>
      </c>
    </row>
    <row r="2" spans="1:37">
      <c r="A2" s="375" t="s">
        <v>2</v>
      </c>
      <c r="B2" s="376" t="s">
        <v>22</v>
      </c>
      <c r="C2" s="376" t="s">
        <v>40</v>
      </c>
      <c r="D2" s="376" t="s">
        <v>17</v>
      </c>
      <c r="E2" s="377" t="s">
        <v>21</v>
      </c>
      <c r="F2" s="376"/>
      <c r="G2" s="378" t="s">
        <v>19</v>
      </c>
      <c r="H2" s="376"/>
      <c r="I2" s="376" t="s">
        <v>21</v>
      </c>
      <c r="J2" s="379" t="s">
        <v>22</v>
      </c>
      <c r="K2" s="379"/>
      <c r="L2" s="376" t="s">
        <v>52</v>
      </c>
      <c r="M2" s="380" t="s">
        <v>24</v>
      </c>
      <c r="N2" s="380" t="s">
        <v>53</v>
      </c>
      <c r="O2" s="381" t="s">
        <v>33</v>
      </c>
      <c r="AB2" s="1"/>
      <c r="AJ2" s="1"/>
      <c r="AK2" s="1"/>
    </row>
    <row r="3" spans="1:37">
      <c r="A3" s="375" t="s">
        <v>3</v>
      </c>
      <c r="B3" s="376"/>
      <c r="C3" s="376" t="s">
        <v>41</v>
      </c>
      <c r="D3" s="376" t="s">
        <v>17</v>
      </c>
      <c r="E3" s="377" t="s">
        <v>21</v>
      </c>
      <c r="F3" s="376"/>
      <c r="G3" s="382" t="s">
        <v>14</v>
      </c>
      <c r="H3" s="376"/>
      <c r="I3" s="376" t="s">
        <v>22</v>
      </c>
      <c r="J3" s="379" t="s">
        <v>22</v>
      </c>
      <c r="K3" s="379"/>
      <c r="L3" s="376" t="s">
        <v>52</v>
      </c>
      <c r="M3" s="380" t="s">
        <v>25</v>
      </c>
      <c r="N3" s="380"/>
      <c r="O3" s="381" t="s">
        <v>33</v>
      </c>
      <c r="AB3" s="1"/>
      <c r="AJ3" s="1"/>
      <c r="AK3" s="1"/>
    </row>
    <row r="4" spans="1:37">
      <c r="A4" s="375" t="s">
        <v>4</v>
      </c>
      <c r="B4" s="376"/>
      <c r="C4" s="376" t="s">
        <v>42</v>
      </c>
      <c r="D4" s="376" t="s">
        <v>17</v>
      </c>
      <c r="E4" s="377" t="s">
        <v>21</v>
      </c>
      <c r="F4" s="376"/>
      <c r="G4" s="378" t="s">
        <v>19</v>
      </c>
      <c r="H4" s="376"/>
      <c r="I4" s="376" t="s">
        <v>22</v>
      </c>
      <c r="J4" s="379" t="s">
        <v>22</v>
      </c>
      <c r="K4" s="379"/>
      <c r="L4" s="376" t="s">
        <v>22</v>
      </c>
      <c r="M4" s="380" t="s">
        <v>31</v>
      </c>
      <c r="N4" s="380"/>
      <c r="O4" s="381" t="s">
        <v>33</v>
      </c>
      <c r="AB4" s="1"/>
      <c r="AJ4" s="1"/>
      <c r="AK4" s="1"/>
    </row>
    <row r="5" spans="1:37" ht="15.75" thickBot="1">
      <c r="A5" s="375" t="s">
        <v>5</v>
      </c>
      <c r="B5" s="376" t="s">
        <v>22</v>
      </c>
      <c r="C5" s="376" t="s">
        <v>43</v>
      </c>
      <c r="D5" s="376" t="s">
        <v>17</v>
      </c>
      <c r="E5" s="377" t="s">
        <v>21</v>
      </c>
      <c r="F5" s="376"/>
      <c r="G5" s="383" t="s">
        <v>23</v>
      </c>
      <c r="H5" s="376"/>
      <c r="I5" s="376" t="s">
        <v>21</v>
      </c>
      <c r="J5" s="379" t="s">
        <v>22</v>
      </c>
      <c r="K5" s="379"/>
      <c r="L5" s="384" t="s">
        <v>21</v>
      </c>
      <c r="M5" s="380" t="s">
        <v>26</v>
      </c>
      <c r="N5" s="380"/>
      <c r="O5" s="381" t="s">
        <v>39</v>
      </c>
      <c r="AB5" s="1"/>
      <c r="AJ5" s="1"/>
      <c r="AK5" s="1"/>
    </row>
    <row r="6" spans="1:37" s="87" customFormat="1" ht="15.75" thickBot="1">
      <c r="A6" s="375" t="s">
        <v>6</v>
      </c>
      <c r="B6" s="376" t="s">
        <v>22</v>
      </c>
      <c r="C6" s="376" t="s">
        <v>44</v>
      </c>
      <c r="D6" s="376" t="s">
        <v>17</v>
      </c>
      <c r="E6" s="377" t="s">
        <v>21</v>
      </c>
      <c r="F6" s="376"/>
      <c r="G6" s="382" t="s">
        <v>14</v>
      </c>
      <c r="H6" s="376"/>
      <c r="I6" s="376" t="s">
        <v>22</v>
      </c>
      <c r="J6" s="379" t="s">
        <v>22</v>
      </c>
      <c r="K6" s="379"/>
      <c r="L6" s="384" t="s">
        <v>21</v>
      </c>
      <c r="M6" s="380" t="s">
        <v>27</v>
      </c>
      <c r="N6" s="380"/>
      <c r="O6" s="381" t="s">
        <v>34</v>
      </c>
      <c r="AB6" s="300"/>
      <c r="AJ6" s="300"/>
      <c r="AK6" s="300"/>
    </row>
    <row r="7" spans="1:37" s="55" customFormat="1">
      <c r="A7" s="375" t="s">
        <v>7</v>
      </c>
      <c r="B7" s="376"/>
      <c r="C7" s="376" t="s">
        <v>45</v>
      </c>
      <c r="D7" s="385" t="s">
        <v>795</v>
      </c>
      <c r="E7" s="377" t="s">
        <v>21</v>
      </c>
      <c r="F7" s="376"/>
      <c r="G7" s="382" t="s">
        <v>14</v>
      </c>
      <c r="H7" s="376"/>
      <c r="I7" s="376" t="s">
        <v>22</v>
      </c>
      <c r="J7" s="379" t="s">
        <v>22</v>
      </c>
      <c r="K7" s="385" t="s">
        <v>22</v>
      </c>
      <c r="L7" s="376" t="s">
        <v>22</v>
      </c>
      <c r="M7" s="380" t="s">
        <v>32</v>
      </c>
      <c r="N7" s="380"/>
      <c r="O7" s="381"/>
      <c r="AB7" s="301"/>
      <c r="AJ7" s="301"/>
      <c r="AK7" s="301"/>
    </row>
    <row r="8" spans="1:37" s="46" customFormat="1" ht="15.75" thickBot="1">
      <c r="A8" s="375" t="s">
        <v>8</v>
      </c>
      <c r="B8" s="376"/>
      <c r="C8" s="376" t="s">
        <v>46</v>
      </c>
      <c r="D8" s="385" t="s">
        <v>795</v>
      </c>
      <c r="E8" s="386" t="s">
        <v>800</v>
      </c>
      <c r="F8" s="387" t="s">
        <v>22</v>
      </c>
      <c r="G8" s="378" t="s">
        <v>19</v>
      </c>
      <c r="H8" s="390" t="s">
        <v>836</v>
      </c>
      <c r="I8" s="376" t="s">
        <v>21</v>
      </c>
      <c r="J8" s="388" t="s">
        <v>21</v>
      </c>
      <c r="K8" s="385" t="s">
        <v>22</v>
      </c>
      <c r="L8" s="376" t="s">
        <v>22</v>
      </c>
      <c r="M8" s="389" t="s">
        <v>806</v>
      </c>
      <c r="N8" s="380"/>
      <c r="O8" s="381" t="s">
        <v>33</v>
      </c>
      <c r="AB8" s="302"/>
      <c r="AJ8" s="302"/>
      <c r="AK8" s="302"/>
    </row>
    <row r="9" spans="1:37" s="55" customFormat="1">
      <c r="A9" s="375" t="s">
        <v>9</v>
      </c>
      <c r="B9" s="376" t="s">
        <v>22</v>
      </c>
      <c r="C9" s="376" t="s">
        <v>47</v>
      </c>
      <c r="D9" s="385" t="s">
        <v>795</v>
      </c>
      <c r="E9" s="377" t="s">
        <v>21</v>
      </c>
      <c r="F9" s="376"/>
      <c r="G9" s="382" t="s">
        <v>14</v>
      </c>
      <c r="H9" s="376"/>
      <c r="I9" s="376" t="s">
        <v>22</v>
      </c>
      <c r="J9" s="379" t="s">
        <v>22</v>
      </c>
      <c r="K9" s="385" t="s">
        <v>22</v>
      </c>
      <c r="L9" s="384" t="s">
        <v>21</v>
      </c>
      <c r="M9" s="389" t="s">
        <v>807</v>
      </c>
      <c r="N9" s="380"/>
      <c r="O9" s="381" t="s">
        <v>35</v>
      </c>
      <c r="AB9" s="301"/>
      <c r="AJ9" s="301"/>
      <c r="AK9" s="301"/>
    </row>
    <row r="10" spans="1:37" s="46" customFormat="1" ht="15.75" thickBot="1">
      <c r="A10" s="375" t="s">
        <v>792</v>
      </c>
      <c r="B10" s="376" t="s">
        <v>794</v>
      </c>
      <c r="C10" s="376" t="s">
        <v>791</v>
      </c>
      <c r="D10" s="385" t="s">
        <v>795</v>
      </c>
      <c r="E10" s="377" t="s">
        <v>21</v>
      </c>
      <c r="F10" s="376"/>
      <c r="G10" s="378" t="s">
        <v>19</v>
      </c>
      <c r="H10" s="390" t="s">
        <v>836</v>
      </c>
      <c r="I10" s="376" t="s">
        <v>21</v>
      </c>
      <c r="J10" s="379" t="s">
        <v>22</v>
      </c>
      <c r="K10" s="385" t="s">
        <v>22</v>
      </c>
      <c r="L10" s="384" t="s">
        <v>21</v>
      </c>
      <c r="M10" s="389" t="s">
        <v>793</v>
      </c>
      <c r="N10" s="380"/>
      <c r="O10" s="381"/>
      <c r="AB10" s="302"/>
      <c r="AJ10" s="302"/>
      <c r="AK10" s="302"/>
    </row>
    <row r="11" spans="1:37" ht="15.75" thickBot="1">
      <c r="A11" s="375" t="s">
        <v>10</v>
      </c>
      <c r="B11" s="376" t="s">
        <v>22</v>
      </c>
      <c r="C11" s="376" t="s">
        <v>48</v>
      </c>
      <c r="D11" s="376" t="s">
        <v>17</v>
      </c>
      <c r="E11" s="377" t="s">
        <v>21</v>
      </c>
      <c r="F11" s="376"/>
      <c r="G11" s="382" t="s">
        <v>14</v>
      </c>
      <c r="H11" s="376"/>
      <c r="I11" s="376" t="s">
        <v>21</v>
      </c>
      <c r="J11" s="379" t="s">
        <v>22</v>
      </c>
      <c r="K11" s="379"/>
      <c r="L11" s="384" t="s">
        <v>21</v>
      </c>
      <c r="M11" s="380" t="s">
        <v>28</v>
      </c>
      <c r="N11" s="380"/>
      <c r="O11" s="381" t="s">
        <v>35</v>
      </c>
      <c r="AB11" s="1"/>
      <c r="AJ11" s="1"/>
      <c r="AK11" s="1"/>
    </row>
    <row r="12" spans="1:37" s="87" customFormat="1" ht="15.75" thickBot="1">
      <c r="A12" s="375" t="s">
        <v>11</v>
      </c>
      <c r="B12" s="376"/>
      <c r="C12" s="376" t="s">
        <v>49</v>
      </c>
      <c r="D12" s="391" t="s">
        <v>36</v>
      </c>
      <c r="E12" s="377" t="s">
        <v>21</v>
      </c>
      <c r="F12" s="376"/>
      <c r="G12" s="382" t="s">
        <v>14</v>
      </c>
      <c r="H12" s="376"/>
      <c r="I12" s="376" t="s">
        <v>22</v>
      </c>
      <c r="J12" s="379" t="s">
        <v>22</v>
      </c>
      <c r="K12" s="379"/>
      <c r="L12" s="376" t="s">
        <v>52</v>
      </c>
      <c r="M12" s="380" t="s">
        <v>29</v>
      </c>
      <c r="N12" s="380"/>
      <c r="O12" s="381" t="s">
        <v>33</v>
      </c>
      <c r="AB12" s="300"/>
      <c r="AJ12" s="300"/>
      <c r="AK12" s="300"/>
    </row>
    <row r="13" spans="1:37" ht="15.75" thickBot="1">
      <c r="A13" s="375" t="s">
        <v>12</v>
      </c>
      <c r="B13" s="376" t="s">
        <v>22</v>
      </c>
      <c r="C13" s="376" t="s">
        <v>50</v>
      </c>
      <c r="D13" s="376" t="s">
        <v>17</v>
      </c>
      <c r="E13" s="377" t="s">
        <v>21</v>
      </c>
      <c r="F13" s="376"/>
      <c r="G13" s="378" t="s">
        <v>19</v>
      </c>
      <c r="H13" s="390" t="s">
        <v>836</v>
      </c>
      <c r="I13" s="376" t="s">
        <v>21</v>
      </c>
      <c r="J13" s="379" t="s">
        <v>22</v>
      </c>
      <c r="K13" s="379"/>
      <c r="L13" s="384" t="s">
        <v>21</v>
      </c>
      <c r="M13" s="380" t="s">
        <v>57</v>
      </c>
      <c r="N13" s="380" t="s">
        <v>56</v>
      </c>
      <c r="O13" s="381" t="s">
        <v>38</v>
      </c>
      <c r="AB13" s="1"/>
      <c r="AJ13" s="1"/>
      <c r="AK13" s="1"/>
    </row>
    <row r="14" spans="1:37" s="87" customFormat="1" ht="15.75" thickBot="1">
      <c r="A14" s="332" t="s">
        <v>13</v>
      </c>
      <c r="B14" s="392" t="s">
        <v>22</v>
      </c>
      <c r="C14" s="392" t="s">
        <v>51</v>
      </c>
      <c r="D14" s="392" t="s">
        <v>17</v>
      </c>
      <c r="E14" s="393" t="s">
        <v>802</v>
      </c>
      <c r="F14" s="392"/>
      <c r="G14" s="394" t="s">
        <v>19</v>
      </c>
      <c r="H14" s="395" t="s">
        <v>797</v>
      </c>
      <c r="I14" s="392" t="s">
        <v>21</v>
      </c>
      <c r="J14" s="396" t="s">
        <v>798</v>
      </c>
      <c r="K14" s="396"/>
      <c r="L14" s="397" t="s">
        <v>21</v>
      </c>
      <c r="M14" s="398" t="s">
        <v>30</v>
      </c>
      <c r="N14" s="398" t="s">
        <v>58</v>
      </c>
      <c r="O14" s="399" t="s">
        <v>38</v>
      </c>
      <c r="AB14" s="300"/>
      <c r="AJ14" s="300"/>
      <c r="AK14" s="300"/>
    </row>
    <row r="16" spans="1:37">
      <c r="M16" t="s">
        <v>54</v>
      </c>
      <c r="N16" t="s">
        <v>132</v>
      </c>
    </row>
    <row r="17" spans="13:14">
      <c r="M17" t="s">
        <v>89</v>
      </c>
      <c r="N17" t="s">
        <v>90</v>
      </c>
    </row>
  </sheetData>
  <hyperlinks>
    <hyperlink ref="M2" r:id="rId1"/>
    <hyperlink ref="M3" r:id="rId2"/>
    <hyperlink ref="M5" r:id="rId3"/>
    <hyperlink ref="M6" r:id="rId4"/>
    <hyperlink ref="M11" r:id="rId5"/>
    <hyperlink ref="M12" r:id="rId6"/>
    <hyperlink ref="M13" r:id="rId7"/>
    <hyperlink ref="M14" r:id="rId8"/>
    <hyperlink ref="M4" r:id="rId9"/>
    <hyperlink ref="N2" r:id="rId10" display="grotegatenPV"/>
    <hyperlink ref="N13" r:id="rId11"/>
    <hyperlink ref="N14" r:id="rId12"/>
    <hyperlink ref="M10" r:id="rId13"/>
    <hyperlink ref="M8" r:id="rId14"/>
    <hyperlink ref="M9" r:id="rId15"/>
  </hyperlinks>
  <pageMargins left="0.25" right="0.25" top="0.75" bottom="0.75" header="0.3" footer="0.3"/>
  <pageSetup paperSize="9" scale="54" orientation="landscape" r:id="rId16"/>
  <tableParts count="1">
    <tablePart r:id="rId1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>
    <tabColor rgb="FF0070C0"/>
    <pageSetUpPr fitToPage="1"/>
  </sheetPr>
  <dimension ref="A1:EQ67"/>
  <sheetViews>
    <sheetView tabSelected="1" topLeftCell="A29" zoomScale="85" zoomScaleNormal="85" workbookViewId="0">
      <selection activeCell="O53" sqref="O53"/>
    </sheetView>
  </sheetViews>
  <sheetFormatPr defaultRowHeight="15"/>
  <cols>
    <col min="2" max="2" width="48.42578125" customWidth="1"/>
    <col min="3" max="3" width="22.5703125" customWidth="1"/>
    <col min="4" max="4" width="13.42578125" customWidth="1"/>
    <col min="5" max="5" width="18.28515625" style="42" customWidth="1"/>
    <col min="6" max="6" width="3.140625" customWidth="1"/>
    <col min="7" max="7" width="3.7109375" customWidth="1"/>
    <col min="8" max="8" width="14.85546875" style="58" customWidth="1"/>
    <col min="9" max="9" width="11.85546875" customWidth="1"/>
    <col min="10" max="12" width="8" style="41" customWidth="1"/>
    <col min="13" max="13" width="10.5703125" style="41" customWidth="1"/>
    <col min="14" max="14" width="10.7109375" style="41" customWidth="1"/>
    <col min="15" max="15" width="11.42578125" style="41" customWidth="1"/>
    <col min="16" max="18" width="5" style="41" bestFit="1" customWidth="1"/>
    <col min="19" max="19" width="10.28515625" style="41" bestFit="1" customWidth="1"/>
    <col min="20" max="20" width="4.5703125" style="41" bestFit="1" customWidth="1"/>
    <col min="21" max="21" width="3" style="41" bestFit="1" customWidth="1"/>
    <col min="22" max="22" width="8.42578125" style="41" customWidth="1"/>
    <col min="23" max="24" width="11" bestFit="1" customWidth="1"/>
    <col min="25" max="25" width="13.42578125" customWidth="1"/>
    <col min="26" max="26" width="16.42578125" customWidth="1"/>
    <col min="27" max="27" width="13.140625" customWidth="1"/>
    <col min="28" max="28" width="13.5703125" customWidth="1"/>
  </cols>
  <sheetData>
    <row r="1" spans="1:147" ht="15.75" thickBot="1"/>
    <row r="2" spans="1:147" s="121" customFormat="1" ht="15.75">
      <c r="A2" s="119"/>
      <c r="B2" s="120" t="s">
        <v>466</v>
      </c>
      <c r="C2" s="204" t="s">
        <v>143</v>
      </c>
      <c r="D2" s="48" t="s">
        <v>868</v>
      </c>
      <c r="E2" s="48" t="s">
        <v>867</v>
      </c>
      <c r="F2" s="49" t="s">
        <v>15</v>
      </c>
      <c r="G2" s="49" t="s">
        <v>533</v>
      </c>
      <c r="H2" s="320" t="s">
        <v>518</v>
      </c>
      <c r="I2" s="49" t="s">
        <v>534</v>
      </c>
      <c r="J2" s="50" t="s">
        <v>479</v>
      </c>
      <c r="K2" s="50" t="s">
        <v>488</v>
      </c>
      <c r="L2" s="50" t="s">
        <v>489</v>
      </c>
      <c r="M2" s="50" t="s">
        <v>490</v>
      </c>
      <c r="N2" s="50" t="s">
        <v>826</v>
      </c>
      <c r="O2" s="456" t="s">
        <v>480</v>
      </c>
      <c r="P2" s="457"/>
      <c r="Q2" s="457"/>
      <c r="R2" s="458"/>
      <c r="S2" s="459" t="s">
        <v>481</v>
      </c>
      <c r="T2" s="460"/>
      <c r="U2" s="461"/>
      <c r="V2" s="50" t="s">
        <v>513</v>
      </c>
      <c r="W2" s="51" t="s">
        <v>516</v>
      </c>
      <c r="X2" s="52" t="s">
        <v>153</v>
      </c>
      <c r="Y2" s="51" t="s">
        <v>172</v>
      </c>
      <c r="Z2" s="53" t="s">
        <v>520</v>
      </c>
      <c r="AA2" s="119"/>
      <c r="AB2" s="297" t="s">
        <v>740</v>
      </c>
      <c r="AC2" s="297" t="s">
        <v>746</v>
      </c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</row>
    <row r="3" spans="1:147" s="119" customFormat="1" ht="15.75">
      <c r="B3" s="122" t="s">
        <v>369</v>
      </c>
      <c r="C3" s="43" t="s">
        <v>611</v>
      </c>
      <c r="D3" s="123" t="s">
        <v>62</v>
      </c>
      <c r="E3" s="124" t="s">
        <v>430</v>
      </c>
      <c r="F3" s="125" t="s">
        <v>431</v>
      </c>
      <c r="G3" s="126" t="s">
        <v>161</v>
      </c>
      <c r="H3" s="349">
        <v>1700</v>
      </c>
      <c r="I3" s="127" t="s">
        <v>504</v>
      </c>
      <c r="J3" s="127" t="s">
        <v>491</v>
      </c>
      <c r="K3" s="127" t="s">
        <v>492</v>
      </c>
      <c r="L3" s="127" t="s">
        <v>493</v>
      </c>
      <c r="M3" s="128"/>
      <c r="N3" s="362" t="s">
        <v>502</v>
      </c>
      <c r="O3" s="129" t="s">
        <v>507</v>
      </c>
      <c r="P3" s="130"/>
      <c r="Q3" s="130"/>
      <c r="R3" s="131"/>
      <c r="S3" s="132" t="s">
        <v>511</v>
      </c>
      <c r="T3" s="43"/>
      <c r="U3" s="133"/>
      <c r="V3" s="127" t="s">
        <v>483</v>
      </c>
      <c r="W3" s="132" t="s">
        <v>482</v>
      </c>
      <c r="X3" s="286" t="s">
        <v>699</v>
      </c>
      <c r="Y3" s="279" t="s">
        <v>693</v>
      </c>
      <c r="Z3" s="134" t="s">
        <v>521</v>
      </c>
      <c r="AA3" s="321" t="str">
        <f>E3</f>
        <v>020255B00</v>
      </c>
      <c r="AB3"/>
      <c r="AC3" t="s">
        <v>748</v>
      </c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</row>
    <row r="4" spans="1:147" s="119" customFormat="1" ht="15.75">
      <c r="B4" s="122" t="s">
        <v>367</v>
      </c>
      <c r="C4" s="43" t="s">
        <v>611</v>
      </c>
      <c r="D4" s="123" t="s">
        <v>869</v>
      </c>
      <c r="E4" s="124" t="s">
        <v>432</v>
      </c>
      <c r="F4" s="125" t="s">
        <v>433</v>
      </c>
      <c r="G4" s="126" t="s">
        <v>161</v>
      </c>
      <c r="H4" s="349">
        <v>1700</v>
      </c>
      <c r="I4" s="127" t="s">
        <v>504</v>
      </c>
      <c r="J4" s="127" t="s">
        <v>491</v>
      </c>
      <c r="K4" s="127" t="s">
        <v>492</v>
      </c>
      <c r="L4" s="127" t="s">
        <v>493</v>
      </c>
      <c r="M4" s="128"/>
      <c r="N4" s="362" t="s">
        <v>502</v>
      </c>
      <c r="O4" s="129" t="s">
        <v>507</v>
      </c>
      <c r="P4" s="130"/>
      <c r="Q4" s="130"/>
      <c r="R4" s="131"/>
      <c r="S4" s="123"/>
      <c r="T4" s="135" t="s">
        <v>512</v>
      </c>
      <c r="U4" s="133"/>
      <c r="V4" s="127" t="s">
        <v>483</v>
      </c>
      <c r="W4" s="136" t="s">
        <v>484</v>
      </c>
      <c r="X4" s="286" t="s">
        <v>699</v>
      </c>
      <c r="Y4" s="279" t="s">
        <v>693</v>
      </c>
      <c r="Z4" s="134" t="s">
        <v>522</v>
      </c>
      <c r="AA4" s="321" t="str">
        <f t="shared" ref="AA4:AA24" si="0">E4</f>
        <v>020255B01</v>
      </c>
      <c r="AB4"/>
      <c r="AC4" t="s">
        <v>748</v>
      </c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</row>
    <row r="5" spans="1:147" s="142" customFormat="1" ht="15.75">
      <c r="A5" s="119"/>
      <c r="B5" s="137" t="s">
        <v>434</v>
      </c>
      <c r="C5" s="142" t="s">
        <v>611</v>
      </c>
      <c r="D5" s="138" t="s">
        <v>62</v>
      </c>
      <c r="E5" s="139" t="s">
        <v>435</v>
      </c>
      <c r="F5" s="140" t="s">
        <v>436</v>
      </c>
      <c r="G5" s="141" t="s">
        <v>181</v>
      </c>
      <c r="H5" s="350">
        <v>1700</v>
      </c>
      <c r="I5" s="143" t="s">
        <v>503</v>
      </c>
      <c r="J5" s="143" t="s">
        <v>494</v>
      </c>
      <c r="K5" s="143" t="s">
        <v>494</v>
      </c>
      <c r="L5" s="143" t="s">
        <v>495</v>
      </c>
      <c r="M5" s="144"/>
      <c r="N5" s="360" t="s">
        <v>501</v>
      </c>
      <c r="O5" s="145" t="s">
        <v>507</v>
      </c>
      <c r="P5" s="146"/>
      <c r="Q5" s="146"/>
      <c r="R5" s="147"/>
      <c r="S5" s="148" t="s">
        <v>511</v>
      </c>
      <c r="U5" s="149"/>
      <c r="V5" s="141" t="s">
        <v>514</v>
      </c>
      <c r="W5" s="148"/>
      <c r="X5" s="287" t="s">
        <v>700</v>
      </c>
      <c r="Y5" s="141" t="s">
        <v>693</v>
      </c>
      <c r="Z5" s="150" t="s">
        <v>523</v>
      </c>
      <c r="AA5" s="321" t="str">
        <f t="shared" si="0"/>
        <v>030292B00</v>
      </c>
      <c r="AB5"/>
      <c r="AC5" t="s">
        <v>748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</row>
    <row r="6" spans="1:147" s="156" customFormat="1" ht="15.75">
      <c r="A6" s="119"/>
      <c r="B6" s="151" t="s">
        <v>467</v>
      </c>
      <c r="C6" s="156" t="s">
        <v>611</v>
      </c>
      <c r="D6" s="152" t="s">
        <v>870</v>
      </c>
      <c r="E6" s="153" t="s">
        <v>437</v>
      </c>
      <c r="F6" s="154" t="s">
        <v>438</v>
      </c>
      <c r="G6" s="155" t="s">
        <v>181</v>
      </c>
      <c r="H6" s="351">
        <v>1700</v>
      </c>
      <c r="I6" s="157" t="s">
        <v>503</v>
      </c>
      <c r="J6" s="157" t="s">
        <v>494</v>
      </c>
      <c r="K6" s="157" t="s">
        <v>494</v>
      </c>
      <c r="L6" s="157" t="s">
        <v>495</v>
      </c>
      <c r="M6" s="158"/>
      <c r="N6" s="400" t="s">
        <v>501</v>
      </c>
      <c r="O6" s="159" t="s">
        <v>507</v>
      </c>
      <c r="P6" s="160"/>
      <c r="Q6" s="160"/>
      <c r="R6" s="161"/>
      <c r="S6" s="152"/>
      <c r="T6" s="162" t="s">
        <v>512</v>
      </c>
      <c r="U6" s="163"/>
      <c r="V6" s="155" t="s">
        <v>514</v>
      </c>
      <c r="W6" s="164" t="s">
        <v>484</v>
      </c>
      <c r="X6" s="286" t="s">
        <v>699</v>
      </c>
      <c r="Y6" s="155" t="s">
        <v>693</v>
      </c>
      <c r="Z6" s="165" t="s">
        <v>524</v>
      </c>
      <c r="AA6" s="321" t="str">
        <f t="shared" si="0"/>
        <v>030292B01</v>
      </c>
      <c r="AB6"/>
      <c r="AC6" t="s">
        <v>748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</row>
    <row r="7" spans="1:147" s="142" customFormat="1" ht="15.75">
      <c r="A7" s="119"/>
      <c r="B7" s="137" t="s">
        <v>373</v>
      </c>
      <c r="C7" s="142" t="s">
        <v>611</v>
      </c>
      <c r="D7" s="138" t="s">
        <v>874</v>
      </c>
      <c r="E7" s="139" t="s">
        <v>476</v>
      </c>
      <c r="G7" s="166" t="s">
        <v>161</v>
      </c>
      <c r="H7" s="350">
        <v>1700</v>
      </c>
      <c r="I7" s="167" t="s">
        <v>505</v>
      </c>
      <c r="J7" s="167" t="s">
        <v>496</v>
      </c>
      <c r="K7" s="167" t="s">
        <v>497</v>
      </c>
      <c r="L7" s="167" t="s">
        <v>498</v>
      </c>
      <c r="M7" s="144"/>
      <c r="N7" s="361" t="s">
        <v>502</v>
      </c>
      <c r="O7" s="145" t="s">
        <v>507</v>
      </c>
      <c r="P7" s="146"/>
      <c r="Q7" s="146"/>
      <c r="R7" s="147"/>
      <c r="S7" s="138"/>
      <c r="T7" s="168" t="s">
        <v>512</v>
      </c>
      <c r="U7" s="149"/>
      <c r="V7" s="166" t="s">
        <v>515</v>
      </c>
      <c r="W7" s="132" t="s">
        <v>482</v>
      </c>
      <c r="X7" s="286" t="s">
        <v>699</v>
      </c>
      <c r="Y7" s="141" t="s">
        <v>693</v>
      </c>
      <c r="Z7" s="150" t="s">
        <v>525</v>
      </c>
      <c r="AA7" s="321" t="str">
        <f t="shared" si="0"/>
        <v>050166_01</v>
      </c>
      <c r="AB7"/>
      <c r="AC7" t="s">
        <v>748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</row>
    <row r="8" spans="1:147" s="156" customFormat="1" ht="15.75">
      <c r="A8" s="119"/>
      <c r="B8" s="151" t="s">
        <v>375</v>
      </c>
      <c r="C8" s="156" t="s">
        <v>611</v>
      </c>
      <c r="D8" s="152" t="s">
        <v>62</v>
      </c>
      <c r="E8" s="153" t="s">
        <v>439</v>
      </c>
      <c r="F8" s="169" t="s">
        <v>487</v>
      </c>
      <c r="G8" s="170" t="s">
        <v>161</v>
      </c>
      <c r="H8" s="351">
        <v>1700</v>
      </c>
      <c r="I8" s="171" t="s">
        <v>505</v>
      </c>
      <c r="J8" s="171" t="s">
        <v>496</v>
      </c>
      <c r="K8" s="171" t="s">
        <v>497</v>
      </c>
      <c r="L8" s="171" t="s">
        <v>498</v>
      </c>
      <c r="M8" s="158"/>
      <c r="N8" s="361" t="s">
        <v>502</v>
      </c>
      <c r="O8" s="159" t="s">
        <v>507</v>
      </c>
      <c r="P8" s="160"/>
      <c r="Q8" s="160"/>
      <c r="R8" s="161"/>
      <c r="S8" s="172" t="s">
        <v>511</v>
      </c>
      <c r="U8" s="163"/>
      <c r="V8" s="166" t="s">
        <v>515</v>
      </c>
      <c r="W8" s="172" t="s">
        <v>482</v>
      </c>
      <c r="X8" s="286" t="s">
        <v>699</v>
      </c>
      <c r="Y8" s="155" t="s">
        <v>693</v>
      </c>
      <c r="Z8" s="165" t="s">
        <v>526</v>
      </c>
      <c r="AA8" s="321" t="str">
        <f t="shared" si="0"/>
        <v>050166B00</v>
      </c>
      <c r="AB8"/>
      <c r="AC8" t="s">
        <v>748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</row>
    <row r="9" spans="1:147" s="119" customFormat="1" ht="15.75">
      <c r="B9" s="122" t="s">
        <v>381</v>
      </c>
      <c r="C9" s="43" t="s">
        <v>611</v>
      </c>
      <c r="D9" s="123" t="s">
        <v>62</v>
      </c>
      <c r="E9" s="124" t="s">
        <v>440</v>
      </c>
      <c r="F9" s="125" t="s">
        <v>441</v>
      </c>
      <c r="G9" s="126" t="s">
        <v>161</v>
      </c>
      <c r="H9" s="349">
        <v>1700</v>
      </c>
      <c r="I9" s="173" t="s">
        <v>506</v>
      </c>
      <c r="J9" s="173" t="s">
        <v>499</v>
      </c>
      <c r="K9" s="173" t="s">
        <v>499</v>
      </c>
      <c r="L9" s="173" t="s">
        <v>500</v>
      </c>
      <c r="M9" s="128"/>
      <c r="N9" s="361" t="s">
        <v>502</v>
      </c>
      <c r="O9" s="129" t="s">
        <v>507</v>
      </c>
      <c r="P9" s="130"/>
      <c r="Q9" s="130"/>
      <c r="R9" s="131"/>
      <c r="S9" s="132" t="s">
        <v>511</v>
      </c>
      <c r="T9" s="43"/>
      <c r="U9" s="133"/>
      <c r="V9" s="166" t="s">
        <v>515</v>
      </c>
      <c r="W9" s="172" t="s">
        <v>482</v>
      </c>
      <c r="X9" s="286" t="s">
        <v>699</v>
      </c>
      <c r="Y9" s="279" t="s">
        <v>693</v>
      </c>
      <c r="Z9" s="134" t="s">
        <v>526</v>
      </c>
      <c r="AA9" s="321" t="str">
        <f t="shared" si="0"/>
        <v>051027B00</v>
      </c>
      <c r="AB9"/>
      <c r="AC9" t="s">
        <v>748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</row>
    <row r="10" spans="1:147" s="119" customFormat="1" ht="15.75">
      <c r="B10" s="122" t="s">
        <v>471</v>
      </c>
      <c r="C10" s="43" t="s">
        <v>611</v>
      </c>
      <c r="D10" s="123" t="s">
        <v>62</v>
      </c>
      <c r="E10" s="124" t="s">
        <v>442</v>
      </c>
      <c r="F10" s="125" t="s">
        <v>443</v>
      </c>
      <c r="G10" s="126" t="s">
        <v>161</v>
      </c>
      <c r="H10" s="349">
        <v>1700</v>
      </c>
      <c r="I10" s="173" t="s">
        <v>506</v>
      </c>
      <c r="J10" s="173" t="s">
        <v>499</v>
      </c>
      <c r="K10" s="173" t="s">
        <v>499</v>
      </c>
      <c r="L10" s="173" t="s">
        <v>500</v>
      </c>
      <c r="M10" s="128"/>
      <c r="N10" s="361" t="s">
        <v>502</v>
      </c>
      <c r="O10" s="129" t="s">
        <v>507</v>
      </c>
      <c r="P10" s="130"/>
      <c r="Q10" s="130"/>
      <c r="R10" s="131"/>
      <c r="S10" s="123"/>
      <c r="T10" s="43"/>
      <c r="U10" s="174" t="s">
        <v>517</v>
      </c>
      <c r="V10" s="166" t="s">
        <v>515</v>
      </c>
      <c r="W10" s="175" t="s">
        <v>484</v>
      </c>
      <c r="X10" s="286" t="s">
        <v>699</v>
      </c>
      <c r="Y10" s="279" t="s">
        <v>693</v>
      </c>
      <c r="Z10" s="134" t="s">
        <v>527</v>
      </c>
      <c r="AA10" s="321" t="str">
        <f t="shared" si="0"/>
        <v>060019B00</v>
      </c>
      <c r="AB10"/>
      <c r="AC10" t="s">
        <v>748</v>
      </c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</row>
    <row r="11" spans="1:147" s="119" customFormat="1" ht="15.75">
      <c r="B11" s="122" t="s">
        <v>379</v>
      </c>
      <c r="C11" s="43" t="s">
        <v>611</v>
      </c>
      <c r="D11" s="123" t="s">
        <v>62</v>
      </c>
      <c r="E11" s="124" t="s">
        <v>444</v>
      </c>
      <c r="F11" s="125" t="s">
        <v>445</v>
      </c>
      <c r="G11" s="126" t="s">
        <v>161</v>
      </c>
      <c r="H11" s="349">
        <v>1700</v>
      </c>
      <c r="I11" s="173" t="s">
        <v>506</v>
      </c>
      <c r="J11" s="173" t="s">
        <v>499</v>
      </c>
      <c r="K11" s="173" t="s">
        <v>499</v>
      </c>
      <c r="L11" s="173" t="s">
        <v>500</v>
      </c>
      <c r="M11" s="128"/>
      <c r="N11" s="361" t="s">
        <v>502</v>
      </c>
      <c r="O11" s="129"/>
      <c r="P11" s="132" t="s">
        <v>508</v>
      </c>
      <c r="Q11" s="130"/>
      <c r="R11" s="131"/>
      <c r="S11" s="132" t="s">
        <v>511</v>
      </c>
      <c r="T11" s="43"/>
      <c r="U11" s="133"/>
      <c r="V11" s="166" t="s">
        <v>515</v>
      </c>
      <c r="W11" s="132" t="s">
        <v>484</v>
      </c>
      <c r="X11" s="286" t="s">
        <v>699</v>
      </c>
      <c r="Y11" s="279" t="s">
        <v>693</v>
      </c>
      <c r="Z11" s="134" t="s">
        <v>526</v>
      </c>
      <c r="AA11" s="321" t="str">
        <f t="shared" si="0"/>
        <v>070044A00</v>
      </c>
      <c r="AB11"/>
      <c r="AC11" t="s">
        <v>748</v>
      </c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</row>
    <row r="12" spans="1:147" s="119" customFormat="1" ht="15.75">
      <c r="B12" s="122" t="s">
        <v>472</v>
      </c>
      <c r="C12" s="43" t="s">
        <v>611</v>
      </c>
      <c r="D12" s="123" t="s">
        <v>871</v>
      </c>
      <c r="E12" s="124" t="s">
        <v>446</v>
      </c>
      <c r="F12" s="125" t="s">
        <v>447</v>
      </c>
      <c r="G12" s="126" t="s">
        <v>161</v>
      </c>
      <c r="H12" s="349">
        <v>1700</v>
      </c>
      <c r="I12" s="173" t="s">
        <v>506</v>
      </c>
      <c r="J12" s="173" t="s">
        <v>499</v>
      </c>
      <c r="K12" s="173" t="s">
        <v>499</v>
      </c>
      <c r="L12" s="173" t="s">
        <v>500</v>
      </c>
      <c r="M12" s="128"/>
      <c r="N12" s="361" t="s">
        <v>502</v>
      </c>
      <c r="O12" s="129"/>
      <c r="P12" s="130"/>
      <c r="Q12" s="176" t="s">
        <v>509</v>
      </c>
      <c r="R12" s="131"/>
      <c r="S12" s="123"/>
      <c r="T12" s="176" t="s">
        <v>512</v>
      </c>
      <c r="U12" s="133"/>
      <c r="V12" s="166" t="s">
        <v>515</v>
      </c>
      <c r="W12" s="176" t="s">
        <v>519</v>
      </c>
      <c r="X12" s="286" t="s">
        <v>699</v>
      </c>
      <c r="Y12" s="279" t="s">
        <v>693</v>
      </c>
      <c r="Z12" s="134" t="s">
        <v>528</v>
      </c>
      <c r="AA12" s="321" t="str">
        <f t="shared" si="0"/>
        <v>070044A01</v>
      </c>
      <c r="AB12"/>
      <c r="AC12" t="s">
        <v>748</v>
      </c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</row>
    <row r="13" spans="1:147" s="43" customFormat="1" ht="15.75">
      <c r="A13" s="119"/>
      <c r="B13" s="205" t="s">
        <v>448</v>
      </c>
      <c r="C13" s="43" t="s">
        <v>611</v>
      </c>
      <c r="D13" s="123" t="s">
        <v>875</v>
      </c>
      <c r="E13" s="124" t="s">
        <v>449</v>
      </c>
      <c r="F13" s="125" t="s">
        <v>450</v>
      </c>
      <c r="G13" s="177" t="s">
        <v>233</v>
      </c>
      <c r="H13" s="352">
        <v>1850</v>
      </c>
      <c r="I13" s="178" t="s">
        <v>503</v>
      </c>
      <c r="J13" s="178" t="s">
        <v>495</v>
      </c>
      <c r="K13" s="178" t="s">
        <v>494</v>
      </c>
      <c r="L13" s="178" t="s">
        <v>494</v>
      </c>
      <c r="M13" s="179" t="s">
        <v>22</v>
      </c>
      <c r="N13" s="361" t="s">
        <v>502</v>
      </c>
      <c r="O13" s="129"/>
      <c r="P13" s="130"/>
      <c r="Q13" s="130"/>
      <c r="R13" s="180" t="s">
        <v>510</v>
      </c>
      <c r="S13" s="123"/>
      <c r="T13" s="135" t="s">
        <v>512</v>
      </c>
      <c r="U13" s="133"/>
      <c r="V13" s="177" t="s">
        <v>515</v>
      </c>
      <c r="W13" s="164" t="s">
        <v>484</v>
      </c>
      <c r="X13" s="286" t="s">
        <v>699</v>
      </c>
      <c r="Y13" s="279" t="s">
        <v>693</v>
      </c>
      <c r="Z13" s="134" t="s">
        <v>23</v>
      </c>
      <c r="AA13" s="321" t="str">
        <f t="shared" si="0"/>
        <v>090330A01</v>
      </c>
      <c r="AB13"/>
      <c r="AC13" t="s">
        <v>748</v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</row>
    <row r="14" spans="1:147" s="156" customFormat="1" ht="15.75">
      <c r="A14" s="119"/>
      <c r="B14" s="151" t="s">
        <v>473</v>
      </c>
      <c r="C14" s="156" t="s">
        <v>611</v>
      </c>
      <c r="D14" s="152" t="s">
        <v>62</v>
      </c>
      <c r="E14" s="153" t="s">
        <v>451</v>
      </c>
      <c r="F14" s="154" t="s">
        <v>452</v>
      </c>
      <c r="G14" s="181" t="s">
        <v>233</v>
      </c>
      <c r="H14" s="351">
        <v>1700</v>
      </c>
      <c r="I14" s="157" t="s">
        <v>503</v>
      </c>
      <c r="J14" s="157" t="s">
        <v>495</v>
      </c>
      <c r="K14" s="157" t="s">
        <v>494</v>
      </c>
      <c r="L14" s="157" t="s">
        <v>494</v>
      </c>
      <c r="M14" s="182" t="s">
        <v>22</v>
      </c>
      <c r="N14" s="361" t="s">
        <v>502</v>
      </c>
      <c r="O14" s="159" t="s">
        <v>507</v>
      </c>
      <c r="P14" s="160"/>
      <c r="Q14" s="160"/>
      <c r="R14" s="161"/>
      <c r="S14" s="152"/>
      <c r="T14" s="162" t="s">
        <v>512</v>
      </c>
      <c r="U14" s="163"/>
      <c r="V14" s="181" t="s">
        <v>515</v>
      </c>
      <c r="W14" s="164" t="s">
        <v>484</v>
      </c>
      <c r="X14" s="286" t="s">
        <v>699</v>
      </c>
      <c r="Y14" s="155" t="s">
        <v>693</v>
      </c>
      <c r="Z14" s="165" t="s">
        <v>529</v>
      </c>
      <c r="AA14" s="321" t="str">
        <f t="shared" si="0"/>
        <v>090330A02</v>
      </c>
      <c r="AB14"/>
      <c r="AC14" t="s">
        <v>748</v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</row>
    <row r="15" spans="1:147" s="119" customFormat="1" ht="15.75">
      <c r="B15" s="122" t="s">
        <v>474</v>
      </c>
      <c r="C15" s="43" t="s">
        <v>611</v>
      </c>
      <c r="D15" s="123" t="s">
        <v>62</v>
      </c>
      <c r="E15" s="124" t="s">
        <v>453</v>
      </c>
      <c r="F15" s="125" t="s">
        <v>454</v>
      </c>
      <c r="G15" s="126" t="s">
        <v>161</v>
      </c>
      <c r="H15" s="349">
        <v>1700</v>
      </c>
      <c r="I15" s="173" t="s">
        <v>506</v>
      </c>
      <c r="J15" s="173" t="s">
        <v>499</v>
      </c>
      <c r="K15" s="173" t="s">
        <v>499</v>
      </c>
      <c r="L15" s="173" t="s">
        <v>500</v>
      </c>
      <c r="M15" s="128"/>
      <c r="N15" s="361" t="s">
        <v>502</v>
      </c>
      <c r="O15" s="129" t="s">
        <v>507</v>
      </c>
      <c r="P15" s="130"/>
      <c r="Q15" s="130"/>
      <c r="R15" s="131"/>
      <c r="S15" s="123"/>
      <c r="T15" s="135" t="s">
        <v>512</v>
      </c>
      <c r="U15" s="133"/>
      <c r="V15" s="126" t="s">
        <v>515</v>
      </c>
      <c r="W15" s="136" t="s">
        <v>484</v>
      </c>
      <c r="X15" s="286" t="s">
        <v>699</v>
      </c>
      <c r="Y15" s="279" t="s">
        <v>693</v>
      </c>
      <c r="Z15" s="134" t="s">
        <v>530</v>
      </c>
      <c r="AA15" s="321" t="str">
        <f t="shared" si="0"/>
        <v>130055A00</v>
      </c>
      <c r="AB15"/>
      <c r="AC15" t="s">
        <v>748</v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</row>
    <row r="16" spans="1:147" s="142" customFormat="1" ht="15.75">
      <c r="A16" s="119"/>
      <c r="B16" s="137" t="s">
        <v>455</v>
      </c>
      <c r="C16" s="142" t="s">
        <v>611</v>
      </c>
      <c r="D16" s="138" t="s">
        <v>62</v>
      </c>
      <c r="E16" s="139" t="s">
        <v>456</v>
      </c>
      <c r="F16" s="140" t="s">
        <v>457</v>
      </c>
      <c r="G16" s="183" t="s">
        <v>233</v>
      </c>
      <c r="H16" s="350">
        <v>1700</v>
      </c>
      <c r="I16" s="178" t="s">
        <v>503</v>
      </c>
      <c r="J16" s="178" t="s">
        <v>495</v>
      </c>
      <c r="K16" s="178" t="s">
        <v>494</v>
      </c>
      <c r="L16" s="178" t="s">
        <v>494</v>
      </c>
      <c r="M16" s="184" t="s">
        <v>22</v>
      </c>
      <c r="N16" s="361" t="s">
        <v>502</v>
      </c>
      <c r="O16" s="145" t="s">
        <v>507</v>
      </c>
      <c r="P16" s="146"/>
      <c r="Q16" s="146"/>
      <c r="R16" s="147"/>
      <c r="S16" s="148" t="s">
        <v>511</v>
      </c>
      <c r="U16" s="149"/>
      <c r="V16" s="183" t="s">
        <v>515</v>
      </c>
      <c r="W16" s="148"/>
      <c r="X16" s="287" t="s">
        <v>700</v>
      </c>
      <c r="Y16" s="141" t="s">
        <v>693</v>
      </c>
      <c r="Z16" s="150" t="s">
        <v>531</v>
      </c>
      <c r="AA16" s="321" t="str">
        <f t="shared" si="0"/>
        <v>130110A00</v>
      </c>
      <c r="AB16"/>
      <c r="AC16" t="s">
        <v>748</v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</row>
    <row r="17" spans="1:147" s="156" customFormat="1" ht="15.75">
      <c r="A17" s="119"/>
      <c r="B17" s="122" t="s">
        <v>386</v>
      </c>
      <c r="C17" s="43" t="s">
        <v>611</v>
      </c>
      <c r="D17" s="123" t="s">
        <v>872</v>
      </c>
      <c r="E17" s="124" t="s">
        <v>458</v>
      </c>
      <c r="F17" s="125" t="s">
        <v>459</v>
      </c>
      <c r="G17" s="177" t="s">
        <v>233</v>
      </c>
      <c r="H17" s="349">
        <v>1700</v>
      </c>
      <c r="I17" s="178" t="s">
        <v>503</v>
      </c>
      <c r="J17" s="178" t="s">
        <v>495</v>
      </c>
      <c r="K17" s="178" t="s">
        <v>494</v>
      </c>
      <c r="L17" s="178" t="s">
        <v>494</v>
      </c>
      <c r="M17" s="179" t="s">
        <v>22</v>
      </c>
      <c r="N17" s="361" t="s">
        <v>502</v>
      </c>
      <c r="O17" s="129" t="s">
        <v>507</v>
      </c>
      <c r="P17" s="130"/>
      <c r="Q17" s="130"/>
      <c r="R17" s="131"/>
      <c r="S17" s="123"/>
      <c r="T17" s="135" t="s">
        <v>512</v>
      </c>
      <c r="U17" s="133"/>
      <c r="V17" s="177" t="s">
        <v>515</v>
      </c>
      <c r="W17" s="136" t="s">
        <v>484</v>
      </c>
      <c r="X17" s="286" t="s">
        <v>699</v>
      </c>
      <c r="Y17" s="279" t="s">
        <v>693</v>
      </c>
      <c r="Z17" s="322" t="s">
        <v>532</v>
      </c>
      <c r="AA17" s="321" t="str">
        <f t="shared" si="0"/>
        <v>130110A01</v>
      </c>
      <c r="AB17"/>
      <c r="AC17" t="s">
        <v>748</v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</row>
    <row r="18" spans="1:147" s="142" customFormat="1" ht="15.75">
      <c r="A18" s="119"/>
      <c r="B18" s="343" t="s">
        <v>475</v>
      </c>
      <c r="C18" s="142" t="s">
        <v>611</v>
      </c>
      <c r="D18" s="138" t="s">
        <v>62</v>
      </c>
      <c r="E18" s="139" t="s">
        <v>460</v>
      </c>
      <c r="F18" s="140" t="s">
        <v>461</v>
      </c>
      <c r="G18" s="166" t="s">
        <v>161</v>
      </c>
      <c r="H18" s="353">
        <v>1850</v>
      </c>
      <c r="I18" s="185" t="s">
        <v>506</v>
      </c>
      <c r="J18" s="185" t="s">
        <v>499</v>
      </c>
      <c r="K18" s="185" t="s">
        <v>499</v>
      </c>
      <c r="L18" s="185" t="s">
        <v>500</v>
      </c>
      <c r="M18" s="144"/>
      <c r="N18" s="361" t="s">
        <v>502</v>
      </c>
      <c r="O18" s="145"/>
      <c r="P18" s="146"/>
      <c r="Q18" s="146"/>
      <c r="R18" s="323" t="s">
        <v>510</v>
      </c>
      <c r="S18" s="138"/>
      <c r="T18" s="168" t="s">
        <v>512</v>
      </c>
      <c r="U18" s="149"/>
      <c r="V18" s="166" t="s">
        <v>515</v>
      </c>
      <c r="W18" s="324" t="s">
        <v>484</v>
      </c>
      <c r="X18" s="325" t="s">
        <v>699</v>
      </c>
      <c r="Y18" s="141" t="s">
        <v>693</v>
      </c>
      <c r="Z18" s="150" t="s">
        <v>528</v>
      </c>
      <c r="AA18" s="321" t="str">
        <f t="shared" si="0"/>
        <v>150461A01</v>
      </c>
      <c r="AB18"/>
      <c r="AC18" t="s">
        <v>748</v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</row>
    <row r="19" spans="1:147" s="43" customFormat="1" ht="15.75">
      <c r="A19" s="119"/>
      <c r="B19" s="344" t="s">
        <v>381</v>
      </c>
      <c r="C19" s="43" t="s">
        <v>611</v>
      </c>
      <c r="D19" s="123" t="s">
        <v>62</v>
      </c>
      <c r="E19" s="124" t="s">
        <v>477</v>
      </c>
      <c r="F19" s="186" t="s">
        <v>486</v>
      </c>
      <c r="G19" s="126" t="s">
        <v>161</v>
      </c>
      <c r="H19" s="349">
        <v>1700</v>
      </c>
      <c r="I19" s="173" t="s">
        <v>506</v>
      </c>
      <c r="J19" s="173" t="s">
        <v>499</v>
      </c>
      <c r="K19" s="173" t="s">
        <v>499</v>
      </c>
      <c r="L19" s="173" t="s">
        <v>500</v>
      </c>
      <c r="M19" s="128"/>
      <c r="N19" s="362" t="s">
        <v>502</v>
      </c>
      <c r="O19" s="129" t="s">
        <v>507</v>
      </c>
      <c r="P19" s="130"/>
      <c r="Q19" s="130"/>
      <c r="R19" s="131"/>
      <c r="S19" s="132" t="s">
        <v>511</v>
      </c>
      <c r="U19" s="133"/>
      <c r="V19" s="166" t="s">
        <v>515</v>
      </c>
      <c r="W19" s="132" t="s">
        <v>482</v>
      </c>
      <c r="X19" s="287" t="s">
        <v>700</v>
      </c>
      <c r="Y19" s="279" t="s">
        <v>693</v>
      </c>
      <c r="Z19" s="134" t="s">
        <v>526</v>
      </c>
      <c r="AA19" s="321" t="str">
        <f t="shared" si="0"/>
        <v>170416a01</v>
      </c>
      <c r="AB19"/>
      <c r="AC19" t="s">
        <v>748</v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</row>
    <row r="20" spans="1:147" s="156" customFormat="1" ht="15.75">
      <c r="A20" s="119"/>
      <c r="B20" s="344" t="s">
        <v>375</v>
      </c>
      <c r="C20" s="43" t="s">
        <v>611</v>
      </c>
      <c r="D20" s="123" t="s">
        <v>62</v>
      </c>
      <c r="E20" s="124" t="s">
        <v>478</v>
      </c>
      <c r="F20" s="186" t="s">
        <v>485</v>
      </c>
      <c r="G20" s="126" t="s">
        <v>161</v>
      </c>
      <c r="H20" s="349">
        <v>1700</v>
      </c>
      <c r="I20" s="327" t="s">
        <v>505</v>
      </c>
      <c r="J20" s="327" t="s">
        <v>496</v>
      </c>
      <c r="K20" s="327" t="s">
        <v>497</v>
      </c>
      <c r="L20" s="327" t="s">
        <v>498</v>
      </c>
      <c r="M20" s="128"/>
      <c r="N20" s="362" t="s">
        <v>502</v>
      </c>
      <c r="O20" s="129" t="s">
        <v>507</v>
      </c>
      <c r="P20" s="130"/>
      <c r="Q20" s="130"/>
      <c r="R20" s="131"/>
      <c r="S20" s="132" t="s">
        <v>511</v>
      </c>
      <c r="T20" s="43"/>
      <c r="U20" s="133"/>
      <c r="V20" s="166" t="s">
        <v>515</v>
      </c>
      <c r="W20" s="132" t="s">
        <v>482</v>
      </c>
      <c r="X20" s="287" t="s">
        <v>700</v>
      </c>
      <c r="Y20" s="279" t="s">
        <v>693</v>
      </c>
      <c r="Z20" s="322" t="s">
        <v>526</v>
      </c>
      <c r="AA20" s="321" t="str">
        <f t="shared" si="0"/>
        <v>170417a01</v>
      </c>
      <c r="AB20"/>
      <c r="AC20" t="s">
        <v>748</v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</row>
    <row r="21" spans="1:147" s="43" customFormat="1" ht="15.75">
      <c r="A21" s="119"/>
      <c r="B21" s="345" t="s">
        <v>813</v>
      </c>
      <c r="C21" s="329" t="s">
        <v>611</v>
      </c>
      <c r="D21" s="330" t="s">
        <v>62</v>
      </c>
      <c r="E21" s="331" t="s">
        <v>835</v>
      </c>
      <c r="F21" s="40" t="s">
        <v>827</v>
      </c>
      <c r="G21" s="326" t="s">
        <v>161</v>
      </c>
      <c r="H21" s="350">
        <v>1700</v>
      </c>
      <c r="I21" s="363" t="s">
        <v>816</v>
      </c>
      <c r="J21" s="341" t="s">
        <v>820</v>
      </c>
      <c r="K21" s="341" t="s">
        <v>820</v>
      </c>
      <c r="L21" s="341" t="s">
        <v>822</v>
      </c>
      <c r="M21" s="40"/>
      <c r="N21" s="365" t="s">
        <v>817</v>
      </c>
      <c r="O21" s="145" t="s">
        <v>507</v>
      </c>
      <c r="P21" s="40"/>
      <c r="Q21" s="40"/>
      <c r="R21" s="40"/>
      <c r="S21" s="40"/>
      <c r="T21" s="168" t="s">
        <v>512</v>
      </c>
      <c r="U21" s="40"/>
      <c r="V21" s="166" t="s">
        <v>515</v>
      </c>
      <c r="W21" s="136" t="s">
        <v>484</v>
      </c>
      <c r="X21" s="325" t="s">
        <v>699</v>
      </c>
      <c r="Y21" s="141" t="s">
        <v>693</v>
      </c>
      <c r="Z21" s="336" t="s">
        <v>830</v>
      </c>
      <c r="AA21" s="321" t="str">
        <f t="shared" si="0"/>
        <v>180541_01</v>
      </c>
      <c r="AB21"/>
      <c r="AC21" t="s">
        <v>748</v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</row>
    <row r="22" spans="1:147" s="43" customFormat="1" ht="15.75">
      <c r="A22" s="119"/>
      <c r="B22" s="346" t="s">
        <v>814</v>
      </c>
      <c r="C22" s="156" t="s">
        <v>611</v>
      </c>
      <c r="D22" s="152" t="s">
        <v>62</v>
      </c>
      <c r="E22" s="333" t="s">
        <v>815</v>
      </c>
      <c r="F22" s="334" t="s">
        <v>827</v>
      </c>
      <c r="G22" s="155" t="s">
        <v>181</v>
      </c>
      <c r="H22" s="351">
        <v>1700</v>
      </c>
      <c r="I22" s="364" t="s">
        <v>816</v>
      </c>
      <c r="J22" s="342" t="s">
        <v>823</v>
      </c>
      <c r="K22" s="342" t="s">
        <v>821</v>
      </c>
      <c r="L22" s="342" t="s">
        <v>821</v>
      </c>
      <c r="M22" s="421" t="s">
        <v>22</v>
      </c>
      <c r="N22" s="366" t="s">
        <v>817</v>
      </c>
      <c r="O22" s="159" t="s">
        <v>507</v>
      </c>
      <c r="P22" s="334"/>
      <c r="Q22" s="334"/>
      <c r="R22" s="334"/>
      <c r="S22" s="334"/>
      <c r="T22" s="162" t="s">
        <v>512</v>
      </c>
      <c r="U22" s="334"/>
      <c r="V22" s="155" t="s">
        <v>514</v>
      </c>
      <c r="W22" s="324" t="s">
        <v>484</v>
      </c>
      <c r="X22" s="335" t="s">
        <v>699</v>
      </c>
      <c r="Y22" s="155" t="s">
        <v>693</v>
      </c>
      <c r="Z22" s="337" t="s">
        <v>831</v>
      </c>
      <c r="AA22" s="321" t="str">
        <f t="shared" si="0"/>
        <v>180544_01</v>
      </c>
      <c r="AB22"/>
      <c r="AC22" t="s">
        <v>748</v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</row>
    <row r="23" spans="1:147" s="43" customFormat="1" ht="15.75">
      <c r="A23" s="119"/>
      <c r="B23" s="347" t="s">
        <v>818</v>
      </c>
      <c r="C23" s="156" t="s">
        <v>611</v>
      </c>
      <c r="D23" s="152" t="s">
        <v>62</v>
      </c>
      <c r="E23" s="328" t="s">
        <v>825</v>
      </c>
      <c r="F23" s="253" t="s">
        <v>827</v>
      </c>
      <c r="G23" s="170" t="s">
        <v>161</v>
      </c>
      <c r="H23" s="350">
        <v>1700</v>
      </c>
      <c r="I23" s="262" t="s">
        <v>816</v>
      </c>
      <c r="J23" s="341" t="s">
        <v>820</v>
      </c>
      <c r="K23" s="341" t="s">
        <v>820</v>
      </c>
      <c r="L23" s="341" t="s">
        <v>822</v>
      </c>
      <c r="M23" s="5"/>
      <c r="N23" s="367" t="s">
        <v>817</v>
      </c>
      <c r="O23" s="129" t="s">
        <v>507</v>
      </c>
      <c r="P23" s="130"/>
      <c r="Q23" s="130"/>
      <c r="R23" s="131"/>
      <c r="S23" s="132" t="s">
        <v>511</v>
      </c>
      <c r="T23" s="5"/>
      <c r="U23" s="5"/>
      <c r="V23" s="126" t="s">
        <v>515</v>
      </c>
      <c r="W23" s="148" t="s">
        <v>482</v>
      </c>
      <c r="X23" s="286" t="s">
        <v>699</v>
      </c>
      <c r="Y23" s="279" t="s">
        <v>693</v>
      </c>
      <c r="Z23" s="134" t="s">
        <v>832</v>
      </c>
      <c r="AA23" s="321" t="str">
        <f t="shared" si="0"/>
        <v>180548_01</v>
      </c>
      <c r="AB23"/>
      <c r="AC23" t="s">
        <v>748</v>
      </c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</row>
    <row r="24" spans="1:147" s="43" customFormat="1" ht="16.5" thickBot="1">
      <c r="A24" s="119"/>
      <c r="B24" s="348" t="s">
        <v>819</v>
      </c>
      <c r="C24" s="188" t="s">
        <v>611</v>
      </c>
      <c r="D24" s="187" t="s">
        <v>62</v>
      </c>
      <c r="E24" s="338" t="s">
        <v>824</v>
      </c>
      <c r="F24" s="46" t="s">
        <v>828</v>
      </c>
      <c r="G24" s="280" t="s">
        <v>181</v>
      </c>
      <c r="H24" s="351">
        <v>1700</v>
      </c>
      <c r="I24" s="265" t="s">
        <v>816</v>
      </c>
      <c r="J24" s="342" t="s">
        <v>823</v>
      </c>
      <c r="K24" s="342" t="s">
        <v>821</v>
      </c>
      <c r="L24" s="342" t="s">
        <v>821</v>
      </c>
      <c r="M24" s="422" t="s">
        <v>22</v>
      </c>
      <c r="N24" s="368" t="s">
        <v>817</v>
      </c>
      <c r="O24" s="189" t="s">
        <v>507</v>
      </c>
      <c r="P24" s="190"/>
      <c r="Q24" s="190"/>
      <c r="R24" s="191"/>
      <c r="S24" s="192" t="s">
        <v>511</v>
      </c>
      <c r="T24" s="46"/>
      <c r="U24" s="46"/>
      <c r="V24" s="280" t="s">
        <v>514</v>
      </c>
      <c r="W24" s="172" t="s">
        <v>482</v>
      </c>
      <c r="X24" s="339" t="s">
        <v>700</v>
      </c>
      <c r="Y24" s="280" t="s">
        <v>693</v>
      </c>
      <c r="Z24" s="340" t="s">
        <v>833</v>
      </c>
      <c r="AA24" s="321" t="str">
        <f t="shared" si="0"/>
        <v>180549_01</v>
      </c>
      <c r="AB24"/>
      <c r="AC24" t="s">
        <v>748</v>
      </c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</row>
    <row r="25" spans="1:147">
      <c r="AA25" s="42"/>
    </row>
    <row r="26" spans="1:147" ht="15.75" thickBot="1">
      <c r="AA26" s="42"/>
    </row>
    <row r="27" spans="1:147" ht="16.5" thickBot="1">
      <c r="B27" s="256" t="s">
        <v>466</v>
      </c>
      <c r="C27" s="257" t="s">
        <v>143</v>
      </c>
      <c r="D27" s="258" t="s">
        <v>464</v>
      </c>
      <c r="E27" s="259" t="s">
        <v>465</v>
      </c>
      <c r="F27" s="80" t="s">
        <v>15</v>
      </c>
      <c r="G27" s="80" t="s">
        <v>533</v>
      </c>
      <c r="H27" s="319" t="s">
        <v>698</v>
      </c>
      <c r="I27" s="80" t="s">
        <v>612</v>
      </c>
      <c r="J27" s="215" t="s">
        <v>479</v>
      </c>
      <c r="K27" s="215" t="s">
        <v>488</v>
      </c>
      <c r="L27" s="215" t="s">
        <v>489</v>
      </c>
      <c r="M27" s="215"/>
      <c r="N27" s="215"/>
      <c r="O27" s="453" t="s">
        <v>480</v>
      </c>
      <c r="P27" s="454"/>
      <c r="Q27" s="454"/>
      <c r="R27" s="455"/>
      <c r="S27" s="87" t="s">
        <v>481</v>
      </c>
      <c r="T27" s="87"/>
      <c r="U27" s="87"/>
      <c r="V27" s="215" t="s">
        <v>661</v>
      </c>
      <c r="W27" s="260" t="s">
        <v>643</v>
      </c>
      <c r="X27" s="261" t="s">
        <v>153</v>
      </c>
      <c r="Y27" s="260" t="s">
        <v>172</v>
      </c>
      <c r="Z27" s="216" t="s">
        <v>520</v>
      </c>
      <c r="AA27" s="259" t="s">
        <v>465</v>
      </c>
    </row>
    <row r="28" spans="1:147" ht="15.75">
      <c r="B28" s="44" t="s">
        <v>406</v>
      </c>
      <c r="C28" s="5" t="s">
        <v>625</v>
      </c>
      <c r="D28" s="253" t="s">
        <v>62</v>
      </c>
      <c r="E28" s="67" t="s">
        <v>589</v>
      </c>
      <c r="F28" s="9" t="s">
        <v>603</v>
      </c>
      <c r="G28" s="5" t="s">
        <v>619</v>
      </c>
      <c r="H28" s="355" t="s">
        <v>21</v>
      </c>
      <c r="I28" s="254" t="s">
        <v>614</v>
      </c>
      <c r="J28" s="221" t="s">
        <v>615</v>
      </c>
      <c r="K28" s="221" t="s">
        <v>616</v>
      </c>
      <c r="L28" s="221" t="s">
        <v>616</v>
      </c>
      <c r="M28" s="210"/>
      <c r="N28" s="210"/>
      <c r="O28" s="251" t="s">
        <v>635</v>
      </c>
      <c r="P28" s="210"/>
      <c r="Q28" s="210"/>
      <c r="R28" s="255"/>
      <c r="S28" s="262" t="s">
        <v>676</v>
      </c>
      <c r="T28" s="5"/>
      <c r="U28" s="210"/>
      <c r="V28" s="243" t="s">
        <v>663</v>
      </c>
      <c r="W28" s="225" t="s">
        <v>644</v>
      </c>
      <c r="X28" s="224" t="s">
        <v>645</v>
      </c>
      <c r="Y28" s="281" t="s">
        <v>694</v>
      </c>
      <c r="Z28" s="57" t="s">
        <v>696</v>
      </c>
      <c r="AA28" s="67" t="s">
        <v>589</v>
      </c>
      <c r="AC28" t="s">
        <v>748</v>
      </c>
    </row>
    <row r="29" spans="1:147">
      <c r="B29" s="44" t="s">
        <v>596</v>
      </c>
      <c r="C29" s="5" t="s">
        <v>625</v>
      </c>
      <c r="D29" s="5" t="s">
        <v>62</v>
      </c>
      <c r="E29" s="67" t="s">
        <v>590</v>
      </c>
      <c r="F29" s="5" t="s">
        <v>602</v>
      </c>
      <c r="G29" s="5" t="s">
        <v>619</v>
      </c>
      <c r="H29" s="355" t="s">
        <v>21</v>
      </c>
      <c r="I29" s="217" t="s">
        <v>613</v>
      </c>
      <c r="J29" s="221" t="s">
        <v>615</v>
      </c>
      <c r="K29" s="221" t="s">
        <v>616</v>
      </c>
      <c r="L29" s="221" t="s">
        <v>616</v>
      </c>
      <c r="M29" s="5"/>
      <c r="N29" s="5"/>
      <c r="O29" s="251" t="s">
        <v>635</v>
      </c>
      <c r="P29" s="5"/>
      <c r="Q29" s="5"/>
      <c r="R29" s="252"/>
      <c r="S29" s="262" t="s">
        <v>676</v>
      </c>
      <c r="T29" s="5"/>
      <c r="U29" s="5"/>
      <c r="V29" s="71" t="s">
        <v>663</v>
      </c>
      <c r="W29" s="225" t="s">
        <v>644</v>
      </c>
      <c r="X29" s="224" t="s">
        <v>645</v>
      </c>
      <c r="Y29" s="281" t="s">
        <v>694</v>
      </c>
      <c r="Z29" s="57" t="s">
        <v>697</v>
      </c>
      <c r="AA29" s="67" t="s">
        <v>590</v>
      </c>
      <c r="AC29" t="s">
        <v>748</v>
      </c>
    </row>
    <row r="30" spans="1:147">
      <c r="B30" s="44" t="s">
        <v>408</v>
      </c>
      <c r="C30" s="5" t="s">
        <v>625</v>
      </c>
      <c r="D30" s="5" t="s">
        <v>62</v>
      </c>
      <c r="E30" s="67" t="s">
        <v>622</v>
      </c>
      <c r="F30" s="9" t="s">
        <v>620</v>
      </c>
      <c r="G30" s="211" t="s">
        <v>619</v>
      </c>
      <c r="H30" s="356" t="s">
        <v>22</v>
      </c>
      <c r="I30" s="211" t="s">
        <v>32</v>
      </c>
      <c r="J30" s="221" t="s">
        <v>615</v>
      </c>
      <c r="K30" s="221" t="s">
        <v>616</v>
      </c>
      <c r="L30" s="221" t="s">
        <v>616</v>
      </c>
      <c r="M30" s="5"/>
      <c r="N30" s="5"/>
      <c r="O30" s="251" t="s">
        <v>635</v>
      </c>
      <c r="P30" s="5"/>
      <c r="Q30" s="5"/>
      <c r="R30" s="252"/>
      <c r="S30" s="262" t="s">
        <v>676</v>
      </c>
      <c r="T30" s="5"/>
      <c r="U30" s="5"/>
      <c r="V30" s="71" t="s">
        <v>663</v>
      </c>
      <c r="W30" s="225" t="s">
        <v>644</v>
      </c>
      <c r="X30" s="224" t="s">
        <v>645</v>
      </c>
      <c r="Y30" s="281" t="s">
        <v>694</v>
      </c>
      <c r="Z30" s="57" t="s">
        <v>829</v>
      </c>
      <c r="AA30" s="67" t="s">
        <v>622</v>
      </c>
    </row>
    <row r="31" spans="1:147" ht="15.75" thickBot="1">
      <c r="B31" s="45" t="s">
        <v>410</v>
      </c>
      <c r="C31" s="46" t="s">
        <v>625</v>
      </c>
      <c r="D31" s="46" t="s">
        <v>62</v>
      </c>
      <c r="E31" s="111" t="s">
        <v>623</v>
      </c>
      <c r="F31" s="208" t="s">
        <v>624</v>
      </c>
      <c r="G31" s="46" t="s">
        <v>619</v>
      </c>
      <c r="H31" s="357" t="s">
        <v>21</v>
      </c>
      <c r="I31" s="46" t="s">
        <v>32</v>
      </c>
      <c r="J31" s="222" t="s">
        <v>615</v>
      </c>
      <c r="K31" s="222" t="s">
        <v>616</v>
      </c>
      <c r="L31" s="222" t="s">
        <v>616</v>
      </c>
      <c r="M31" s="46"/>
      <c r="N31" s="46"/>
      <c r="O31" s="263" t="s">
        <v>635</v>
      </c>
      <c r="P31" s="46"/>
      <c r="Q31" s="46"/>
      <c r="R31" s="264"/>
      <c r="S31" s="265" t="s">
        <v>676</v>
      </c>
      <c r="T31" s="46"/>
      <c r="U31" s="46"/>
      <c r="V31" s="242" t="s">
        <v>663</v>
      </c>
      <c r="W31" s="226" t="s">
        <v>644</v>
      </c>
      <c r="X31" s="115" t="s">
        <v>645</v>
      </c>
      <c r="Y31" s="282" t="s">
        <v>694</v>
      </c>
      <c r="Z31" s="47" t="s">
        <v>23</v>
      </c>
      <c r="AA31" s="111" t="s">
        <v>623</v>
      </c>
    </row>
    <row r="32" spans="1:147">
      <c r="B32" s="5"/>
      <c r="C32" s="5"/>
      <c r="D32" s="5"/>
      <c r="E32" s="67"/>
      <c r="F32" s="9"/>
      <c r="G32" s="5"/>
      <c r="H32" s="354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Z32" s="5"/>
      <c r="AA32" s="67"/>
    </row>
    <row r="33" spans="2:29">
      <c r="B33" s="5"/>
      <c r="C33" s="5"/>
      <c r="D33" s="5"/>
      <c r="E33" s="67"/>
      <c r="F33" s="9"/>
      <c r="G33" s="5"/>
      <c r="H33" s="354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Z33" s="5"/>
      <c r="AA33" s="67"/>
    </row>
    <row r="34" spans="2:29" ht="15.75" thickBot="1">
      <c r="G34" s="211"/>
      <c r="AA34" s="42"/>
    </row>
    <row r="35" spans="2:29" ht="15.75" thickBot="1">
      <c r="B35" s="213"/>
      <c r="C35" s="80"/>
      <c r="D35" s="80"/>
      <c r="E35" s="80"/>
      <c r="F35" s="80"/>
      <c r="G35" s="214"/>
      <c r="H35" s="319" t="s">
        <v>698</v>
      </c>
      <c r="I35" s="80"/>
      <c r="J35" s="80" t="s">
        <v>627</v>
      </c>
      <c r="K35" s="80" t="s">
        <v>628</v>
      </c>
      <c r="L35" s="80" t="s">
        <v>629</v>
      </c>
      <c r="M35" s="215"/>
      <c r="N35" s="215" t="s">
        <v>684</v>
      </c>
      <c r="O35" s="215"/>
      <c r="P35" s="215" t="s">
        <v>687</v>
      </c>
      <c r="Q35" s="215"/>
      <c r="R35" s="215"/>
      <c r="S35" s="459" t="s">
        <v>677</v>
      </c>
      <c r="T35" s="460"/>
      <c r="U35" s="461"/>
      <c r="V35" s="50" t="s">
        <v>661</v>
      </c>
      <c r="W35" s="51" t="s">
        <v>643</v>
      </c>
      <c r="X35" s="52" t="s">
        <v>153</v>
      </c>
      <c r="Y35" s="51" t="s">
        <v>586</v>
      </c>
      <c r="Z35" s="53" t="s">
        <v>520</v>
      </c>
      <c r="AA35" s="80"/>
    </row>
    <row r="36" spans="2:29">
      <c r="B36" s="44" t="s">
        <v>681</v>
      </c>
      <c r="C36" s="5" t="s">
        <v>626</v>
      </c>
      <c r="D36" s="5" t="s">
        <v>62</v>
      </c>
      <c r="E36" s="67" t="s">
        <v>604</v>
      </c>
      <c r="F36" s="9" t="s">
        <v>609</v>
      </c>
      <c r="G36" s="5" t="s">
        <v>619</v>
      </c>
      <c r="H36" s="356" t="s">
        <v>22</v>
      </c>
      <c r="I36" s="5"/>
      <c r="J36" s="218" t="s">
        <v>616</v>
      </c>
      <c r="K36" s="218" t="s">
        <v>630</v>
      </c>
      <c r="L36" s="218" t="s">
        <v>631</v>
      </c>
      <c r="M36" s="210"/>
      <c r="N36" s="210" t="s">
        <v>32</v>
      </c>
      <c r="O36" s="210"/>
      <c r="P36" s="210" t="s">
        <v>688</v>
      </c>
      <c r="Q36" s="210"/>
      <c r="R36" s="210"/>
      <c r="S36" s="248" t="s">
        <v>678</v>
      </c>
      <c r="T36" s="210"/>
      <c r="U36" s="210"/>
      <c r="V36" s="244" t="s">
        <v>662</v>
      </c>
      <c r="W36" s="227" t="s">
        <v>657</v>
      </c>
      <c r="X36" s="228" t="s">
        <v>658</v>
      </c>
      <c r="Y36" s="5"/>
      <c r="Z36" s="57"/>
      <c r="AA36" s="67" t="s">
        <v>604</v>
      </c>
      <c r="AC36" t="s">
        <v>754</v>
      </c>
    </row>
    <row r="37" spans="2:29">
      <c r="B37" s="44" t="s">
        <v>394</v>
      </c>
      <c r="C37" s="5" t="s">
        <v>626</v>
      </c>
      <c r="D37" s="5" t="s">
        <v>62</v>
      </c>
      <c r="E37" s="67" t="s">
        <v>605</v>
      </c>
      <c r="F37" s="9" t="s">
        <v>608</v>
      </c>
      <c r="G37" s="211" t="s">
        <v>619</v>
      </c>
      <c r="H37" s="356" t="s">
        <v>22</v>
      </c>
      <c r="I37" s="5"/>
      <c r="J37" s="218" t="s">
        <v>616</v>
      </c>
      <c r="K37" s="218" t="s">
        <v>630</v>
      </c>
      <c r="L37" s="218" t="s">
        <v>631</v>
      </c>
      <c r="M37" s="210"/>
      <c r="N37" s="274" t="s">
        <v>686</v>
      </c>
      <c r="O37" s="210"/>
      <c r="P37" s="210" t="s">
        <v>22</v>
      </c>
      <c r="Q37" s="210"/>
      <c r="R37" s="210"/>
      <c r="S37" s="248" t="s">
        <v>678</v>
      </c>
      <c r="T37" s="210"/>
      <c r="U37" s="210"/>
      <c r="V37" s="244" t="s">
        <v>662</v>
      </c>
      <c r="W37" s="229" t="s">
        <v>659</v>
      </c>
      <c r="X37" s="228" t="s">
        <v>658</v>
      </c>
      <c r="Y37" s="272" t="s">
        <v>32</v>
      </c>
      <c r="Z37" s="57"/>
      <c r="AA37" s="67" t="s">
        <v>605</v>
      </c>
      <c r="AC37" t="s">
        <v>753</v>
      </c>
    </row>
    <row r="38" spans="2:29" ht="15.75" thickBot="1">
      <c r="B38" s="45" t="s">
        <v>607</v>
      </c>
      <c r="C38" s="46" t="s">
        <v>626</v>
      </c>
      <c r="D38" s="46" t="s">
        <v>62</v>
      </c>
      <c r="E38" s="111" t="s">
        <v>606</v>
      </c>
      <c r="F38" s="208" t="s">
        <v>682</v>
      </c>
      <c r="G38" s="46" t="s">
        <v>619</v>
      </c>
      <c r="H38" s="358" t="s">
        <v>22</v>
      </c>
      <c r="I38" s="46"/>
      <c r="J38" s="219" t="s">
        <v>616</v>
      </c>
      <c r="K38" s="219" t="s">
        <v>630</v>
      </c>
      <c r="L38" s="219" t="s">
        <v>631</v>
      </c>
      <c r="M38" s="209"/>
      <c r="N38" s="273" t="s">
        <v>685</v>
      </c>
      <c r="O38" s="209"/>
      <c r="P38" s="209" t="s">
        <v>22</v>
      </c>
      <c r="Q38" s="209"/>
      <c r="R38" s="209"/>
      <c r="S38" s="266" t="s">
        <v>678</v>
      </c>
      <c r="T38" s="209"/>
      <c r="U38" s="209"/>
      <c r="V38" s="245" t="s">
        <v>662</v>
      </c>
      <c r="W38" s="267" t="s">
        <v>659</v>
      </c>
      <c r="X38" s="46" t="s">
        <v>660</v>
      </c>
      <c r="Y38" s="242" t="s">
        <v>683</v>
      </c>
      <c r="Z38" s="47"/>
      <c r="AA38" s="111" t="s">
        <v>606</v>
      </c>
      <c r="AC38" t="s">
        <v>765</v>
      </c>
    </row>
    <row r="39" spans="2:29">
      <c r="G39" s="211" t="s">
        <v>619</v>
      </c>
      <c r="J39"/>
      <c r="K39"/>
      <c r="L39"/>
      <c r="AA39" s="42"/>
    </row>
    <row r="40" spans="2:29" ht="15.75" thickBot="1">
      <c r="G40" s="211" t="s">
        <v>621</v>
      </c>
      <c r="J40"/>
      <c r="K40"/>
      <c r="L40"/>
      <c r="AA40" s="42"/>
    </row>
    <row r="41" spans="2:29" ht="15.75" thickBot="1">
      <c r="B41" s="213"/>
      <c r="C41" s="80"/>
      <c r="D41" s="80"/>
      <c r="E41" s="80"/>
      <c r="F41" s="80"/>
      <c r="G41" s="214"/>
      <c r="H41" s="319" t="s">
        <v>698</v>
      </c>
      <c r="I41" s="80"/>
      <c r="J41" s="80" t="s">
        <v>627</v>
      </c>
      <c r="K41" s="80" t="s">
        <v>628</v>
      </c>
      <c r="L41" s="80" t="s">
        <v>629</v>
      </c>
      <c r="M41" s="215"/>
      <c r="N41" s="215" t="s">
        <v>684</v>
      </c>
      <c r="O41" s="275"/>
      <c r="P41" s="276"/>
      <c r="Q41" s="276"/>
      <c r="R41" s="277"/>
      <c r="S41" s="459" t="s">
        <v>677</v>
      </c>
      <c r="T41" s="460"/>
      <c r="U41" s="461"/>
      <c r="V41" s="50" t="s">
        <v>661</v>
      </c>
      <c r="W41" s="51" t="s">
        <v>643</v>
      </c>
      <c r="X41" s="52" t="s">
        <v>153</v>
      </c>
      <c r="Y41" s="51"/>
      <c r="Z41" s="53" t="s">
        <v>520</v>
      </c>
      <c r="AA41" s="80"/>
    </row>
    <row r="42" spans="2:29">
      <c r="B42" s="54" t="s">
        <v>597</v>
      </c>
      <c r="C42" s="55" t="s">
        <v>610</v>
      </c>
      <c r="D42" s="55" t="s">
        <v>62</v>
      </c>
      <c r="E42" s="268" t="s">
        <v>680</v>
      </c>
      <c r="F42" s="206" t="s">
        <v>601</v>
      </c>
      <c r="G42" s="55" t="s">
        <v>619</v>
      </c>
      <c r="H42" s="359" t="s">
        <v>21</v>
      </c>
      <c r="I42" s="55"/>
      <c r="J42" s="218" t="s">
        <v>616</v>
      </c>
      <c r="K42" s="218" t="s">
        <v>630</v>
      </c>
      <c r="L42" s="218" t="s">
        <v>631</v>
      </c>
      <c r="M42" s="55"/>
      <c r="N42" s="278" t="s">
        <v>689</v>
      </c>
      <c r="O42" s="55"/>
      <c r="P42" s="55"/>
      <c r="Q42" s="55"/>
      <c r="R42" s="55"/>
      <c r="S42" s="250" t="s">
        <v>678</v>
      </c>
      <c r="T42" s="55"/>
      <c r="U42" s="55"/>
      <c r="V42" s="95" t="s">
        <v>663</v>
      </c>
      <c r="W42" s="55" t="s">
        <v>648</v>
      </c>
      <c r="X42" s="55" t="s">
        <v>649</v>
      </c>
      <c r="Y42" s="5"/>
      <c r="Z42" s="56"/>
      <c r="AA42" s="268" t="s">
        <v>680</v>
      </c>
      <c r="AC42" t="s">
        <v>755</v>
      </c>
    </row>
    <row r="43" spans="2:29">
      <c r="B43" s="44" t="s">
        <v>396</v>
      </c>
      <c r="C43" s="5" t="s">
        <v>610</v>
      </c>
      <c r="D43" s="211" t="s">
        <v>62</v>
      </c>
      <c r="E43" s="67" t="s">
        <v>592</v>
      </c>
      <c r="F43" s="9" t="s">
        <v>600</v>
      </c>
      <c r="G43" s="211" t="s">
        <v>619</v>
      </c>
      <c r="H43" s="355" t="s">
        <v>21</v>
      </c>
      <c r="I43" s="5"/>
      <c r="J43" s="218" t="s">
        <v>616</v>
      </c>
      <c r="K43" s="218" t="s">
        <v>630</v>
      </c>
      <c r="L43" s="218" t="s">
        <v>631</v>
      </c>
      <c r="M43" s="5"/>
      <c r="N43" s="254" t="s">
        <v>689</v>
      </c>
      <c r="O43" s="5"/>
      <c r="P43" s="5"/>
      <c r="Q43" s="5"/>
      <c r="R43" s="5"/>
      <c r="S43" s="247" t="s">
        <v>679</v>
      </c>
      <c r="T43" s="5"/>
      <c r="U43" s="5"/>
      <c r="V43" s="71" t="s">
        <v>663</v>
      </c>
      <c r="W43" s="5" t="s">
        <v>650</v>
      </c>
      <c r="X43" s="5" t="s">
        <v>651</v>
      </c>
      <c r="Y43" s="5"/>
      <c r="Z43" s="57"/>
      <c r="AA43" s="67" t="s">
        <v>592</v>
      </c>
      <c r="AC43" t="s">
        <v>760</v>
      </c>
    </row>
    <row r="44" spans="2:29">
      <c r="B44" s="44" t="s">
        <v>340</v>
      </c>
      <c r="C44" s="5" t="s">
        <v>610</v>
      </c>
      <c r="D44" s="211" t="s">
        <v>62</v>
      </c>
      <c r="E44" s="67" t="s">
        <v>591</v>
      </c>
      <c r="F44" s="9" t="s">
        <v>599</v>
      </c>
      <c r="G44" s="211" t="s">
        <v>619</v>
      </c>
      <c r="H44" s="356" t="s">
        <v>22</v>
      </c>
      <c r="I44" s="5"/>
      <c r="J44" s="220" t="s">
        <v>633</v>
      </c>
      <c r="K44" s="220" t="s">
        <v>632</v>
      </c>
      <c r="L44" s="220" t="s">
        <v>634</v>
      </c>
      <c r="M44" s="5"/>
      <c r="N44" s="224" t="s">
        <v>690</v>
      </c>
      <c r="O44" s="5"/>
      <c r="P44" s="5"/>
      <c r="Q44" s="5"/>
      <c r="R44" s="5"/>
      <c r="S44" s="249" t="s">
        <v>678</v>
      </c>
      <c r="T44" s="5"/>
      <c r="U44" s="5"/>
      <c r="V44" s="71" t="s">
        <v>663</v>
      </c>
      <c r="W44" s="211" t="s">
        <v>652</v>
      </c>
      <c r="X44" s="230" t="s">
        <v>653</v>
      </c>
      <c r="Y44" s="5"/>
      <c r="Z44" s="57"/>
      <c r="AA44" s="67" t="s">
        <v>591</v>
      </c>
      <c r="AC44" s="299" t="s">
        <v>747</v>
      </c>
    </row>
    <row r="45" spans="2:29">
      <c r="B45" s="44" t="s">
        <v>342</v>
      </c>
      <c r="C45" s="5" t="s">
        <v>610</v>
      </c>
      <c r="D45" s="5" t="s">
        <v>62</v>
      </c>
      <c r="E45" s="67" t="s">
        <v>593</v>
      </c>
      <c r="F45" s="9" t="s">
        <v>598</v>
      </c>
      <c r="G45" s="5" t="s">
        <v>619</v>
      </c>
      <c r="H45" s="356" t="s">
        <v>22</v>
      </c>
      <c r="I45" s="5"/>
      <c r="J45" s="220" t="s">
        <v>633</v>
      </c>
      <c r="K45" s="220" t="s">
        <v>632</v>
      </c>
      <c r="L45" s="220" t="s">
        <v>634</v>
      </c>
      <c r="M45" s="210"/>
      <c r="N45" s="224" t="s">
        <v>690</v>
      </c>
      <c r="O45" s="210"/>
      <c r="P45" s="210"/>
      <c r="Q45" s="210"/>
      <c r="R45" s="210"/>
      <c r="S45" s="249" t="s">
        <v>678</v>
      </c>
      <c r="T45" s="210"/>
      <c r="U45" s="210"/>
      <c r="V45" s="243" t="s">
        <v>663</v>
      </c>
      <c r="W45" s="5" t="s">
        <v>654</v>
      </c>
      <c r="X45" s="230" t="s">
        <v>653</v>
      </c>
      <c r="Y45" s="5"/>
      <c r="Z45" s="57"/>
      <c r="AA45" s="67" t="s">
        <v>593</v>
      </c>
      <c r="AC45" s="299" t="s">
        <v>747</v>
      </c>
    </row>
    <row r="46" spans="2:29">
      <c r="B46" s="44" t="s">
        <v>640</v>
      </c>
      <c r="C46" s="5" t="s">
        <v>610</v>
      </c>
      <c r="D46" s="5" t="s">
        <v>62</v>
      </c>
      <c r="E46" s="67" t="s">
        <v>638</v>
      </c>
      <c r="F46" s="9" t="s">
        <v>637</v>
      </c>
      <c r="G46" s="211" t="s">
        <v>619</v>
      </c>
      <c r="H46" s="356" t="s">
        <v>22</v>
      </c>
      <c r="I46" s="5"/>
      <c r="J46" s="298" t="s">
        <v>633</v>
      </c>
      <c r="K46" s="298" t="s">
        <v>632</v>
      </c>
      <c r="L46" s="298" t="s">
        <v>634</v>
      </c>
      <c r="M46" s="210" t="s">
        <v>691</v>
      </c>
      <c r="N46" s="210" t="s">
        <v>745</v>
      </c>
      <c r="O46" s="210"/>
      <c r="P46" s="210"/>
      <c r="Q46" s="210"/>
      <c r="R46" s="210"/>
      <c r="S46" s="249" t="s">
        <v>678</v>
      </c>
      <c r="T46" s="210"/>
      <c r="U46" s="210"/>
      <c r="V46" s="71" t="s">
        <v>663</v>
      </c>
      <c r="W46" s="5" t="s">
        <v>655</v>
      </c>
      <c r="X46" s="5" t="s">
        <v>656</v>
      </c>
      <c r="Y46" s="5"/>
      <c r="Z46" s="57"/>
      <c r="AA46" s="67" t="s">
        <v>638</v>
      </c>
      <c r="AC46" t="s">
        <v>749</v>
      </c>
    </row>
    <row r="47" spans="2:29" ht="15.75" thickBot="1">
      <c r="B47" s="45" t="s">
        <v>743</v>
      </c>
      <c r="C47" s="446" t="s">
        <v>595</v>
      </c>
      <c r="D47" s="5" t="s">
        <v>62</v>
      </c>
      <c r="E47" s="111" t="s">
        <v>744</v>
      </c>
      <c r="F47" s="46"/>
      <c r="G47" s="46"/>
      <c r="H47" s="358" t="s">
        <v>22</v>
      </c>
      <c r="I47" s="46"/>
      <c r="J47" s="271" t="s">
        <v>633</v>
      </c>
      <c r="K47" s="271" t="s">
        <v>632</v>
      </c>
      <c r="L47" s="271" t="s">
        <v>634</v>
      </c>
      <c r="M47" s="209" t="s">
        <v>691</v>
      </c>
      <c r="N47" s="209" t="s">
        <v>742</v>
      </c>
      <c r="O47" s="209"/>
      <c r="P47" s="209"/>
      <c r="Q47" s="209"/>
      <c r="R47" s="209"/>
      <c r="S47" s="269" t="s">
        <v>678</v>
      </c>
      <c r="T47" s="209"/>
      <c r="U47" s="209"/>
      <c r="V47" s="242" t="s">
        <v>663</v>
      </c>
      <c r="W47" s="46"/>
      <c r="X47" s="46"/>
      <c r="Y47" s="46"/>
      <c r="Z47" s="47"/>
      <c r="AA47" s="67" t="str">
        <f>E47</f>
        <v>120107c</v>
      </c>
      <c r="AC47" s="299" t="s">
        <v>747</v>
      </c>
    </row>
    <row r="48" spans="2:29">
      <c r="B48" s="5"/>
      <c r="C48" s="5"/>
      <c r="D48" s="5"/>
      <c r="E48" s="67"/>
      <c r="F48" s="5"/>
      <c r="G48" s="5"/>
      <c r="H48" s="356"/>
      <c r="I48" s="5"/>
      <c r="J48" s="298"/>
      <c r="K48" s="298"/>
      <c r="L48" s="298"/>
      <c r="M48" s="210"/>
      <c r="N48" s="210"/>
      <c r="O48" s="210"/>
      <c r="P48" s="210"/>
      <c r="Q48" s="210"/>
      <c r="R48" s="210"/>
      <c r="S48" s="249"/>
      <c r="T48" s="210"/>
      <c r="U48" s="210"/>
      <c r="V48" s="71"/>
      <c r="W48" s="5"/>
      <c r="X48" s="5"/>
      <c r="Y48" s="5"/>
      <c r="Z48" s="5"/>
      <c r="AA48" s="67"/>
    </row>
    <row r="49" spans="2:29" ht="15.75" thickBot="1">
      <c r="B49" s="5"/>
      <c r="C49" s="5"/>
      <c r="D49" s="5"/>
      <c r="E49" s="67"/>
      <c r="F49" s="9"/>
      <c r="G49" s="211"/>
      <c r="H49" s="354"/>
      <c r="I49" s="5"/>
      <c r="J49" s="210"/>
      <c r="K49" s="210"/>
      <c r="L49" s="210"/>
      <c r="M49" s="210"/>
      <c r="N49" s="210"/>
      <c r="O49" s="210"/>
      <c r="P49" s="210"/>
      <c r="Q49" s="210"/>
      <c r="R49" s="210"/>
      <c r="S49" s="210"/>
      <c r="T49" s="210"/>
      <c r="U49" s="210"/>
      <c r="V49" s="210"/>
      <c r="W49" s="5"/>
      <c r="X49" s="5"/>
      <c r="Z49" s="5"/>
      <c r="AA49" s="67"/>
    </row>
    <row r="50" spans="2:29" ht="15.75" thickBot="1">
      <c r="B50" s="78"/>
      <c r="C50" s="87"/>
      <c r="D50" s="87"/>
      <c r="E50" s="80"/>
      <c r="F50" s="87"/>
      <c r="G50" s="87"/>
      <c r="H50" s="444" t="s">
        <v>698</v>
      </c>
      <c r="I50" s="87"/>
      <c r="J50" s="215" t="s">
        <v>479</v>
      </c>
      <c r="K50" s="215" t="s">
        <v>488</v>
      </c>
      <c r="L50" s="215" t="s">
        <v>489</v>
      </c>
      <c r="M50" s="212"/>
      <c r="N50" s="215" t="s">
        <v>684</v>
      </c>
      <c r="O50" s="453" t="s">
        <v>480</v>
      </c>
      <c r="P50" s="454"/>
      <c r="Q50" s="454"/>
      <c r="R50" s="455"/>
      <c r="S50" s="283" t="s">
        <v>481</v>
      </c>
      <c r="T50" s="284"/>
      <c r="U50" s="285"/>
      <c r="V50" s="50" t="s">
        <v>661</v>
      </c>
      <c r="W50" s="51" t="s">
        <v>643</v>
      </c>
      <c r="X50" s="52" t="s">
        <v>153</v>
      </c>
      <c r="Y50" s="51" t="s">
        <v>172</v>
      </c>
      <c r="Z50" s="53" t="s">
        <v>520</v>
      </c>
      <c r="AA50" s="67"/>
    </row>
    <row r="51" spans="2:29">
      <c r="B51" s="54" t="s">
        <v>618</v>
      </c>
      <c r="C51" s="447" t="s">
        <v>595</v>
      </c>
      <c r="D51" s="55" t="s">
        <v>62</v>
      </c>
      <c r="E51" s="91" t="s">
        <v>641</v>
      </c>
      <c r="F51" s="206" t="s">
        <v>642</v>
      </c>
      <c r="G51" s="55" t="s">
        <v>619</v>
      </c>
      <c r="H51" s="356" t="s">
        <v>22</v>
      </c>
      <c r="I51" s="55"/>
      <c r="J51" s="221" t="s">
        <v>615</v>
      </c>
      <c r="K51" s="221" t="s">
        <v>616</v>
      </c>
      <c r="L51" s="221" t="s">
        <v>616</v>
      </c>
      <c r="M51" s="207"/>
      <c r="N51" s="207" t="s">
        <v>688</v>
      </c>
      <c r="O51" s="207" t="s">
        <v>692</v>
      </c>
      <c r="P51" s="207"/>
      <c r="Q51" s="207"/>
      <c r="R51" s="207"/>
      <c r="S51" s="262" t="s">
        <v>676</v>
      </c>
      <c r="T51" s="207"/>
      <c r="U51" s="207"/>
      <c r="V51" s="241" t="s">
        <v>663</v>
      </c>
      <c r="W51" s="462" t="s">
        <v>646</v>
      </c>
      <c r="X51" s="223" t="s">
        <v>645</v>
      </c>
      <c r="Y51" s="5" t="s">
        <v>32</v>
      </c>
      <c r="Z51" s="56"/>
      <c r="AA51" s="67" t="str">
        <f t="shared" ref="AA51:AA54" si="1">E51</f>
        <v>150007A01</v>
      </c>
      <c r="AC51" t="s">
        <v>748</v>
      </c>
    </row>
    <row r="52" spans="2:29" ht="15.75" thickBot="1">
      <c r="B52" s="45" t="s">
        <v>617</v>
      </c>
      <c r="C52" s="448" t="s">
        <v>594</v>
      </c>
      <c r="D52" s="46" t="s">
        <v>62</v>
      </c>
      <c r="E52" s="111" t="s">
        <v>636</v>
      </c>
      <c r="F52" s="208" t="s">
        <v>639</v>
      </c>
      <c r="G52" s="270" t="s">
        <v>619</v>
      </c>
      <c r="H52" s="358" t="s">
        <v>22</v>
      </c>
      <c r="I52" s="46"/>
      <c r="J52" s="222" t="s">
        <v>615</v>
      </c>
      <c r="K52" s="222" t="s">
        <v>616</v>
      </c>
      <c r="L52" s="222" t="s">
        <v>616</v>
      </c>
      <c r="M52" s="209"/>
      <c r="N52" s="209" t="s">
        <v>695</v>
      </c>
      <c r="O52" s="209" t="s">
        <v>635</v>
      </c>
      <c r="P52" s="209"/>
      <c r="Q52" s="209"/>
      <c r="R52" s="209"/>
      <c r="S52" s="265" t="s">
        <v>676</v>
      </c>
      <c r="T52" s="209"/>
      <c r="U52" s="209"/>
      <c r="V52" s="288" t="s">
        <v>663</v>
      </c>
      <c r="W52" s="463" t="s">
        <v>647</v>
      </c>
      <c r="X52" s="115" t="s">
        <v>645</v>
      </c>
      <c r="Y52" s="46" t="s">
        <v>545</v>
      </c>
      <c r="Z52" s="47"/>
      <c r="AA52" s="67" t="str">
        <f t="shared" si="1"/>
        <v>140203a00</v>
      </c>
      <c r="AC52" t="s">
        <v>748</v>
      </c>
    </row>
    <row r="53" spans="2:29" ht="15.75" thickBot="1">
      <c r="B53" s="445" t="s">
        <v>916</v>
      </c>
      <c r="C53" s="448" t="s">
        <v>917</v>
      </c>
      <c r="D53" s="46" t="s">
        <v>62</v>
      </c>
      <c r="E53" s="111" t="s">
        <v>915</v>
      </c>
      <c r="F53" s="208" t="s">
        <v>919</v>
      </c>
      <c r="G53" s="46"/>
      <c r="H53" s="358" t="s">
        <v>22</v>
      </c>
      <c r="I53" s="46"/>
      <c r="J53" s="222" t="s">
        <v>615</v>
      </c>
      <c r="K53" s="222" t="s">
        <v>616</v>
      </c>
      <c r="L53" s="222" t="s">
        <v>616</v>
      </c>
      <c r="M53" s="209"/>
      <c r="N53" s="209" t="s">
        <v>695</v>
      </c>
      <c r="O53" s="209" t="s">
        <v>635</v>
      </c>
      <c r="P53" s="209"/>
      <c r="Q53" s="209"/>
      <c r="R53" s="209"/>
      <c r="S53" s="265" t="s">
        <v>676</v>
      </c>
      <c r="T53" s="209"/>
      <c r="U53" s="209"/>
      <c r="V53" s="288" t="s">
        <v>663</v>
      </c>
      <c r="W53" s="464" t="s">
        <v>918</v>
      </c>
      <c r="X53" s="115" t="s">
        <v>645</v>
      </c>
      <c r="Y53" s="46" t="s">
        <v>32</v>
      </c>
      <c r="Z53" s="47"/>
      <c r="AA53" s="67" t="str">
        <f t="shared" si="1"/>
        <v>190014_01</v>
      </c>
    </row>
    <row r="54" spans="2:29">
      <c r="AA54" s="67">
        <f t="shared" si="1"/>
        <v>0</v>
      </c>
    </row>
    <row r="55" spans="2:29">
      <c r="E55" s="42" t="s">
        <v>750</v>
      </c>
      <c r="AA55" s="67" t="str">
        <f t="shared" ref="AA55:AA67" si="2">E55</f>
        <v>020009d</v>
      </c>
      <c r="AC55" t="s">
        <v>751</v>
      </c>
    </row>
    <row r="56" spans="2:29">
      <c r="E56" s="67" t="s">
        <v>667</v>
      </c>
      <c r="AA56" s="67" t="str">
        <f t="shared" si="2"/>
        <v>030626c00</v>
      </c>
      <c r="AC56" t="s">
        <v>752</v>
      </c>
    </row>
    <row r="57" spans="2:29">
      <c r="E57" s="42" t="s">
        <v>668</v>
      </c>
      <c r="AA57" s="67" t="str">
        <f t="shared" si="2"/>
        <v>120107a</v>
      </c>
    </row>
    <row r="58" spans="2:29">
      <c r="E58" s="42" t="s">
        <v>669</v>
      </c>
      <c r="AA58" s="67" t="str">
        <f t="shared" si="2"/>
        <v>120107b</v>
      </c>
    </row>
    <row r="59" spans="2:29">
      <c r="E59" s="42" t="s">
        <v>670</v>
      </c>
      <c r="AA59" s="67" t="str">
        <f t="shared" si="2"/>
        <v>020009c00</v>
      </c>
    </row>
    <row r="60" spans="2:29">
      <c r="E60" s="42" t="s">
        <v>671</v>
      </c>
      <c r="AA60" s="67" t="str">
        <f t="shared" si="2"/>
        <v>020009d00</v>
      </c>
    </row>
    <row r="61" spans="2:29">
      <c r="E61" s="42" t="s">
        <v>672</v>
      </c>
      <c r="AA61" s="67" t="str">
        <f t="shared" si="2"/>
        <v>060160a</v>
      </c>
    </row>
    <row r="62" spans="2:29">
      <c r="E62" s="42" t="s">
        <v>673</v>
      </c>
      <c r="AA62" s="67" t="str">
        <f t="shared" si="2"/>
        <v>080371_00</v>
      </c>
    </row>
    <row r="63" spans="2:29">
      <c r="E63" s="42" t="s">
        <v>674</v>
      </c>
      <c r="AA63" s="67" t="str">
        <f t="shared" si="2"/>
        <v>120109_00</v>
      </c>
      <c r="AC63" t="s">
        <v>757</v>
      </c>
    </row>
    <row r="64" spans="2:29">
      <c r="E64" s="42" t="s">
        <v>675</v>
      </c>
      <c r="AA64" s="67" t="str">
        <f t="shared" si="2"/>
        <v>100247_00</v>
      </c>
      <c r="AC64" t="s">
        <v>756</v>
      </c>
    </row>
    <row r="65" spans="5:29">
      <c r="E65" s="42" t="s">
        <v>759</v>
      </c>
      <c r="AA65" s="67" t="str">
        <f t="shared" si="2"/>
        <v>120151_00</v>
      </c>
      <c r="AC65" t="s">
        <v>758</v>
      </c>
    </row>
    <row r="66" spans="5:29">
      <c r="E66" s="42" t="s">
        <v>761</v>
      </c>
      <c r="AA66" s="67" t="str">
        <f t="shared" si="2"/>
        <v>130261_00</v>
      </c>
      <c r="AC66" t="s">
        <v>762</v>
      </c>
    </row>
    <row r="67" spans="5:29">
      <c r="E67" s="42" t="s">
        <v>763</v>
      </c>
      <c r="AA67" s="67" t="str">
        <f t="shared" si="2"/>
        <v>140063_00</v>
      </c>
      <c r="AC67" t="s">
        <v>764</v>
      </c>
    </row>
  </sheetData>
  <mergeCells count="6">
    <mergeCell ref="O50:R50"/>
    <mergeCell ref="O2:R2"/>
    <mergeCell ref="S2:U2"/>
    <mergeCell ref="O27:R27"/>
    <mergeCell ref="S41:U41"/>
    <mergeCell ref="S35:U35"/>
  </mergeCells>
  <hyperlinks>
    <hyperlink ref="F3" r:id="rId1"/>
    <hyperlink ref="F4" r:id="rId2"/>
    <hyperlink ref="F5" r:id="rId3"/>
    <hyperlink ref="F18" r:id="rId4"/>
    <hyperlink ref="F6" r:id="rId5"/>
    <hyperlink ref="F9" r:id="rId6"/>
    <hyperlink ref="F10" r:id="rId7"/>
    <hyperlink ref="F11" r:id="rId8"/>
    <hyperlink ref="F12" r:id="rId9"/>
    <hyperlink ref="F13" r:id="rId10"/>
    <hyperlink ref="F14" r:id="rId11"/>
    <hyperlink ref="F15" r:id="rId12"/>
    <hyperlink ref="F16" r:id="rId13"/>
    <hyperlink ref="F17" r:id="rId14"/>
    <hyperlink ref="F20" r:id="rId15"/>
    <hyperlink ref="F19" r:id="rId16"/>
    <hyperlink ref="F8" r:id="rId17"/>
    <hyperlink ref="F29" r:id="rId18"/>
    <hyperlink ref="F28" r:id="rId19"/>
    <hyperlink ref="F45" r:id="rId20"/>
    <hyperlink ref="F44" r:id="rId21"/>
    <hyperlink ref="F43" r:id="rId22"/>
    <hyperlink ref="F37" r:id="rId23"/>
    <hyperlink ref="F36" r:id="rId24"/>
    <hyperlink ref="F30" r:id="rId25"/>
    <hyperlink ref="F31" r:id="rId26"/>
    <hyperlink ref="F46" r:id="rId27"/>
    <hyperlink ref="F52" r:id="rId28"/>
    <hyperlink ref="F51" r:id="rId29"/>
    <hyperlink ref="F42" r:id="rId30"/>
    <hyperlink ref="F38" r:id="rId31"/>
    <hyperlink ref="N21" r:id="rId32" display="http://graphemica.com/%E2%85%83"/>
    <hyperlink ref="N22" r:id="rId33" display="http://graphemica.com/%E2%85%83"/>
    <hyperlink ref="N23" r:id="rId34" display="http://graphemica.com/%E2%85%83"/>
    <hyperlink ref="N24" r:id="rId35" display="http://graphemica.com/%E2%85%83"/>
    <hyperlink ref="F53" r:id="rId36"/>
  </hyperlinks>
  <pageMargins left="0.25" right="0.25" top="0.75" bottom="0.75" header="0.3" footer="0.3"/>
  <pageSetup paperSize="8" scale="61" orientation="landscape" r:id="rId37"/>
  <drawing r:id="rId38"/>
  <legacyDrawing r:id="rId39"/>
  <controls>
    <mc:AlternateContent xmlns:mc="http://schemas.openxmlformats.org/markup-compatibility/2006">
      <mc:Choice Requires="x14">
        <control shapeId="4097" r:id="rId40" name="CommandButton1">
          <controlPr autoLine="0" r:id="rId41">
            <anchor moveWithCells="1">
              <from>
                <xdr:col>0</xdr:col>
                <xdr:colOff>200025</xdr:colOff>
                <xdr:row>0</xdr:row>
                <xdr:rowOff>123825</xdr:rowOff>
              </from>
              <to>
                <xdr:col>1</xdr:col>
                <xdr:colOff>1009650</xdr:colOff>
                <xdr:row>2</xdr:row>
                <xdr:rowOff>38100</xdr:rowOff>
              </to>
            </anchor>
          </controlPr>
        </control>
      </mc:Choice>
      <mc:Fallback>
        <control shapeId="4097" r:id="rId40" name="CommandButton1"/>
      </mc:Fallback>
    </mc:AlternateContent>
    <mc:AlternateContent xmlns:mc="http://schemas.openxmlformats.org/markup-compatibility/2006">
      <mc:Choice Requires="x14">
        <control shapeId="4098" r:id="rId42" name="CommandButton2">
          <controlPr autoLine="0" r:id="rId43">
            <anchor moveWithCells="1">
              <from>
                <xdr:col>1</xdr:col>
                <xdr:colOff>1162050</xdr:colOff>
                <xdr:row>0</xdr:row>
                <xdr:rowOff>152400</xdr:rowOff>
              </from>
              <to>
                <xdr:col>1</xdr:col>
                <xdr:colOff>2438400</xdr:colOff>
                <xdr:row>2</xdr:row>
                <xdr:rowOff>57150</xdr:rowOff>
              </to>
            </anchor>
          </controlPr>
        </control>
      </mc:Choice>
      <mc:Fallback>
        <control shapeId="4098" r:id="rId42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>
    <tabColor rgb="FFFF7453"/>
  </sheetPr>
  <dimension ref="A1:J22"/>
  <sheetViews>
    <sheetView workbookViewId="0">
      <selection activeCell="E27" sqref="E27"/>
    </sheetView>
  </sheetViews>
  <sheetFormatPr defaultColWidth="16.7109375" defaultRowHeight="18" customHeight="1"/>
  <cols>
    <col min="1" max="1" width="14.28515625" bestFit="1" customWidth="1"/>
    <col min="2" max="2" width="8.7109375" bestFit="1" customWidth="1"/>
    <col min="3" max="3" width="11.42578125" bestFit="1" customWidth="1"/>
    <col min="4" max="4" width="12.5703125" bestFit="1" customWidth="1"/>
    <col min="5" max="5" width="12.5703125" customWidth="1"/>
    <col min="6" max="6" width="20.5703125" customWidth="1"/>
    <col min="7" max="7" width="12.28515625" bestFit="1" customWidth="1"/>
    <col min="8" max="8" width="51.7109375" customWidth="1"/>
  </cols>
  <sheetData>
    <row r="1" spans="1:10" ht="18" customHeight="1">
      <c r="A1" s="289" t="s">
        <v>533</v>
      </c>
      <c r="B1" s="289" t="s">
        <v>701</v>
      </c>
      <c r="C1" s="289" t="s">
        <v>702</v>
      </c>
      <c r="D1" s="289" t="s">
        <v>464</v>
      </c>
      <c r="E1" s="289" t="s">
        <v>868</v>
      </c>
      <c r="F1" s="289" t="s">
        <v>867</v>
      </c>
      <c r="G1" s="289" t="s">
        <v>703</v>
      </c>
      <c r="H1" s="289" t="s">
        <v>466</v>
      </c>
      <c r="I1" s="289" t="s">
        <v>520</v>
      </c>
      <c r="J1" s="289"/>
    </row>
    <row r="2" spans="1:10" ht="18" customHeight="1">
      <c r="A2" s="290" t="s">
        <v>736</v>
      </c>
      <c r="B2" s="291">
        <v>0</v>
      </c>
      <c r="C2" s="290" t="s">
        <v>704</v>
      </c>
      <c r="D2" s="290" t="s">
        <v>705</v>
      </c>
      <c r="E2" s="290"/>
      <c r="F2" s="290" t="s">
        <v>706</v>
      </c>
      <c r="G2" s="290" t="s">
        <v>707</v>
      </c>
      <c r="H2" s="292" t="s">
        <v>708</v>
      </c>
      <c r="I2" s="290"/>
      <c r="J2" s="290"/>
    </row>
    <row r="3" spans="1:10" ht="18" customHeight="1">
      <c r="A3" s="290" t="s">
        <v>736</v>
      </c>
      <c r="B3" s="291">
        <v>0</v>
      </c>
      <c r="C3" s="290" t="s">
        <v>704</v>
      </c>
      <c r="D3" s="290" t="s">
        <v>705</v>
      </c>
      <c r="E3" s="290"/>
      <c r="F3" s="290" t="s">
        <v>709</v>
      </c>
      <c r="G3" s="290" t="s">
        <v>710</v>
      </c>
      <c r="H3" s="292" t="s">
        <v>711</v>
      </c>
      <c r="I3" s="290"/>
      <c r="J3" s="290"/>
    </row>
    <row r="4" spans="1:10" ht="18" customHeight="1">
      <c r="A4" s="290" t="s">
        <v>736</v>
      </c>
      <c r="B4" s="291">
        <v>0</v>
      </c>
      <c r="C4" s="290" t="s">
        <v>704</v>
      </c>
      <c r="D4" s="290" t="s">
        <v>705</v>
      </c>
      <c r="E4" s="290"/>
      <c r="F4" s="290" t="s">
        <v>712</v>
      </c>
      <c r="G4" s="290" t="s">
        <v>710</v>
      </c>
      <c r="H4" t="s">
        <v>713</v>
      </c>
      <c r="I4" s="290"/>
      <c r="J4" s="290"/>
    </row>
    <row r="5" spans="1:10" ht="18" customHeight="1">
      <c r="A5" s="290" t="s">
        <v>736</v>
      </c>
      <c r="B5" s="291">
        <v>0</v>
      </c>
      <c r="C5" s="290" t="s">
        <v>704</v>
      </c>
      <c r="D5" s="290" t="s">
        <v>705</v>
      </c>
      <c r="E5" s="290"/>
      <c r="F5" s="290" t="s">
        <v>714</v>
      </c>
      <c r="G5" s="290" t="s">
        <v>710</v>
      </c>
      <c r="H5" s="292" t="s">
        <v>715</v>
      </c>
      <c r="I5" s="290"/>
      <c r="J5" s="290"/>
    </row>
    <row r="6" spans="1:10" ht="18" customHeight="1">
      <c r="A6" s="290" t="s">
        <v>736</v>
      </c>
      <c r="B6" s="291">
        <v>0</v>
      </c>
      <c r="C6" s="290" t="s">
        <v>704</v>
      </c>
      <c r="D6" s="290" t="s">
        <v>705</v>
      </c>
      <c r="E6" s="290"/>
      <c r="F6" s="290" t="s">
        <v>716</v>
      </c>
      <c r="G6" s="290" t="s">
        <v>707</v>
      </c>
      <c r="H6" s="292" t="s">
        <v>717</v>
      </c>
      <c r="I6" s="290"/>
      <c r="J6" s="290"/>
    </row>
    <row r="7" spans="1:10" ht="18" customHeight="1">
      <c r="A7" s="290" t="s">
        <v>736</v>
      </c>
      <c r="B7" s="291">
        <v>0</v>
      </c>
      <c r="C7" s="290" t="s">
        <v>704</v>
      </c>
      <c r="D7" s="290" t="s">
        <v>705</v>
      </c>
      <c r="E7" s="290"/>
      <c r="F7" s="290" t="s">
        <v>718</v>
      </c>
      <c r="G7" s="290" t="s">
        <v>707</v>
      </c>
      <c r="H7" s="292" t="s">
        <v>719</v>
      </c>
      <c r="I7" s="290"/>
      <c r="J7" s="290"/>
    </row>
    <row r="8" spans="1:10" ht="18" customHeight="1">
      <c r="A8" s="290" t="s">
        <v>736</v>
      </c>
      <c r="B8" s="291">
        <v>0</v>
      </c>
      <c r="C8" s="290" t="s">
        <v>704</v>
      </c>
      <c r="D8" s="290" t="s">
        <v>705</v>
      </c>
      <c r="E8" s="290"/>
      <c r="F8" s="290" t="s">
        <v>720</v>
      </c>
      <c r="G8" s="290" t="s">
        <v>707</v>
      </c>
      <c r="H8" s="292" t="s">
        <v>721</v>
      </c>
      <c r="I8" s="401" t="s">
        <v>809</v>
      </c>
      <c r="J8" s="401" t="s">
        <v>811</v>
      </c>
    </row>
    <row r="9" spans="1:10" ht="18" customHeight="1">
      <c r="A9" s="290" t="s">
        <v>736</v>
      </c>
      <c r="B9" s="291">
        <v>0</v>
      </c>
      <c r="C9" s="290" t="s">
        <v>704</v>
      </c>
      <c r="D9" s="290" t="s">
        <v>705</v>
      </c>
      <c r="E9" s="290"/>
      <c r="F9" s="290" t="s">
        <v>722</v>
      </c>
      <c r="G9" s="290" t="s">
        <v>707</v>
      </c>
      <c r="H9" s="292" t="s">
        <v>723</v>
      </c>
      <c r="I9" s="402" t="s">
        <v>810</v>
      </c>
      <c r="J9" s="402" t="s">
        <v>812</v>
      </c>
    </row>
    <row r="12" spans="1:10" ht="18" customHeight="1">
      <c r="A12" s="290" t="s">
        <v>737</v>
      </c>
      <c r="B12" s="291">
        <v>0</v>
      </c>
      <c r="C12" s="290" t="s">
        <v>704</v>
      </c>
      <c r="D12" s="290" t="s">
        <v>62</v>
      </c>
      <c r="E12" s="290"/>
      <c r="F12" s="290" t="s">
        <v>724</v>
      </c>
      <c r="G12" s="290" t="s">
        <v>725</v>
      </c>
      <c r="H12" s="290" t="s">
        <v>726</v>
      </c>
      <c r="I12" s="290"/>
      <c r="J12" s="290"/>
    </row>
    <row r="13" spans="1:10" ht="18" customHeight="1">
      <c r="A13" s="290" t="s">
        <v>737</v>
      </c>
      <c r="B13" s="291">
        <v>0</v>
      </c>
      <c r="C13" s="290" t="s">
        <v>704</v>
      </c>
      <c r="D13" s="290" t="s">
        <v>62</v>
      </c>
      <c r="E13" s="290"/>
      <c r="F13" s="290" t="s">
        <v>727</v>
      </c>
      <c r="G13" s="290" t="s">
        <v>725</v>
      </c>
      <c r="H13" s="290" t="s">
        <v>728</v>
      </c>
      <c r="I13" s="290"/>
      <c r="J13" s="290"/>
    </row>
    <row r="14" spans="1:10" ht="18" customHeight="1">
      <c r="A14" s="290" t="s">
        <v>737</v>
      </c>
      <c r="B14" s="291">
        <v>0</v>
      </c>
      <c r="C14" s="290" t="s">
        <v>704</v>
      </c>
      <c r="D14" s="290" t="s">
        <v>62</v>
      </c>
      <c r="E14" s="290"/>
      <c r="F14" s="290" t="s">
        <v>729</v>
      </c>
      <c r="G14" s="290" t="s">
        <v>730</v>
      </c>
      <c r="H14" s="290" t="s">
        <v>617</v>
      </c>
      <c r="I14" s="290"/>
      <c r="J14" s="290"/>
    </row>
    <row r="15" spans="1:10" ht="18" customHeight="1">
      <c r="A15" s="290" t="s">
        <v>737</v>
      </c>
      <c r="B15" s="291">
        <v>0</v>
      </c>
      <c r="C15" s="290" t="s">
        <v>704</v>
      </c>
      <c r="D15" s="290" t="s">
        <v>62</v>
      </c>
      <c r="E15" s="290"/>
      <c r="F15" s="290" t="s">
        <v>731</v>
      </c>
      <c r="G15" s="290" t="s">
        <v>725</v>
      </c>
      <c r="H15" s="290" t="s">
        <v>732</v>
      </c>
      <c r="I15" s="290"/>
      <c r="J15" s="290"/>
    </row>
    <row r="16" spans="1:10" ht="18" customHeight="1">
      <c r="A16" s="290" t="s">
        <v>737</v>
      </c>
      <c r="B16" s="291">
        <v>0</v>
      </c>
      <c r="C16" s="290" t="s">
        <v>704</v>
      </c>
      <c r="D16" s="290" t="s">
        <v>62</v>
      </c>
      <c r="E16" s="290" t="s">
        <v>873</v>
      </c>
      <c r="F16" s="290" t="s">
        <v>883</v>
      </c>
      <c r="G16" s="290" t="s">
        <v>725</v>
      </c>
      <c r="H16" s="290" t="s">
        <v>733</v>
      </c>
      <c r="I16" s="290"/>
      <c r="J16" s="290"/>
    </row>
    <row r="17" spans="1:10" ht="18" customHeight="1">
      <c r="A17" s="290" t="s">
        <v>737</v>
      </c>
      <c r="B17" s="291">
        <v>0</v>
      </c>
      <c r="C17" s="290" t="s">
        <v>704</v>
      </c>
      <c r="D17" s="290" t="s">
        <v>62</v>
      </c>
      <c r="E17" s="290" t="s">
        <v>876</v>
      </c>
      <c r="F17" s="290" t="s">
        <v>884</v>
      </c>
      <c r="G17" s="290" t="s">
        <v>725</v>
      </c>
      <c r="H17" s="290" t="s">
        <v>734</v>
      </c>
      <c r="I17" s="290"/>
      <c r="J17" s="290"/>
    </row>
    <row r="18" spans="1:10" ht="18" customHeight="1">
      <c r="A18" s="290" t="s">
        <v>737</v>
      </c>
      <c r="B18" s="291">
        <v>0</v>
      </c>
      <c r="C18" s="290" t="s">
        <v>704</v>
      </c>
      <c r="D18" s="290" t="s">
        <v>62</v>
      </c>
      <c r="E18" s="290" t="s">
        <v>877</v>
      </c>
      <c r="F18" s="290" t="s">
        <v>885</v>
      </c>
      <c r="G18" s="290" t="s">
        <v>725</v>
      </c>
      <c r="H18" s="290" t="s">
        <v>735</v>
      </c>
      <c r="I18" s="290"/>
      <c r="J18" s="290"/>
    </row>
    <row r="22" spans="1:10" ht="18" customHeight="1">
      <c r="F22" t="s">
        <v>857</v>
      </c>
      <c r="G22" t="s">
        <v>858</v>
      </c>
      <c r="H22">
        <v>180598</v>
      </c>
    </row>
  </sheetData>
  <hyperlinks>
    <hyperlink ref="H2" r:id="rId1"/>
    <hyperlink ref="H3" r:id="rId2"/>
    <hyperlink ref="H5" r:id="rId3"/>
    <hyperlink ref="H6" r:id="rId4"/>
    <hyperlink ref="H7" r:id="rId5"/>
    <hyperlink ref="H8" r:id="rId6"/>
    <hyperlink ref="H9" r:id="rId7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AG28"/>
  <sheetViews>
    <sheetView workbookViewId="0">
      <selection activeCell="D27" sqref="D27"/>
    </sheetView>
  </sheetViews>
  <sheetFormatPr defaultRowHeight="15"/>
  <cols>
    <col min="1" max="1" width="30.140625" bestFit="1" customWidth="1"/>
    <col min="2" max="2" width="11.5703125" customWidth="1"/>
    <col min="3" max="3" width="21.28515625" customWidth="1"/>
    <col min="4" max="4" width="54.42578125" customWidth="1"/>
    <col min="5" max="5" width="31.28515625" style="4" customWidth="1"/>
    <col min="6" max="6" width="20.28515625" customWidth="1"/>
    <col min="7" max="9" width="9.85546875" customWidth="1"/>
  </cols>
  <sheetData>
    <row r="1" spans="1:33" ht="60.75" customHeight="1">
      <c r="A1" s="5" t="s">
        <v>0</v>
      </c>
      <c r="B1" s="5" t="s">
        <v>1</v>
      </c>
      <c r="C1" s="5" t="s">
        <v>60</v>
      </c>
      <c r="D1" s="5" t="s">
        <v>15</v>
      </c>
      <c r="E1" s="6" t="s">
        <v>139</v>
      </c>
      <c r="F1" s="7" t="s">
        <v>87</v>
      </c>
      <c r="G1" s="5" t="s">
        <v>140</v>
      </c>
      <c r="H1" s="5" t="s">
        <v>92</v>
      </c>
      <c r="I1" s="5" t="s">
        <v>93</v>
      </c>
    </row>
    <row r="2" spans="1:33">
      <c r="A2" s="5" t="s">
        <v>61</v>
      </c>
      <c r="B2" s="5" t="s">
        <v>62</v>
      </c>
      <c r="C2" s="5" t="s">
        <v>71</v>
      </c>
      <c r="D2" s="5" t="s">
        <v>32</v>
      </c>
      <c r="E2" s="8" t="s">
        <v>32</v>
      </c>
      <c r="F2" s="5" t="s">
        <v>22</v>
      </c>
      <c r="G2" s="5"/>
      <c r="H2" s="5"/>
      <c r="I2" s="5"/>
      <c r="X2" s="1"/>
      <c r="AF2" s="1"/>
      <c r="AG2" s="1"/>
    </row>
    <row r="3" spans="1:33">
      <c r="A3" s="5" t="s">
        <v>63</v>
      </c>
      <c r="B3" s="5" t="s">
        <v>62</v>
      </c>
      <c r="C3" s="5" t="s">
        <v>79</v>
      </c>
      <c r="D3" s="9" t="s">
        <v>80</v>
      </c>
      <c r="E3" s="10">
        <v>43154</v>
      </c>
      <c r="F3" s="5" t="s">
        <v>22</v>
      </c>
      <c r="G3" s="5"/>
      <c r="H3" s="5"/>
      <c r="I3" s="5"/>
      <c r="X3" s="1"/>
      <c r="AF3" s="1"/>
      <c r="AG3" s="1"/>
    </row>
    <row r="4" spans="1:33">
      <c r="A4" s="5" t="s">
        <v>64</v>
      </c>
      <c r="B4" s="5" t="s">
        <v>62</v>
      </c>
      <c r="C4" s="5" t="s">
        <v>72</v>
      </c>
      <c r="D4" s="9" t="s">
        <v>81</v>
      </c>
      <c r="E4" s="10">
        <v>43154</v>
      </c>
      <c r="F4" s="5" t="s">
        <v>22</v>
      </c>
      <c r="G4" s="5"/>
      <c r="H4" s="5"/>
      <c r="I4" s="5"/>
      <c r="X4" s="1"/>
      <c r="AF4" s="1"/>
      <c r="AG4" s="1"/>
    </row>
    <row r="5" spans="1:33">
      <c r="A5" s="5" t="s">
        <v>65</v>
      </c>
      <c r="B5" s="5" t="s">
        <v>62</v>
      </c>
      <c r="C5" s="5" t="s">
        <v>73</v>
      </c>
      <c r="D5" s="9" t="s">
        <v>82</v>
      </c>
      <c r="E5" s="10">
        <v>43154</v>
      </c>
      <c r="F5" s="5" t="s">
        <v>22</v>
      </c>
      <c r="G5" s="5"/>
      <c r="H5" s="5"/>
      <c r="I5" s="5"/>
      <c r="X5" s="1"/>
      <c r="AF5" s="1"/>
      <c r="AG5" s="1"/>
    </row>
    <row r="6" spans="1:33">
      <c r="A6" s="5" t="s">
        <v>66</v>
      </c>
      <c r="B6" s="5" t="s">
        <v>62</v>
      </c>
      <c r="C6" s="5" t="s">
        <v>74</v>
      </c>
      <c r="D6" s="9" t="s">
        <v>83</v>
      </c>
      <c r="E6" s="10">
        <v>43154</v>
      </c>
      <c r="F6" s="5" t="s">
        <v>22</v>
      </c>
      <c r="G6" s="5"/>
      <c r="H6" s="5"/>
      <c r="I6" s="5"/>
      <c r="X6" s="1"/>
      <c r="AF6" s="1"/>
      <c r="AG6" s="1"/>
    </row>
    <row r="7" spans="1:33">
      <c r="A7" s="5" t="s">
        <v>67</v>
      </c>
      <c r="B7" s="5" t="s">
        <v>62</v>
      </c>
      <c r="C7" s="5" t="s">
        <v>75</v>
      </c>
      <c r="D7" s="9" t="s">
        <v>84</v>
      </c>
      <c r="E7" s="10">
        <v>43154</v>
      </c>
      <c r="F7" s="5" t="s">
        <v>22</v>
      </c>
      <c r="G7" s="5"/>
      <c r="H7" s="5"/>
      <c r="I7" s="5"/>
      <c r="X7" s="1"/>
      <c r="AF7" s="1"/>
      <c r="AG7" s="1"/>
    </row>
    <row r="8" spans="1:33">
      <c r="A8" s="5" t="s">
        <v>68</v>
      </c>
      <c r="B8" s="5" t="s">
        <v>62</v>
      </c>
      <c r="C8" s="5" t="s">
        <v>76</v>
      </c>
      <c r="D8" s="9" t="s">
        <v>138</v>
      </c>
      <c r="E8" s="10">
        <v>43154</v>
      </c>
      <c r="F8" s="5" t="s">
        <v>22</v>
      </c>
      <c r="G8" s="5"/>
      <c r="H8" s="5"/>
      <c r="I8" s="5"/>
      <c r="X8" s="1"/>
      <c r="AF8" s="1"/>
      <c r="AG8" s="1"/>
    </row>
    <row r="9" spans="1:33">
      <c r="A9" s="5" t="s">
        <v>69</v>
      </c>
      <c r="B9" s="5" t="s">
        <v>62</v>
      </c>
      <c r="C9" s="5" t="s">
        <v>77</v>
      </c>
      <c r="D9" s="9" t="s">
        <v>85</v>
      </c>
      <c r="E9" s="10">
        <v>43154</v>
      </c>
      <c r="F9" s="5" t="s">
        <v>22</v>
      </c>
      <c r="G9" s="5"/>
      <c r="H9" s="5"/>
      <c r="I9" s="5"/>
      <c r="X9" s="1"/>
      <c r="AF9" s="1"/>
      <c r="AG9" s="1"/>
    </row>
    <row r="10" spans="1:33">
      <c r="A10" s="5" t="s">
        <v>70</v>
      </c>
      <c r="B10" s="5" t="s">
        <v>62</v>
      </c>
      <c r="C10" s="5" t="s">
        <v>78</v>
      </c>
      <c r="D10" s="9" t="s">
        <v>86</v>
      </c>
      <c r="E10" s="10">
        <v>43154</v>
      </c>
      <c r="F10" s="5" t="s">
        <v>21</v>
      </c>
      <c r="G10" s="5"/>
      <c r="H10" s="5"/>
      <c r="I10" s="5"/>
      <c r="X10" s="1"/>
      <c r="AF10" s="1"/>
      <c r="AG10" s="1"/>
    </row>
    <row r="11" spans="1:33">
      <c r="A11" s="5"/>
      <c r="B11" s="5"/>
      <c r="C11" s="5"/>
      <c r="D11" s="5"/>
      <c r="E11" s="8"/>
      <c r="F11" s="5"/>
      <c r="G11" s="5"/>
      <c r="H11" s="5"/>
      <c r="I11" s="5"/>
    </row>
    <row r="15" spans="1:33">
      <c r="E15" s="4" t="s">
        <v>289</v>
      </c>
    </row>
    <row r="16" spans="1:33">
      <c r="D16" t="s">
        <v>141</v>
      </c>
      <c r="E16" s="4" t="s">
        <v>290</v>
      </c>
    </row>
    <row r="17" spans="4:11">
      <c r="D17" t="s">
        <v>88</v>
      </c>
    </row>
    <row r="18" spans="4:11">
      <c r="D18" t="s">
        <v>133</v>
      </c>
    </row>
    <row r="19" spans="4:11">
      <c r="D19" t="s">
        <v>134</v>
      </c>
    </row>
    <row r="23" spans="4:11">
      <c r="D23" t="s">
        <v>135</v>
      </c>
    </row>
    <row r="25" spans="4:11">
      <c r="K25" s="4"/>
    </row>
    <row r="26" spans="4:11">
      <c r="K26" s="4" t="s">
        <v>462</v>
      </c>
    </row>
    <row r="27" spans="4:11">
      <c r="K27" s="39" t="s">
        <v>463</v>
      </c>
    </row>
    <row r="28" spans="4:11">
      <c r="K28" s="4"/>
    </row>
  </sheetData>
  <hyperlinks>
    <hyperlink ref="D3" r:id="rId1"/>
    <hyperlink ref="D4" r:id="rId2"/>
    <hyperlink ref="D5" r:id="rId3"/>
    <hyperlink ref="D6" r:id="rId4"/>
    <hyperlink ref="D7" r:id="rId5"/>
    <hyperlink ref="D8" r:id="rId6" display="L:\Letdata\data\16\0401A01\D5\160401A01-D5N01_.docx"/>
    <hyperlink ref="D10" r:id="rId7"/>
    <hyperlink ref="D9" r:id="rId8"/>
    <hyperlink ref="K27" r:id="rId9"/>
  </hyperlinks>
  <pageMargins left="0.7" right="0.7" top="0.75" bottom="0.75" header="0.3" footer="0.3"/>
  <pageSetup paperSize="9" orientation="portrait" r:id="rId10"/>
  <drawing r:id="rId11"/>
  <legacyDrawing r:id="rId12"/>
  <controls>
    <mc:AlternateContent xmlns:mc="http://schemas.openxmlformats.org/markup-compatibility/2006">
      <mc:Choice Requires="x14">
        <control shapeId="1029" r:id="rId13" name="CommandButton4">
          <controlPr autoLine="0" r:id="rId14">
            <anchor moveWithCells="1">
              <from>
                <xdr:col>2</xdr:col>
                <xdr:colOff>1266825</xdr:colOff>
                <xdr:row>0</xdr:row>
                <xdr:rowOff>142875</xdr:rowOff>
              </from>
              <to>
                <xdr:col>3</xdr:col>
                <xdr:colOff>762000</xdr:colOff>
                <xdr:row>0</xdr:row>
                <xdr:rowOff>447675</xdr:rowOff>
              </to>
            </anchor>
          </controlPr>
        </control>
      </mc:Choice>
      <mc:Fallback>
        <control shapeId="1029" r:id="rId13" name="CommandButton4"/>
      </mc:Fallback>
    </mc:AlternateContent>
    <mc:AlternateContent xmlns:mc="http://schemas.openxmlformats.org/markup-compatibility/2006">
      <mc:Choice Requires="x14">
        <control shapeId="1028" r:id="rId15" name="CommandButton3">
          <controlPr autoLine="0" r:id="rId16">
            <anchor moveWithCells="1">
              <from>
                <xdr:col>2</xdr:col>
                <xdr:colOff>180975</xdr:colOff>
                <xdr:row>0</xdr:row>
                <xdr:rowOff>142875</xdr:rowOff>
              </from>
              <to>
                <xdr:col>2</xdr:col>
                <xdr:colOff>1095375</xdr:colOff>
                <xdr:row>0</xdr:row>
                <xdr:rowOff>447675</xdr:rowOff>
              </to>
            </anchor>
          </controlPr>
        </control>
      </mc:Choice>
      <mc:Fallback>
        <control shapeId="1028" r:id="rId15" name="CommandButton3"/>
      </mc:Fallback>
    </mc:AlternateContent>
  </controls>
  <tableParts count="1">
    <tablePart r:id="rId1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>
    <pageSetUpPr fitToPage="1"/>
  </sheetPr>
  <dimension ref="A2:W26"/>
  <sheetViews>
    <sheetView zoomScaleNormal="100" workbookViewId="0">
      <selection activeCell="H27" sqref="H27"/>
    </sheetView>
  </sheetViews>
  <sheetFormatPr defaultRowHeight="15"/>
  <cols>
    <col min="1" max="1" width="11.5703125" bestFit="1" customWidth="1"/>
    <col min="2" max="2" width="49.28515625" bestFit="1" customWidth="1"/>
    <col min="3" max="3" width="12" bestFit="1" customWidth="1"/>
    <col min="4" max="4" width="5.140625" bestFit="1" customWidth="1"/>
    <col min="5" max="5" width="6.85546875" bestFit="1" customWidth="1"/>
    <col min="6" max="6" width="11.140625" bestFit="1" customWidth="1"/>
    <col min="7" max="9" width="8.28515625" bestFit="1" customWidth="1"/>
    <col min="10" max="10" width="7.28515625" customWidth="1"/>
    <col min="11" max="11" width="5.140625" bestFit="1" customWidth="1"/>
    <col min="12" max="15" width="5.85546875" bestFit="1" customWidth="1"/>
    <col min="16" max="16" width="3.42578125" bestFit="1" customWidth="1"/>
    <col min="17" max="17" width="5.28515625" bestFit="1" customWidth="1"/>
    <col min="18" max="18" width="3.42578125" bestFit="1" customWidth="1"/>
    <col min="19" max="19" width="8" bestFit="1" customWidth="1"/>
    <col min="20" max="20" width="7.5703125" bestFit="1" customWidth="1"/>
    <col min="21" max="21" width="12" bestFit="1" customWidth="1"/>
    <col min="22" max="22" width="11.7109375" bestFit="1" customWidth="1"/>
    <col min="23" max="23" width="14.42578125" bestFit="1" customWidth="1"/>
  </cols>
  <sheetData>
    <row r="2" spans="1:23" ht="15.75" thickBot="1">
      <c r="C2" s="42"/>
      <c r="E2" s="58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</row>
    <row r="3" spans="1:23" ht="15.75">
      <c r="A3" s="119"/>
      <c r="B3" s="120" t="s">
        <v>466</v>
      </c>
      <c r="C3" s="48" t="s">
        <v>465</v>
      </c>
      <c r="D3" s="49" t="s">
        <v>533</v>
      </c>
      <c r="E3" s="403" t="s">
        <v>518</v>
      </c>
      <c r="F3" s="49" t="s">
        <v>534</v>
      </c>
      <c r="G3" s="50" t="s">
        <v>479</v>
      </c>
      <c r="H3" s="50" t="s">
        <v>488</v>
      </c>
      <c r="I3" s="50" t="s">
        <v>489</v>
      </c>
      <c r="J3" s="50" t="s">
        <v>490</v>
      </c>
      <c r="K3" s="50" t="s">
        <v>826</v>
      </c>
      <c r="L3" s="456" t="s">
        <v>480</v>
      </c>
      <c r="M3" s="457"/>
      <c r="N3" s="457"/>
      <c r="O3" s="458"/>
      <c r="P3" s="459" t="s">
        <v>481</v>
      </c>
      <c r="Q3" s="460"/>
      <c r="R3" s="461"/>
      <c r="S3" s="50" t="s">
        <v>513</v>
      </c>
      <c r="T3" s="51" t="s">
        <v>516</v>
      </c>
      <c r="U3" s="52" t="s">
        <v>153</v>
      </c>
      <c r="V3" s="51" t="s">
        <v>172</v>
      </c>
      <c r="W3" s="53" t="s">
        <v>520</v>
      </c>
    </row>
    <row r="4" spans="1:23" ht="15.75">
      <c r="A4" s="119"/>
      <c r="B4" s="122" t="s">
        <v>369</v>
      </c>
      <c r="C4" s="124" t="s">
        <v>430</v>
      </c>
      <c r="D4" s="126" t="s">
        <v>161</v>
      </c>
      <c r="E4" s="349">
        <v>1700</v>
      </c>
      <c r="F4" s="127" t="s">
        <v>504</v>
      </c>
      <c r="G4" s="127" t="s">
        <v>491</v>
      </c>
      <c r="H4" s="127" t="s">
        <v>492</v>
      </c>
      <c r="I4" s="127" t="s">
        <v>493</v>
      </c>
      <c r="J4" s="128"/>
      <c r="K4" s="362" t="s">
        <v>502</v>
      </c>
      <c r="L4" s="129" t="s">
        <v>507</v>
      </c>
      <c r="M4" s="130"/>
      <c r="N4" s="130"/>
      <c r="O4" s="131"/>
      <c r="P4" s="132" t="s">
        <v>511</v>
      </c>
      <c r="Q4" s="43"/>
      <c r="R4" s="133"/>
      <c r="S4" s="127" t="s">
        <v>483</v>
      </c>
      <c r="T4" s="132" t="s">
        <v>482</v>
      </c>
      <c r="U4" s="286" t="s">
        <v>699</v>
      </c>
      <c r="V4" s="279" t="s">
        <v>693</v>
      </c>
      <c r="W4" s="134" t="s">
        <v>521</v>
      </c>
    </row>
    <row r="5" spans="1:23" ht="15.75">
      <c r="A5" s="119"/>
      <c r="B5" s="122" t="s">
        <v>367</v>
      </c>
      <c r="C5" s="124" t="s">
        <v>432</v>
      </c>
      <c r="D5" s="126" t="s">
        <v>161</v>
      </c>
      <c r="E5" s="349">
        <v>1700</v>
      </c>
      <c r="F5" s="127" t="s">
        <v>504</v>
      </c>
      <c r="G5" s="127" t="s">
        <v>491</v>
      </c>
      <c r="H5" s="127" t="s">
        <v>492</v>
      </c>
      <c r="I5" s="127" t="s">
        <v>493</v>
      </c>
      <c r="J5" s="128"/>
      <c r="K5" s="362" t="s">
        <v>502</v>
      </c>
      <c r="L5" s="129" t="s">
        <v>507</v>
      </c>
      <c r="M5" s="130"/>
      <c r="N5" s="130"/>
      <c r="O5" s="131"/>
      <c r="P5" s="123"/>
      <c r="Q5" s="135" t="s">
        <v>512</v>
      </c>
      <c r="R5" s="133"/>
      <c r="S5" s="127" t="s">
        <v>483</v>
      </c>
      <c r="T5" s="136" t="s">
        <v>484</v>
      </c>
      <c r="U5" s="286" t="s">
        <v>699</v>
      </c>
      <c r="V5" s="279" t="s">
        <v>693</v>
      </c>
      <c r="W5" s="134" t="s">
        <v>522</v>
      </c>
    </row>
    <row r="6" spans="1:23" ht="15.75">
      <c r="A6" s="119"/>
      <c r="B6" s="137" t="s">
        <v>434</v>
      </c>
      <c r="C6" s="139" t="s">
        <v>435</v>
      </c>
      <c r="D6" s="141" t="s">
        <v>181</v>
      </c>
      <c r="E6" s="350">
        <v>1700</v>
      </c>
      <c r="F6" s="143" t="s">
        <v>503</v>
      </c>
      <c r="G6" s="143" t="s">
        <v>494</v>
      </c>
      <c r="H6" s="143" t="s">
        <v>494</v>
      </c>
      <c r="I6" s="143" t="s">
        <v>495</v>
      </c>
      <c r="J6" s="144"/>
      <c r="K6" s="360" t="s">
        <v>501</v>
      </c>
      <c r="L6" s="145" t="s">
        <v>507</v>
      </c>
      <c r="M6" s="146"/>
      <c r="N6" s="146"/>
      <c r="O6" s="147"/>
      <c r="P6" s="148" t="s">
        <v>511</v>
      </c>
      <c r="Q6" s="142"/>
      <c r="R6" s="149"/>
      <c r="S6" s="141" t="s">
        <v>514</v>
      </c>
      <c r="T6" s="148"/>
      <c r="U6" s="287" t="s">
        <v>700</v>
      </c>
      <c r="V6" s="141" t="s">
        <v>693</v>
      </c>
      <c r="W6" s="150" t="s">
        <v>523</v>
      </c>
    </row>
    <row r="7" spans="1:23" ht="15.75">
      <c r="A7" s="119"/>
      <c r="B7" s="151" t="s">
        <v>467</v>
      </c>
      <c r="C7" s="153" t="s">
        <v>437</v>
      </c>
      <c r="D7" s="155" t="s">
        <v>181</v>
      </c>
      <c r="E7" s="351">
        <v>1700</v>
      </c>
      <c r="F7" s="157" t="s">
        <v>503</v>
      </c>
      <c r="G7" s="157" t="s">
        <v>494</v>
      </c>
      <c r="H7" s="157" t="s">
        <v>494</v>
      </c>
      <c r="I7" s="157" t="s">
        <v>495</v>
      </c>
      <c r="J7" s="158"/>
      <c r="K7" s="400" t="s">
        <v>501</v>
      </c>
      <c r="L7" s="159" t="s">
        <v>507</v>
      </c>
      <c r="M7" s="160"/>
      <c r="N7" s="160"/>
      <c r="O7" s="161"/>
      <c r="P7" s="152"/>
      <c r="Q7" s="162" t="s">
        <v>512</v>
      </c>
      <c r="R7" s="163"/>
      <c r="S7" s="155" t="s">
        <v>514</v>
      </c>
      <c r="T7" s="164" t="s">
        <v>484</v>
      </c>
      <c r="U7" s="286" t="s">
        <v>699</v>
      </c>
      <c r="V7" s="155" t="s">
        <v>693</v>
      </c>
      <c r="W7" s="165" t="s">
        <v>524</v>
      </c>
    </row>
    <row r="8" spans="1:23" ht="15.75">
      <c r="A8" s="119"/>
      <c r="B8" s="137" t="s">
        <v>373</v>
      </c>
      <c r="C8" s="139" t="s">
        <v>476</v>
      </c>
      <c r="D8" s="166" t="s">
        <v>161</v>
      </c>
      <c r="E8" s="350">
        <v>1700</v>
      </c>
      <c r="F8" s="167" t="s">
        <v>505</v>
      </c>
      <c r="G8" s="167" t="s">
        <v>496</v>
      </c>
      <c r="H8" s="167" t="s">
        <v>497</v>
      </c>
      <c r="I8" s="167" t="s">
        <v>498</v>
      </c>
      <c r="J8" s="144"/>
      <c r="K8" s="361" t="s">
        <v>502</v>
      </c>
      <c r="L8" s="145" t="s">
        <v>507</v>
      </c>
      <c r="M8" s="146"/>
      <c r="N8" s="146"/>
      <c r="O8" s="147"/>
      <c r="P8" s="138"/>
      <c r="Q8" s="168" t="s">
        <v>512</v>
      </c>
      <c r="R8" s="149"/>
      <c r="S8" s="166" t="s">
        <v>515</v>
      </c>
      <c r="T8" s="132" t="s">
        <v>482</v>
      </c>
      <c r="U8" s="286" t="s">
        <v>699</v>
      </c>
      <c r="V8" s="141" t="s">
        <v>693</v>
      </c>
      <c r="W8" s="150" t="s">
        <v>525</v>
      </c>
    </row>
    <row r="9" spans="1:23" ht="15.75">
      <c r="A9" s="119"/>
      <c r="B9" s="151" t="s">
        <v>375</v>
      </c>
      <c r="C9" s="153" t="s">
        <v>439</v>
      </c>
      <c r="D9" s="170" t="s">
        <v>161</v>
      </c>
      <c r="E9" s="351">
        <v>1700</v>
      </c>
      <c r="F9" s="171" t="s">
        <v>505</v>
      </c>
      <c r="G9" s="171" t="s">
        <v>496</v>
      </c>
      <c r="H9" s="171" t="s">
        <v>497</v>
      </c>
      <c r="I9" s="171" t="s">
        <v>498</v>
      </c>
      <c r="J9" s="158"/>
      <c r="K9" s="361" t="s">
        <v>502</v>
      </c>
      <c r="L9" s="159" t="s">
        <v>507</v>
      </c>
      <c r="M9" s="160"/>
      <c r="N9" s="160"/>
      <c r="O9" s="161"/>
      <c r="P9" s="172" t="s">
        <v>511</v>
      </c>
      <c r="Q9" s="156"/>
      <c r="R9" s="163"/>
      <c r="S9" s="166" t="s">
        <v>515</v>
      </c>
      <c r="T9" s="172" t="s">
        <v>482</v>
      </c>
      <c r="U9" s="286" t="s">
        <v>699</v>
      </c>
      <c r="V9" s="155" t="s">
        <v>693</v>
      </c>
      <c r="W9" s="165" t="s">
        <v>526</v>
      </c>
    </row>
    <row r="10" spans="1:23" ht="15.75">
      <c r="A10" s="119"/>
      <c r="B10" s="122" t="s">
        <v>381</v>
      </c>
      <c r="C10" s="124" t="s">
        <v>440</v>
      </c>
      <c r="D10" s="126" t="s">
        <v>161</v>
      </c>
      <c r="E10" s="349">
        <v>1700</v>
      </c>
      <c r="F10" s="173" t="s">
        <v>506</v>
      </c>
      <c r="G10" s="173" t="s">
        <v>499</v>
      </c>
      <c r="H10" s="173" t="s">
        <v>499</v>
      </c>
      <c r="I10" s="173" t="s">
        <v>500</v>
      </c>
      <c r="J10" s="128"/>
      <c r="K10" s="361" t="s">
        <v>502</v>
      </c>
      <c r="L10" s="129" t="s">
        <v>507</v>
      </c>
      <c r="M10" s="130"/>
      <c r="N10" s="130"/>
      <c r="O10" s="131"/>
      <c r="P10" s="132" t="s">
        <v>511</v>
      </c>
      <c r="Q10" s="43"/>
      <c r="R10" s="133"/>
      <c r="S10" s="166" t="s">
        <v>515</v>
      </c>
      <c r="T10" s="172" t="s">
        <v>482</v>
      </c>
      <c r="U10" s="286" t="s">
        <v>699</v>
      </c>
      <c r="V10" s="279" t="s">
        <v>693</v>
      </c>
      <c r="W10" s="134" t="s">
        <v>526</v>
      </c>
    </row>
    <row r="11" spans="1:23" ht="15.75">
      <c r="A11" s="119"/>
      <c r="B11" s="122" t="s">
        <v>471</v>
      </c>
      <c r="C11" s="124" t="s">
        <v>442</v>
      </c>
      <c r="D11" s="126" t="s">
        <v>161</v>
      </c>
      <c r="E11" s="349">
        <v>1700</v>
      </c>
      <c r="F11" s="173" t="s">
        <v>506</v>
      </c>
      <c r="G11" s="173" t="s">
        <v>499</v>
      </c>
      <c r="H11" s="173" t="s">
        <v>499</v>
      </c>
      <c r="I11" s="173" t="s">
        <v>500</v>
      </c>
      <c r="J11" s="128"/>
      <c r="K11" s="361" t="s">
        <v>502</v>
      </c>
      <c r="L11" s="129" t="s">
        <v>507</v>
      </c>
      <c r="M11" s="130"/>
      <c r="N11" s="130"/>
      <c r="O11" s="131"/>
      <c r="P11" s="123"/>
      <c r="Q11" s="43"/>
      <c r="R11" s="174" t="s">
        <v>517</v>
      </c>
      <c r="S11" s="166" t="s">
        <v>515</v>
      </c>
      <c r="T11" s="175" t="s">
        <v>484</v>
      </c>
      <c r="U11" s="286" t="s">
        <v>699</v>
      </c>
      <c r="V11" s="279" t="s">
        <v>693</v>
      </c>
      <c r="W11" s="134" t="s">
        <v>527</v>
      </c>
    </row>
    <row r="12" spans="1:23" ht="15.75">
      <c r="A12" s="119"/>
      <c r="B12" s="122" t="s">
        <v>379</v>
      </c>
      <c r="C12" s="124" t="s">
        <v>444</v>
      </c>
      <c r="D12" s="126" t="s">
        <v>161</v>
      </c>
      <c r="E12" s="349">
        <v>1700</v>
      </c>
      <c r="F12" s="173" t="s">
        <v>506</v>
      </c>
      <c r="G12" s="173" t="s">
        <v>499</v>
      </c>
      <c r="H12" s="173" t="s">
        <v>499</v>
      </c>
      <c r="I12" s="173" t="s">
        <v>500</v>
      </c>
      <c r="J12" s="128"/>
      <c r="K12" s="361" t="s">
        <v>502</v>
      </c>
      <c r="L12" s="129"/>
      <c r="M12" s="132" t="s">
        <v>508</v>
      </c>
      <c r="N12" s="130"/>
      <c r="O12" s="131"/>
      <c r="P12" s="132" t="s">
        <v>511</v>
      </c>
      <c r="Q12" s="43"/>
      <c r="R12" s="133"/>
      <c r="S12" s="166" t="s">
        <v>515</v>
      </c>
      <c r="T12" s="132" t="s">
        <v>484</v>
      </c>
      <c r="U12" s="286" t="s">
        <v>699</v>
      </c>
      <c r="V12" s="279" t="s">
        <v>693</v>
      </c>
      <c r="W12" s="134" t="s">
        <v>526</v>
      </c>
    </row>
    <row r="13" spans="1:23" ht="15.75">
      <c r="A13" s="119"/>
      <c r="B13" s="122" t="s">
        <v>472</v>
      </c>
      <c r="C13" s="124" t="s">
        <v>446</v>
      </c>
      <c r="D13" s="126" t="s">
        <v>161</v>
      </c>
      <c r="E13" s="349">
        <v>1700</v>
      </c>
      <c r="F13" s="173" t="s">
        <v>506</v>
      </c>
      <c r="G13" s="173" t="s">
        <v>499</v>
      </c>
      <c r="H13" s="173" t="s">
        <v>499</v>
      </c>
      <c r="I13" s="173" t="s">
        <v>500</v>
      </c>
      <c r="J13" s="128"/>
      <c r="K13" s="361" t="s">
        <v>502</v>
      </c>
      <c r="L13" s="129"/>
      <c r="M13" s="130"/>
      <c r="N13" s="176" t="s">
        <v>509</v>
      </c>
      <c r="O13" s="131"/>
      <c r="P13" s="123"/>
      <c r="Q13" s="176" t="s">
        <v>512</v>
      </c>
      <c r="R13" s="133"/>
      <c r="S13" s="166" t="s">
        <v>515</v>
      </c>
      <c r="T13" s="176" t="s">
        <v>519</v>
      </c>
      <c r="U13" s="286" t="s">
        <v>699</v>
      </c>
      <c r="V13" s="279" t="s">
        <v>693</v>
      </c>
      <c r="W13" s="134" t="s">
        <v>528</v>
      </c>
    </row>
    <row r="14" spans="1:23" ht="15.75">
      <c r="A14" s="119"/>
      <c r="B14" s="205" t="s">
        <v>448</v>
      </c>
      <c r="C14" s="124" t="s">
        <v>449</v>
      </c>
      <c r="D14" s="177" t="s">
        <v>233</v>
      </c>
      <c r="E14" s="352">
        <v>1850</v>
      </c>
      <c r="F14" s="178" t="s">
        <v>503</v>
      </c>
      <c r="G14" s="178" t="s">
        <v>495</v>
      </c>
      <c r="H14" s="178" t="s">
        <v>494</v>
      </c>
      <c r="I14" s="178" t="s">
        <v>494</v>
      </c>
      <c r="J14" s="179" t="s">
        <v>22</v>
      </c>
      <c r="K14" s="361" t="s">
        <v>502</v>
      </c>
      <c r="L14" s="129"/>
      <c r="M14" s="130"/>
      <c r="N14" s="130"/>
      <c r="O14" s="180" t="s">
        <v>510</v>
      </c>
      <c r="P14" s="123"/>
      <c r="Q14" s="135" t="s">
        <v>512</v>
      </c>
      <c r="R14" s="133"/>
      <c r="S14" s="177" t="s">
        <v>515</v>
      </c>
      <c r="T14" s="164" t="s">
        <v>484</v>
      </c>
      <c r="U14" s="286" t="s">
        <v>699</v>
      </c>
      <c r="V14" s="279" t="s">
        <v>693</v>
      </c>
      <c r="W14" s="134" t="s">
        <v>23</v>
      </c>
    </row>
    <row r="15" spans="1:23" ht="15.75">
      <c r="A15" s="119"/>
      <c r="B15" s="151" t="s">
        <v>473</v>
      </c>
      <c r="C15" s="153" t="s">
        <v>451</v>
      </c>
      <c r="D15" s="181" t="s">
        <v>233</v>
      </c>
      <c r="E15" s="351">
        <v>1700</v>
      </c>
      <c r="F15" s="157" t="s">
        <v>503</v>
      </c>
      <c r="G15" s="157" t="s">
        <v>495</v>
      </c>
      <c r="H15" s="157" t="s">
        <v>494</v>
      </c>
      <c r="I15" s="157" t="s">
        <v>494</v>
      </c>
      <c r="J15" s="182" t="s">
        <v>22</v>
      </c>
      <c r="K15" s="361" t="s">
        <v>502</v>
      </c>
      <c r="L15" s="159" t="s">
        <v>507</v>
      </c>
      <c r="M15" s="160"/>
      <c r="N15" s="160"/>
      <c r="O15" s="161"/>
      <c r="P15" s="152"/>
      <c r="Q15" s="162" t="s">
        <v>512</v>
      </c>
      <c r="R15" s="163"/>
      <c r="S15" s="181" t="s">
        <v>515</v>
      </c>
      <c r="T15" s="164" t="s">
        <v>484</v>
      </c>
      <c r="U15" s="286" t="s">
        <v>699</v>
      </c>
      <c r="V15" s="155" t="s">
        <v>693</v>
      </c>
      <c r="W15" s="165" t="s">
        <v>529</v>
      </c>
    </row>
    <row r="16" spans="1:23" ht="15.75">
      <c r="A16" s="119"/>
      <c r="B16" s="122" t="s">
        <v>474</v>
      </c>
      <c r="C16" s="124" t="s">
        <v>453</v>
      </c>
      <c r="D16" s="126" t="s">
        <v>161</v>
      </c>
      <c r="E16" s="349">
        <v>1700</v>
      </c>
      <c r="F16" s="173" t="s">
        <v>506</v>
      </c>
      <c r="G16" s="173" t="s">
        <v>499</v>
      </c>
      <c r="H16" s="173" t="s">
        <v>499</v>
      </c>
      <c r="I16" s="173" t="s">
        <v>500</v>
      </c>
      <c r="J16" s="128"/>
      <c r="K16" s="361" t="s">
        <v>502</v>
      </c>
      <c r="L16" s="129" t="s">
        <v>507</v>
      </c>
      <c r="M16" s="130"/>
      <c r="N16" s="130"/>
      <c r="O16" s="131"/>
      <c r="P16" s="123"/>
      <c r="Q16" s="135" t="s">
        <v>512</v>
      </c>
      <c r="R16" s="133"/>
      <c r="S16" s="126" t="s">
        <v>515</v>
      </c>
      <c r="T16" s="136" t="s">
        <v>484</v>
      </c>
      <c r="U16" s="286" t="s">
        <v>699</v>
      </c>
      <c r="V16" s="279" t="s">
        <v>693</v>
      </c>
      <c r="W16" s="134" t="s">
        <v>530</v>
      </c>
    </row>
    <row r="17" spans="1:23" ht="15.75">
      <c r="A17" s="119"/>
      <c r="B17" s="137" t="s">
        <v>455</v>
      </c>
      <c r="C17" s="139" t="s">
        <v>456</v>
      </c>
      <c r="D17" s="183" t="s">
        <v>233</v>
      </c>
      <c r="E17" s="350">
        <v>1700</v>
      </c>
      <c r="F17" s="178" t="s">
        <v>503</v>
      </c>
      <c r="G17" s="178" t="s">
        <v>495</v>
      </c>
      <c r="H17" s="178" t="s">
        <v>494</v>
      </c>
      <c r="I17" s="178" t="s">
        <v>494</v>
      </c>
      <c r="J17" s="184" t="s">
        <v>22</v>
      </c>
      <c r="K17" s="361" t="s">
        <v>502</v>
      </c>
      <c r="L17" s="145" t="s">
        <v>507</v>
      </c>
      <c r="M17" s="146"/>
      <c r="N17" s="146"/>
      <c r="O17" s="147"/>
      <c r="P17" s="148" t="s">
        <v>511</v>
      </c>
      <c r="Q17" s="142"/>
      <c r="R17" s="149"/>
      <c r="S17" s="183" t="s">
        <v>515</v>
      </c>
      <c r="T17" s="148"/>
      <c r="U17" s="287" t="s">
        <v>700</v>
      </c>
      <c r="V17" s="141" t="s">
        <v>693</v>
      </c>
      <c r="W17" s="150" t="s">
        <v>531</v>
      </c>
    </row>
    <row r="18" spans="1:23" ht="15.75">
      <c r="A18" s="119"/>
      <c r="B18" s="122" t="s">
        <v>386</v>
      </c>
      <c r="C18" s="124" t="s">
        <v>458</v>
      </c>
      <c r="D18" s="177" t="s">
        <v>233</v>
      </c>
      <c r="E18" s="349">
        <v>1700</v>
      </c>
      <c r="F18" s="178" t="s">
        <v>503</v>
      </c>
      <c r="G18" s="178" t="s">
        <v>495</v>
      </c>
      <c r="H18" s="178" t="s">
        <v>494</v>
      </c>
      <c r="I18" s="178" t="s">
        <v>494</v>
      </c>
      <c r="J18" s="179" t="s">
        <v>22</v>
      </c>
      <c r="K18" s="361" t="s">
        <v>502</v>
      </c>
      <c r="L18" s="129" t="s">
        <v>507</v>
      </c>
      <c r="M18" s="130"/>
      <c r="N18" s="130"/>
      <c r="O18" s="131"/>
      <c r="P18" s="123"/>
      <c r="Q18" s="135" t="s">
        <v>512</v>
      </c>
      <c r="R18" s="133"/>
      <c r="S18" s="177" t="s">
        <v>515</v>
      </c>
      <c r="T18" s="136" t="s">
        <v>484</v>
      </c>
      <c r="U18" s="286" t="s">
        <v>699</v>
      </c>
      <c r="V18" s="279" t="s">
        <v>693</v>
      </c>
      <c r="W18" s="322" t="s">
        <v>532</v>
      </c>
    </row>
    <row r="19" spans="1:23" ht="15.75">
      <c r="A19" s="119"/>
      <c r="B19" s="343" t="s">
        <v>475</v>
      </c>
      <c r="C19" s="139" t="s">
        <v>460</v>
      </c>
      <c r="D19" s="166" t="s">
        <v>161</v>
      </c>
      <c r="E19" s="353">
        <v>1850</v>
      </c>
      <c r="F19" s="185" t="s">
        <v>506</v>
      </c>
      <c r="G19" s="185" t="s">
        <v>499</v>
      </c>
      <c r="H19" s="185" t="s">
        <v>499</v>
      </c>
      <c r="I19" s="185" t="s">
        <v>500</v>
      </c>
      <c r="J19" s="144"/>
      <c r="K19" s="361" t="s">
        <v>502</v>
      </c>
      <c r="L19" s="145"/>
      <c r="M19" s="146"/>
      <c r="N19" s="146"/>
      <c r="O19" s="323" t="s">
        <v>510</v>
      </c>
      <c r="P19" s="138"/>
      <c r="Q19" s="168" t="s">
        <v>512</v>
      </c>
      <c r="R19" s="149"/>
      <c r="S19" s="166" t="s">
        <v>515</v>
      </c>
      <c r="T19" s="324" t="s">
        <v>484</v>
      </c>
      <c r="U19" s="325" t="s">
        <v>699</v>
      </c>
      <c r="V19" s="141" t="s">
        <v>693</v>
      </c>
      <c r="W19" s="150" t="s">
        <v>528</v>
      </c>
    </row>
    <row r="20" spans="1:23" ht="15.75">
      <c r="A20" s="119"/>
      <c r="B20" s="344" t="s">
        <v>381</v>
      </c>
      <c r="C20" s="124" t="s">
        <v>477</v>
      </c>
      <c r="D20" s="126" t="s">
        <v>161</v>
      </c>
      <c r="E20" s="349">
        <v>1700</v>
      </c>
      <c r="F20" s="173" t="s">
        <v>506</v>
      </c>
      <c r="G20" s="173" t="s">
        <v>499</v>
      </c>
      <c r="H20" s="173" t="s">
        <v>499</v>
      </c>
      <c r="I20" s="173" t="s">
        <v>500</v>
      </c>
      <c r="J20" s="128"/>
      <c r="K20" s="362" t="s">
        <v>502</v>
      </c>
      <c r="L20" s="129" t="s">
        <v>507</v>
      </c>
      <c r="M20" s="130"/>
      <c r="N20" s="130"/>
      <c r="O20" s="131"/>
      <c r="P20" s="132" t="s">
        <v>511</v>
      </c>
      <c r="Q20" s="43"/>
      <c r="R20" s="133"/>
      <c r="S20" s="166" t="s">
        <v>515</v>
      </c>
      <c r="T20" s="132" t="s">
        <v>482</v>
      </c>
      <c r="U20" s="287" t="s">
        <v>700</v>
      </c>
      <c r="V20" s="279" t="s">
        <v>693</v>
      </c>
      <c r="W20" s="134" t="s">
        <v>526</v>
      </c>
    </row>
    <row r="21" spans="1:23" ht="15.75">
      <c r="A21" s="119"/>
      <c r="B21" s="344" t="s">
        <v>375</v>
      </c>
      <c r="C21" s="124" t="s">
        <v>478</v>
      </c>
      <c r="D21" s="126" t="s">
        <v>161</v>
      </c>
      <c r="E21" s="349">
        <v>1700</v>
      </c>
      <c r="F21" s="327" t="s">
        <v>505</v>
      </c>
      <c r="G21" s="327" t="s">
        <v>496</v>
      </c>
      <c r="H21" s="327" t="s">
        <v>497</v>
      </c>
      <c r="I21" s="327" t="s">
        <v>498</v>
      </c>
      <c r="J21" s="128"/>
      <c r="K21" s="362" t="s">
        <v>502</v>
      </c>
      <c r="L21" s="129" t="s">
        <v>507</v>
      </c>
      <c r="M21" s="130"/>
      <c r="N21" s="130"/>
      <c r="O21" s="131"/>
      <c r="P21" s="132" t="s">
        <v>511</v>
      </c>
      <c r="Q21" s="43"/>
      <c r="R21" s="133"/>
      <c r="S21" s="166" t="s">
        <v>515</v>
      </c>
      <c r="T21" s="132" t="s">
        <v>482</v>
      </c>
      <c r="U21" s="287" t="s">
        <v>700</v>
      </c>
      <c r="V21" s="279" t="s">
        <v>693</v>
      </c>
      <c r="W21" s="322" t="s">
        <v>526</v>
      </c>
    </row>
    <row r="22" spans="1:23" ht="15.75">
      <c r="A22" s="119"/>
      <c r="B22" s="345" t="s">
        <v>813</v>
      </c>
      <c r="C22" s="331" t="s">
        <v>835</v>
      </c>
      <c r="D22" s="326" t="s">
        <v>161</v>
      </c>
      <c r="E22" s="350">
        <v>1700</v>
      </c>
      <c r="F22" s="363" t="s">
        <v>816</v>
      </c>
      <c r="G22" s="341" t="s">
        <v>820</v>
      </c>
      <c r="H22" s="341" t="s">
        <v>820</v>
      </c>
      <c r="I22" s="341" t="s">
        <v>822</v>
      </c>
      <c r="J22" s="40"/>
      <c r="K22" s="365" t="s">
        <v>817</v>
      </c>
      <c r="L22" s="145" t="s">
        <v>507</v>
      </c>
      <c r="M22" s="40"/>
      <c r="N22" s="40"/>
      <c r="O22" s="40"/>
      <c r="P22" s="40"/>
      <c r="Q22" s="168" t="s">
        <v>512</v>
      </c>
      <c r="R22" s="40"/>
      <c r="S22" s="166" t="s">
        <v>515</v>
      </c>
      <c r="T22" s="136" t="s">
        <v>484</v>
      </c>
      <c r="U22" s="325" t="s">
        <v>699</v>
      </c>
      <c r="V22" s="141" t="s">
        <v>693</v>
      </c>
      <c r="W22" s="336" t="s">
        <v>830</v>
      </c>
    </row>
    <row r="23" spans="1:23" ht="15.75">
      <c r="A23" s="119"/>
      <c r="B23" s="346" t="s">
        <v>814</v>
      </c>
      <c r="C23" s="333" t="s">
        <v>815</v>
      </c>
      <c r="D23" s="155" t="s">
        <v>181</v>
      </c>
      <c r="E23" s="351">
        <v>1700</v>
      </c>
      <c r="F23" s="364" t="s">
        <v>816</v>
      </c>
      <c r="G23" s="342" t="s">
        <v>823</v>
      </c>
      <c r="H23" s="342" t="s">
        <v>821</v>
      </c>
      <c r="I23" s="342" t="s">
        <v>821</v>
      </c>
      <c r="J23" s="421" t="s">
        <v>22</v>
      </c>
      <c r="K23" s="366" t="s">
        <v>817</v>
      </c>
      <c r="L23" s="159" t="s">
        <v>507</v>
      </c>
      <c r="M23" s="334"/>
      <c r="N23" s="334"/>
      <c r="O23" s="334"/>
      <c r="P23" s="334"/>
      <c r="Q23" s="162" t="s">
        <v>512</v>
      </c>
      <c r="R23" s="334"/>
      <c r="S23" s="155" t="s">
        <v>514</v>
      </c>
      <c r="T23" s="324" t="s">
        <v>484</v>
      </c>
      <c r="U23" s="335" t="s">
        <v>699</v>
      </c>
      <c r="V23" s="155" t="s">
        <v>693</v>
      </c>
      <c r="W23" s="337" t="s">
        <v>831</v>
      </c>
    </row>
    <row r="24" spans="1:23" ht="15.75">
      <c r="A24" s="119"/>
      <c r="B24" s="347" t="s">
        <v>818</v>
      </c>
      <c r="C24" s="328" t="s">
        <v>825</v>
      </c>
      <c r="D24" s="170" t="s">
        <v>161</v>
      </c>
      <c r="E24" s="350">
        <v>1700</v>
      </c>
      <c r="F24" s="262" t="s">
        <v>816</v>
      </c>
      <c r="G24" s="341" t="s">
        <v>820</v>
      </c>
      <c r="H24" s="341" t="s">
        <v>820</v>
      </c>
      <c r="I24" s="341" t="s">
        <v>822</v>
      </c>
      <c r="J24" s="5"/>
      <c r="K24" s="367" t="s">
        <v>817</v>
      </c>
      <c r="L24" s="129" t="s">
        <v>507</v>
      </c>
      <c r="M24" s="130"/>
      <c r="N24" s="130"/>
      <c r="O24" s="131"/>
      <c r="P24" s="132" t="s">
        <v>511</v>
      </c>
      <c r="Q24" s="5"/>
      <c r="R24" s="5"/>
      <c r="S24" s="126" t="s">
        <v>515</v>
      </c>
      <c r="T24" s="148" t="s">
        <v>482</v>
      </c>
      <c r="U24" s="286" t="s">
        <v>699</v>
      </c>
      <c r="V24" s="279" t="s">
        <v>693</v>
      </c>
      <c r="W24" s="134" t="s">
        <v>832</v>
      </c>
    </row>
    <row r="25" spans="1:23" ht="16.5" thickBot="1">
      <c r="A25" s="119"/>
      <c r="B25" s="348" t="s">
        <v>819</v>
      </c>
      <c r="C25" s="338" t="s">
        <v>824</v>
      </c>
      <c r="D25" s="280" t="s">
        <v>181</v>
      </c>
      <c r="E25" s="351">
        <v>1700</v>
      </c>
      <c r="F25" s="265" t="s">
        <v>816</v>
      </c>
      <c r="G25" s="342" t="s">
        <v>823</v>
      </c>
      <c r="H25" s="342" t="s">
        <v>821</v>
      </c>
      <c r="I25" s="342" t="s">
        <v>821</v>
      </c>
      <c r="J25" s="422" t="s">
        <v>22</v>
      </c>
      <c r="K25" s="368" t="s">
        <v>817</v>
      </c>
      <c r="L25" s="189" t="s">
        <v>507</v>
      </c>
      <c r="M25" s="190"/>
      <c r="N25" s="190"/>
      <c r="O25" s="191"/>
      <c r="P25" s="192" t="s">
        <v>511</v>
      </c>
      <c r="Q25" s="46"/>
      <c r="R25" s="46"/>
      <c r="S25" s="280" t="s">
        <v>514</v>
      </c>
      <c r="T25" s="172" t="s">
        <v>482</v>
      </c>
      <c r="U25" s="339" t="s">
        <v>700</v>
      </c>
      <c r="V25" s="280" t="s">
        <v>693</v>
      </c>
      <c r="W25" s="340" t="s">
        <v>833</v>
      </c>
    </row>
    <row r="26" spans="1:23">
      <c r="C26" s="42"/>
      <c r="E26" s="58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</row>
  </sheetData>
  <mergeCells count="2">
    <mergeCell ref="L3:O3"/>
    <mergeCell ref="P3:R3"/>
  </mergeCells>
  <hyperlinks>
    <hyperlink ref="K22" r:id="rId1" display="http://graphemica.com/%E2%85%83"/>
    <hyperlink ref="K23" r:id="rId2" display="http://graphemica.com/%E2%85%83"/>
    <hyperlink ref="K24" r:id="rId3" display="http://graphemica.com/%E2%85%83"/>
    <hyperlink ref="K25" r:id="rId4" display="http://graphemica.com/%E2%85%83"/>
  </hyperlinks>
  <pageMargins left="0.7" right="0.7" top="0.75" bottom="0.75" header="0.3" footer="0.3"/>
  <pageSetup paperSize="8" scale="93" orientation="landscape"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75"/>
  <sheetViews>
    <sheetView workbookViewId="0">
      <selection activeCell="A12" sqref="A12:B14"/>
    </sheetView>
  </sheetViews>
  <sheetFormatPr defaultRowHeight="15"/>
  <cols>
    <col min="1" max="2" width="60" customWidth="1"/>
    <col min="6" max="6" width="17.85546875" customWidth="1"/>
  </cols>
  <sheetData>
    <row r="1" spans="1:2">
      <c r="A1" t="s">
        <v>291</v>
      </c>
      <c r="B1" t="s">
        <v>292</v>
      </c>
    </row>
    <row r="2" spans="1:2">
      <c r="A2" t="s">
        <v>293</v>
      </c>
      <c r="B2" t="s">
        <v>294</v>
      </c>
    </row>
    <row r="3" spans="1:2">
      <c r="A3" t="s">
        <v>295</v>
      </c>
      <c r="B3" t="s">
        <v>296</v>
      </c>
    </row>
    <row r="4" spans="1:2">
      <c r="A4" t="s">
        <v>297</v>
      </c>
      <c r="B4" t="s">
        <v>298</v>
      </c>
    </row>
    <row r="5" spans="1:2">
      <c r="A5" t="s">
        <v>299</v>
      </c>
      <c r="B5" t="s">
        <v>300</v>
      </c>
    </row>
    <row r="6" spans="1:2">
      <c r="A6" t="s">
        <v>301</v>
      </c>
      <c r="B6" t="s">
        <v>302</v>
      </c>
    </row>
    <row r="7" spans="1:2">
      <c r="A7" t="s">
        <v>303</v>
      </c>
      <c r="B7" t="s">
        <v>304</v>
      </c>
    </row>
    <row r="8" spans="1:2">
      <c r="A8" t="s">
        <v>305</v>
      </c>
      <c r="B8" t="s">
        <v>306</v>
      </c>
    </row>
    <row r="9" spans="1:2">
      <c r="A9" t="s">
        <v>307</v>
      </c>
      <c r="B9" t="s">
        <v>308</v>
      </c>
    </row>
    <row r="10" spans="1:2">
      <c r="A10" t="s">
        <v>309</v>
      </c>
      <c r="B10" t="s">
        <v>310</v>
      </c>
    </row>
    <row r="11" spans="1:2">
      <c r="A11" t="s">
        <v>311</v>
      </c>
      <c r="B11" t="s">
        <v>312</v>
      </c>
    </row>
    <row r="12" spans="1:2">
      <c r="A12" s="36" t="s">
        <v>313</v>
      </c>
      <c r="B12" s="36" t="s">
        <v>314</v>
      </c>
    </row>
    <row r="13" spans="1:2">
      <c r="A13" s="36" t="s">
        <v>315</v>
      </c>
      <c r="B13" s="36" t="s">
        <v>316</v>
      </c>
    </row>
    <row r="14" spans="1:2">
      <c r="A14" s="36" t="s">
        <v>317</v>
      </c>
      <c r="B14" s="36" t="s">
        <v>318</v>
      </c>
    </row>
    <row r="15" spans="1:2">
      <c r="A15" s="37" t="s">
        <v>319</v>
      </c>
      <c r="B15" s="37" t="s">
        <v>320</v>
      </c>
    </row>
    <row r="16" spans="1:2">
      <c r="A16" s="37" t="s">
        <v>65</v>
      </c>
      <c r="B16" s="37" t="s">
        <v>321</v>
      </c>
    </row>
    <row r="17" spans="1:2">
      <c r="A17" s="37" t="s">
        <v>70</v>
      </c>
      <c r="B17" s="37" t="s">
        <v>322</v>
      </c>
    </row>
    <row r="18" spans="1:2">
      <c r="A18" s="37" t="s">
        <v>63</v>
      </c>
      <c r="B18" s="37" t="s">
        <v>323</v>
      </c>
    </row>
    <row r="19" spans="1:2">
      <c r="A19" s="37" t="s">
        <v>66</v>
      </c>
      <c r="B19" s="37" t="s">
        <v>324</v>
      </c>
    </row>
    <row r="20" spans="1:2">
      <c r="A20" s="38" t="s">
        <v>104</v>
      </c>
      <c r="B20" s="38" t="s">
        <v>325</v>
      </c>
    </row>
    <row r="21" spans="1:2">
      <c r="A21" s="38" t="s">
        <v>326</v>
      </c>
      <c r="B21" s="38" t="s">
        <v>327</v>
      </c>
    </row>
    <row r="22" spans="1:2">
      <c r="A22" s="38" t="s">
        <v>94</v>
      </c>
      <c r="B22" s="38" t="s">
        <v>328</v>
      </c>
    </row>
    <row r="23" spans="1:2">
      <c r="A23" s="38" t="s">
        <v>95</v>
      </c>
      <c r="B23" s="38" t="s">
        <v>329</v>
      </c>
    </row>
    <row r="24" spans="1:2">
      <c r="A24" s="37" t="s">
        <v>330</v>
      </c>
      <c r="B24" s="37" t="s">
        <v>331</v>
      </c>
    </row>
    <row r="25" spans="1:2">
      <c r="A25" s="37" t="s">
        <v>332</v>
      </c>
      <c r="B25" s="37" t="s">
        <v>333</v>
      </c>
    </row>
    <row r="26" spans="1:2">
      <c r="A26" s="37" t="s">
        <v>334</v>
      </c>
      <c r="B26" s="37" t="s">
        <v>335</v>
      </c>
    </row>
    <row r="27" spans="1:2">
      <c r="A27" s="37" t="s">
        <v>336</v>
      </c>
      <c r="B27" s="37" t="s">
        <v>337</v>
      </c>
    </row>
    <row r="28" spans="1:2">
      <c r="A28" s="36" t="s">
        <v>338</v>
      </c>
      <c r="B28" s="36" t="s">
        <v>339</v>
      </c>
    </row>
    <row r="29" spans="1:2">
      <c r="A29" s="36" t="s">
        <v>340</v>
      </c>
      <c r="B29" s="36" t="s">
        <v>341</v>
      </c>
    </row>
    <row r="30" spans="1:2">
      <c r="A30" s="36" t="s">
        <v>342</v>
      </c>
      <c r="B30" s="36" t="s">
        <v>343</v>
      </c>
    </row>
    <row r="31" spans="1:2">
      <c r="A31" s="36" t="s">
        <v>344</v>
      </c>
      <c r="B31" s="36" t="s">
        <v>345</v>
      </c>
    </row>
    <row r="32" spans="1:2">
      <c r="A32" t="s">
        <v>346</v>
      </c>
      <c r="B32" t="s">
        <v>347</v>
      </c>
    </row>
    <row r="33" spans="1:6">
      <c r="A33" t="s">
        <v>348</v>
      </c>
      <c r="B33" t="s">
        <v>349</v>
      </c>
    </row>
    <row r="34" spans="1:6">
      <c r="A34" t="s">
        <v>350</v>
      </c>
      <c r="B34" t="s">
        <v>351</v>
      </c>
    </row>
    <row r="35" spans="1:6">
      <c r="A35" t="s">
        <v>352</v>
      </c>
      <c r="B35" t="s">
        <v>353</v>
      </c>
    </row>
    <row r="36" spans="1:6">
      <c r="A36" t="s">
        <v>354</v>
      </c>
      <c r="B36" t="s">
        <v>355</v>
      </c>
    </row>
    <row r="37" spans="1:6">
      <c r="A37" t="s">
        <v>356</v>
      </c>
      <c r="B37" t="s">
        <v>357</v>
      </c>
    </row>
    <row r="38" spans="1:6">
      <c r="A38" t="s">
        <v>358</v>
      </c>
      <c r="B38" t="s">
        <v>357</v>
      </c>
    </row>
    <row r="39" spans="1:6">
      <c r="A39" t="s">
        <v>359</v>
      </c>
      <c r="B39" t="s">
        <v>882</v>
      </c>
    </row>
    <row r="40" spans="1:6">
      <c r="A40" t="s">
        <v>360</v>
      </c>
      <c r="B40" t="s">
        <v>361</v>
      </c>
    </row>
    <row r="41" spans="1:6">
      <c r="A41" t="s">
        <v>362</v>
      </c>
      <c r="B41" t="s">
        <v>363</v>
      </c>
    </row>
    <row r="42" spans="1:6">
      <c r="A42" s="36" t="s">
        <v>364</v>
      </c>
      <c r="B42" s="36" t="s">
        <v>365</v>
      </c>
      <c r="F42" t="s">
        <v>468</v>
      </c>
    </row>
    <row r="43" spans="1:6">
      <c r="A43" s="36" t="s">
        <v>366</v>
      </c>
      <c r="B43" s="36" t="s">
        <v>320</v>
      </c>
      <c r="F43" t="s">
        <v>469</v>
      </c>
    </row>
    <row r="44" spans="1:6">
      <c r="A44" s="33" t="s">
        <v>367</v>
      </c>
      <c r="B44" s="33" t="s">
        <v>368</v>
      </c>
      <c r="F44" t="s">
        <v>470</v>
      </c>
    </row>
    <row r="45" spans="1:6">
      <c r="A45" s="33" t="s">
        <v>369</v>
      </c>
      <c r="B45" s="33" t="s">
        <v>370</v>
      </c>
      <c r="F45" t="s">
        <v>440</v>
      </c>
    </row>
    <row r="46" spans="1:6">
      <c r="A46" s="33" t="s">
        <v>371</v>
      </c>
      <c r="B46" s="33" t="s">
        <v>372</v>
      </c>
    </row>
    <row r="47" spans="1:6">
      <c r="A47" s="33" t="s">
        <v>373</v>
      </c>
      <c r="B47" s="33" t="s">
        <v>374</v>
      </c>
    </row>
    <row r="48" spans="1:6">
      <c r="A48" s="33" t="s">
        <v>375</v>
      </c>
      <c r="B48" s="33" t="s">
        <v>376</v>
      </c>
    </row>
    <row r="49" spans="1:2">
      <c r="A49" s="33" t="s">
        <v>377</v>
      </c>
      <c r="B49" s="33" t="s">
        <v>378</v>
      </c>
    </row>
    <row r="50" spans="1:2">
      <c r="A50" s="33" t="s">
        <v>379</v>
      </c>
      <c r="B50" s="33" t="s">
        <v>380</v>
      </c>
    </row>
    <row r="51" spans="1:2">
      <c r="A51" s="33" t="s">
        <v>381</v>
      </c>
      <c r="B51" s="33" t="s">
        <v>382</v>
      </c>
    </row>
    <row r="52" spans="1:2">
      <c r="A52" s="33" t="s">
        <v>383</v>
      </c>
      <c r="B52" s="33" t="s">
        <v>384</v>
      </c>
    </row>
    <row r="53" spans="1:2">
      <c r="A53" s="33" t="s">
        <v>179</v>
      </c>
      <c r="B53" s="33" t="s">
        <v>385</v>
      </c>
    </row>
    <row r="54" spans="1:2">
      <c r="A54" s="33" t="s">
        <v>386</v>
      </c>
      <c r="B54" s="33" t="s">
        <v>387</v>
      </c>
    </row>
    <row r="55" spans="1:2">
      <c r="A55" s="33" t="s">
        <v>388</v>
      </c>
      <c r="B55" s="33" t="s">
        <v>389</v>
      </c>
    </row>
    <row r="56" spans="1:2">
      <c r="A56" s="33" t="s">
        <v>390</v>
      </c>
      <c r="B56" s="33" t="s">
        <v>391</v>
      </c>
    </row>
    <row r="57" spans="1:2">
      <c r="A57" s="34" t="s">
        <v>392</v>
      </c>
      <c r="B57" s="34" t="s">
        <v>393</v>
      </c>
    </row>
    <row r="58" spans="1:2">
      <c r="A58" s="34" t="s">
        <v>394</v>
      </c>
      <c r="B58" s="34" t="s">
        <v>395</v>
      </c>
    </row>
    <row r="59" spans="1:2">
      <c r="A59" s="34" t="s">
        <v>396</v>
      </c>
      <c r="B59" s="34" t="s">
        <v>397</v>
      </c>
    </row>
    <row r="60" spans="1:2">
      <c r="A60" s="34" t="s">
        <v>398</v>
      </c>
      <c r="B60" s="34" t="s">
        <v>399</v>
      </c>
    </row>
    <row r="61" spans="1:2">
      <c r="A61" t="s">
        <v>400</v>
      </c>
      <c r="B61" t="s">
        <v>401</v>
      </c>
    </row>
    <row r="62" spans="1:2">
      <c r="A62" t="s">
        <v>402</v>
      </c>
      <c r="B62" t="s">
        <v>403</v>
      </c>
    </row>
    <row r="63" spans="1:2">
      <c r="A63" t="s">
        <v>404</v>
      </c>
      <c r="B63" t="s">
        <v>405</v>
      </c>
    </row>
    <row r="64" spans="1:2">
      <c r="A64" s="35" t="s">
        <v>406</v>
      </c>
      <c r="B64" s="35" t="s">
        <v>407</v>
      </c>
    </row>
    <row r="65" spans="1:2">
      <c r="A65" s="35" t="s">
        <v>408</v>
      </c>
      <c r="B65" s="35" t="s">
        <v>409</v>
      </c>
    </row>
    <row r="66" spans="1:2">
      <c r="A66" s="35" t="s">
        <v>410</v>
      </c>
      <c r="B66" s="35" t="s">
        <v>411</v>
      </c>
    </row>
    <row r="67" spans="1:2">
      <c r="A67" t="s">
        <v>412</v>
      </c>
      <c r="B67" t="s">
        <v>413</v>
      </c>
    </row>
    <row r="68" spans="1:2">
      <c r="A68" t="s">
        <v>414</v>
      </c>
      <c r="B68" t="s">
        <v>415</v>
      </c>
    </row>
    <row r="69" spans="1:2">
      <c r="A69" t="s">
        <v>416</v>
      </c>
      <c r="B69" t="s">
        <v>417</v>
      </c>
    </row>
    <row r="70" spans="1:2">
      <c r="A70" t="s">
        <v>418</v>
      </c>
      <c r="B70" t="s">
        <v>419</v>
      </c>
    </row>
    <row r="71" spans="1:2">
      <c r="A71" t="s">
        <v>420</v>
      </c>
      <c r="B71" t="s">
        <v>421</v>
      </c>
    </row>
    <row r="72" spans="1:2">
      <c r="A72" t="s">
        <v>422</v>
      </c>
      <c r="B72" t="s">
        <v>423</v>
      </c>
    </row>
    <row r="73" spans="1:2">
      <c r="A73" t="s">
        <v>424</v>
      </c>
      <c r="B73" t="s">
        <v>425</v>
      </c>
    </row>
    <row r="74" spans="1:2">
      <c r="A74" t="s">
        <v>426</v>
      </c>
      <c r="B74" t="s">
        <v>427</v>
      </c>
    </row>
    <row r="75" spans="1:2">
      <c r="A75" t="s">
        <v>428</v>
      </c>
      <c r="B75" t="s">
        <v>429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>
    <pageSetUpPr fitToPage="1"/>
  </sheetPr>
  <dimension ref="A1:AM88"/>
  <sheetViews>
    <sheetView zoomScale="90" zoomScaleNormal="90" workbookViewId="0">
      <selection activeCell="F31" sqref="F31"/>
    </sheetView>
  </sheetViews>
  <sheetFormatPr defaultRowHeight="15"/>
  <cols>
    <col min="1" max="1" width="44.7109375" style="17" bestFit="1" customWidth="1"/>
    <col min="2" max="2" width="55.42578125" style="17" bestFit="1" customWidth="1"/>
    <col min="3" max="3" width="20.28515625" style="29" bestFit="1" customWidth="1"/>
    <col min="4" max="4" width="12.140625" style="29" customWidth="1"/>
    <col min="5" max="5" width="18.7109375" style="17" bestFit="1" customWidth="1"/>
    <col min="6" max="6" width="20.42578125" style="17" bestFit="1" customWidth="1"/>
    <col min="7" max="7" width="9.5703125" style="17" bestFit="1" customWidth="1"/>
    <col min="8" max="8" width="6.7109375" style="17" bestFit="1" customWidth="1"/>
    <col min="9" max="9" width="14.7109375" style="17" bestFit="1" customWidth="1"/>
    <col min="10" max="10" width="23" style="17" bestFit="1" customWidth="1"/>
    <col min="11" max="11" width="6.7109375" style="17" bestFit="1" customWidth="1"/>
    <col min="12" max="14" width="18.28515625" style="17" bestFit="1" customWidth="1"/>
    <col min="15" max="15" width="19.28515625" style="17" bestFit="1" customWidth="1"/>
    <col min="16" max="16" width="13.85546875" style="17" customWidth="1"/>
    <col min="17" max="17" width="20" style="17" bestFit="1" customWidth="1"/>
    <col min="18" max="18" width="14.85546875" style="17" bestFit="1" customWidth="1"/>
    <col min="19" max="19" width="31" style="17" bestFit="1" customWidth="1"/>
    <col min="20" max="20" width="24.5703125" style="17" bestFit="1" customWidth="1"/>
    <col min="21" max="21" width="18.140625" style="17" bestFit="1" customWidth="1"/>
    <col min="22" max="22" width="11" style="17" bestFit="1" customWidth="1"/>
    <col min="23" max="23" width="17.140625" style="17" bestFit="1" customWidth="1"/>
    <col min="24" max="24" width="12.28515625" style="17" bestFit="1" customWidth="1"/>
    <col min="25" max="25" width="18.42578125" style="17" bestFit="1" customWidth="1"/>
    <col min="26" max="26" width="16.7109375" style="17" bestFit="1" customWidth="1"/>
    <col min="27" max="27" width="22.140625" style="17" bestFit="1" customWidth="1"/>
    <col min="28" max="28" width="19" style="17" bestFit="1" customWidth="1"/>
    <col min="29" max="29" width="15.140625" style="17" bestFit="1" customWidth="1"/>
    <col min="30" max="30" width="16.5703125" style="17" bestFit="1" customWidth="1"/>
    <col min="31" max="31" width="5.7109375" style="17" bestFit="1" customWidth="1"/>
    <col min="32" max="32" width="16" style="17" bestFit="1" customWidth="1"/>
    <col min="33" max="33" width="21.28515625" style="17" bestFit="1" customWidth="1"/>
    <col min="34" max="34" width="12" style="17" bestFit="1" customWidth="1"/>
    <col min="35" max="35" width="12.5703125" style="17" bestFit="1" customWidth="1"/>
    <col min="36" max="36" width="22.42578125" style="17" bestFit="1" customWidth="1"/>
    <col min="37" max="37" width="14.28515625" style="17" bestFit="1" customWidth="1"/>
    <col min="38" max="38" width="12.140625" style="17" bestFit="1" customWidth="1"/>
    <col min="39" max="39" width="20.140625" style="17" bestFit="1" customWidth="1"/>
    <col min="40" max="40" width="18" style="17" bestFit="1" customWidth="1"/>
    <col min="41" max="41" width="38" style="17" bestFit="1" customWidth="1"/>
    <col min="42" max="42" width="9.5703125" style="17" bestFit="1" customWidth="1"/>
    <col min="43" max="43" width="15.7109375" style="17" bestFit="1" customWidth="1"/>
    <col min="44" max="44" width="21.5703125" style="17" bestFit="1" customWidth="1"/>
    <col min="45" max="45" width="13.5703125" style="17" bestFit="1" customWidth="1"/>
    <col min="46" max="46" width="21.85546875" style="17" bestFit="1" customWidth="1"/>
    <col min="47" max="47" width="11.42578125" style="17" bestFit="1" customWidth="1"/>
    <col min="48" max="48" width="8.28515625" style="17" bestFit="1" customWidth="1"/>
    <col min="49" max="49" width="21.28515625" style="17" bestFit="1" customWidth="1"/>
    <col min="50" max="50" width="11.42578125" style="17" bestFit="1" customWidth="1"/>
    <col min="51" max="16384" width="9.140625" style="17"/>
  </cols>
  <sheetData>
    <row r="1" spans="1:39">
      <c r="A1" s="11" t="s">
        <v>0</v>
      </c>
      <c r="B1" s="11" t="s">
        <v>142</v>
      </c>
      <c r="C1" s="11" t="s">
        <v>143</v>
      </c>
      <c r="D1" s="11" t="s">
        <v>144</v>
      </c>
      <c r="E1" s="12" t="s">
        <v>60</v>
      </c>
      <c r="F1" s="12" t="s">
        <v>91</v>
      </c>
      <c r="G1" s="13" t="s">
        <v>145</v>
      </c>
      <c r="H1" s="13" t="s">
        <v>146</v>
      </c>
      <c r="I1" s="13" t="s">
        <v>147</v>
      </c>
      <c r="J1" s="13" t="s">
        <v>148</v>
      </c>
      <c r="K1" s="13" t="s">
        <v>149</v>
      </c>
      <c r="L1" s="13" t="s">
        <v>150</v>
      </c>
      <c r="M1" s="13" t="s">
        <v>151</v>
      </c>
      <c r="N1" s="13" t="s">
        <v>152</v>
      </c>
      <c r="O1" s="13" t="s">
        <v>153</v>
      </c>
      <c r="P1" s="14" t="s">
        <v>154</v>
      </c>
      <c r="Q1" s="15" t="s">
        <v>155</v>
      </c>
      <c r="R1" s="15" t="s">
        <v>156</v>
      </c>
      <c r="S1" s="15" t="s">
        <v>157</v>
      </c>
      <c r="T1" s="13" t="s">
        <v>158</v>
      </c>
      <c r="U1" s="16"/>
    </row>
    <row r="2" spans="1:39">
      <c r="A2" s="18" t="s">
        <v>159</v>
      </c>
      <c r="B2" s="19" t="s">
        <v>160</v>
      </c>
      <c r="C2" s="20" t="s">
        <v>161</v>
      </c>
      <c r="D2" s="20" t="s">
        <v>162</v>
      </c>
      <c r="E2" s="21" t="s">
        <v>163</v>
      </c>
      <c r="F2" s="21" t="str">
        <f>"EP-"&amp;Tabel13[[#This Row],[Artikelsymbool]]</f>
        <v>EP-020255A00KOL/</v>
      </c>
      <c r="G2" s="22" t="s">
        <v>164</v>
      </c>
      <c r="H2" s="22">
        <v>3100</v>
      </c>
      <c r="I2" s="22">
        <v>2</v>
      </c>
      <c r="J2" s="22" t="s">
        <v>165</v>
      </c>
      <c r="K2" s="22">
        <v>12</v>
      </c>
      <c r="L2" s="23" t="s">
        <v>166</v>
      </c>
      <c r="M2" s="23" t="s">
        <v>167</v>
      </c>
      <c r="N2" s="23" t="s">
        <v>168</v>
      </c>
      <c r="O2" s="22" t="s">
        <v>169</v>
      </c>
      <c r="P2" s="22"/>
      <c r="Q2" s="22" t="s">
        <v>170</v>
      </c>
      <c r="R2" s="22" t="s">
        <v>171</v>
      </c>
      <c r="S2" s="22"/>
      <c r="T2" s="22" t="s">
        <v>172</v>
      </c>
      <c r="U2" s="16"/>
      <c r="AD2" s="24"/>
      <c r="AL2" s="24"/>
      <c r="AM2" s="24"/>
    </row>
    <row r="3" spans="1:39">
      <c r="A3" s="18" t="s">
        <v>173</v>
      </c>
      <c r="B3" s="25" t="s">
        <v>174</v>
      </c>
      <c r="C3" s="20" t="s">
        <v>161</v>
      </c>
      <c r="D3" s="20" t="s">
        <v>162</v>
      </c>
      <c r="E3" s="21" t="s">
        <v>175</v>
      </c>
      <c r="F3" s="21" t="str">
        <f>"EP-"&amp;Tabel13[[#This Row],[Artikelsymbool]]</f>
        <v>EP-020255A01KOL/</v>
      </c>
      <c r="G3" s="22" t="s">
        <v>164</v>
      </c>
      <c r="H3" s="22">
        <v>3100</v>
      </c>
      <c r="I3" s="22">
        <v>3</v>
      </c>
      <c r="J3" s="22" t="s">
        <v>176</v>
      </c>
      <c r="K3" s="22">
        <v>14.2</v>
      </c>
      <c r="L3" s="23" t="s">
        <v>166</v>
      </c>
      <c r="M3" s="23" t="s">
        <v>167</v>
      </c>
      <c r="N3" s="23" t="s">
        <v>168</v>
      </c>
      <c r="O3" s="22" t="s">
        <v>169</v>
      </c>
      <c r="P3" s="22"/>
      <c r="Q3" s="22" t="s">
        <v>177</v>
      </c>
      <c r="R3" s="22" t="s">
        <v>171</v>
      </c>
      <c r="S3" s="22"/>
      <c r="T3" s="22" t="s">
        <v>178</v>
      </c>
      <c r="U3" s="16"/>
      <c r="AD3" s="24"/>
      <c r="AL3" s="24"/>
      <c r="AM3" s="24"/>
    </row>
    <row r="4" spans="1:39">
      <c r="A4" s="20" t="s">
        <v>179</v>
      </c>
      <c r="B4" s="25" t="s">
        <v>180</v>
      </c>
      <c r="C4" s="20" t="s">
        <v>181</v>
      </c>
      <c r="D4" s="20" t="s">
        <v>162</v>
      </c>
      <c r="E4" s="21" t="s">
        <v>182</v>
      </c>
      <c r="F4" s="21" t="str">
        <f>"EP-"&amp;Tabel13[[#This Row],[Artikelsymbool]]</f>
        <v>EP-030292A00KOL/</v>
      </c>
      <c r="G4" s="22" t="s">
        <v>183</v>
      </c>
      <c r="H4" s="22">
        <v>3100</v>
      </c>
      <c r="I4" s="22">
        <v>2</v>
      </c>
      <c r="J4" s="22" t="s">
        <v>184</v>
      </c>
      <c r="K4" s="22">
        <v>12</v>
      </c>
      <c r="L4" s="23" t="s">
        <v>185</v>
      </c>
      <c r="M4" s="23" t="s">
        <v>185</v>
      </c>
      <c r="N4" s="23" t="s">
        <v>186</v>
      </c>
      <c r="O4" s="22" t="s">
        <v>187</v>
      </c>
      <c r="P4" s="22" t="s">
        <v>188</v>
      </c>
      <c r="Q4" s="22" t="s">
        <v>170</v>
      </c>
      <c r="R4" s="22" t="s">
        <v>189</v>
      </c>
      <c r="S4" s="22"/>
      <c r="T4" s="22" t="s">
        <v>172</v>
      </c>
      <c r="U4" s="16"/>
      <c r="AD4" s="24"/>
      <c r="AL4" s="24"/>
      <c r="AM4" s="24"/>
    </row>
    <row r="5" spans="1:39">
      <c r="A5" s="18" t="s">
        <v>190</v>
      </c>
      <c r="B5" s="25" t="s">
        <v>191</v>
      </c>
      <c r="C5" s="20" t="s">
        <v>181</v>
      </c>
      <c r="D5" s="20" t="s">
        <v>162</v>
      </c>
      <c r="E5" s="21" t="s">
        <v>192</v>
      </c>
      <c r="F5" s="21" t="str">
        <f>"EP-"&amp;Tabel13[[#This Row],[Artikelsymbool]]</f>
        <v>EP-030292A01KOL/</v>
      </c>
      <c r="G5" s="22" t="s">
        <v>183</v>
      </c>
      <c r="H5" s="22">
        <v>3100</v>
      </c>
      <c r="I5" s="22">
        <v>3</v>
      </c>
      <c r="J5" s="22" t="s">
        <v>176</v>
      </c>
      <c r="K5" s="22">
        <v>14.2</v>
      </c>
      <c r="L5" s="23" t="s">
        <v>185</v>
      </c>
      <c r="M5" s="23" t="s">
        <v>185</v>
      </c>
      <c r="N5" s="23" t="s">
        <v>186</v>
      </c>
      <c r="O5" s="26" t="s">
        <v>169</v>
      </c>
      <c r="P5" s="26" t="s">
        <v>193</v>
      </c>
      <c r="Q5" s="22" t="s">
        <v>177</v>
      </c>
      <c r="R5" s="22" t="s">
        <v>189</v>
      </c>
      <c r="S5" s="22"/>
      <c r="T5" s="22" t="s">
        <v>178</v>
      </c>
      <c r="U5" s="16"/>
      <c r="AD5" s="24"/>
      <c r="AL5" s="24"/>
      <c r="AM5" s="24"/>
    </row>
    <row r="6" spans="1:39">
      <c r="A6" s="20" t="s">
        <v>194</v>
      </c>
      <c r="B6" s="25" t="s">
        <v>195</v>
      </c>
      <c r="C6" s="20" t="s">
        <v>196</v>
      </c>
      <c r="D6" s="20" t="s">
        <v>162</v>
      </c>
      <c r="E6" s="21" t="s">
        <v>197</v>
      </c>
      <c r="F6" s="21" t="str">
        <f>"EP-"&amp;Tabel13[[#This Row],[Artikelsymbool]]</f>
        <v>EP-050166A00KOL/</v>
      </c>
      <c r="G6" s="22" t="s">
        <v>198</v>
      </c>
      <c r="H6" s="22">
        <v>3100</v>
      </c>
      <c r="I6" s="22">
        <v>2</v>
      </c>
      <c r="J6" s="22" t="s">
        <v>165</v>
      </c>
      <c r="K6" s="22">
        <v>12</v>
      </c>
      <c r="L6" s="23" t="s">
        <v>199</v>
      </c>
      <c r="M6" s="23" t="s">
        <v>200</v>
      </c>
      <c r="N6" s="23" t="s">
        <v>201</v>
      </c>
      <c r="O6" s="22" t="s">
        <v>169</v>
      </c>
      <c r="P6" s="22"/>
      <c r="Q6" s="22" t="s">
        <v>170</v>
      </c>
      <c r="R6" s="22" t="s">
        <v>171</v>
      </c>
      <c r="S6" s="22"/>
      <c r="T6" s="22" t="s">
        <v>172</v>
      </c>
      <c r="U6" s="16"/>
      <c r="AD6" s="24"/>
      <c r="AL6" s="24"/>
      <c r="AM6" s="24"/>
    </row>
    <row r="7" spans="1:39">
      <c r="A7" s="20" t="s">
        <v>202</v>
      </c>
      <c r="B7" s="25" t="s">
        <v>203</v>
      </c>
      <c r="C7" s="20" t="s">
        <v>204</v>
      </c>
      <c r="D7" s="20" t="s">
        <v>162</v>
      </c>
      <c r="E7" s="21" t="s">
        <v>205</v>
      </c>
      <c r="F7" s="21" t="str">
        <f>"EP-"&amp;Tabel13[[#This Row],[Artikelsymbool]]</f>
        <v>EP-051027A00KOL/</v>
      </c>
      <c r="G7" s="22" t="s">
        <v>198</v>
      </c>
      <c r="H7" s="22">
        <v>3100</v>
      </c>
      <c r="I7" s="22">
        <v>2</v>
      </c>
      <c r="J7" s="22" t="s">
        <v>165</v>
      </c>
      <c r="K7" s="22">
        <v>12</v>
      </c>
      <c r="L7" s="23" t="s">
        <v>206</v>
      </c>
      <c r="M7" s="23" t="s">
        <v>206</v>
      </c>
      <c r="N7" s="23" t="s">
        <v>207</v>
      </c>
      <c r="O7" s="22" t="s">
        <v>169</v>
      </c>
      <c r="P7" s="22"/>
      <c r="Q7" s="22" t="s">
        <v>170</v>
      </c>
      <c r="R7" s="22" t="s">
        <v>171</v>
      </c>
      <c r="S7" s="22"/>
      <c r="T7" s="22" t="s">
        <v>172</v>
      </c>
      <c r="U7" s="16"/>
      <c r="AD7" s="24"/>
      <c r="AL7" s="24"/>
      <c r="AM7" s="24"/>
    </row>
    <row r="8" spans="1:39">
      <c r="A8" s="20" t="s">
        <v>208</v>
      </c>
      <c r="B8" s="25" t="s">
        <v>209</v>
      </c>
      <c r="C8" s="20" t="s">
        <v>204</v>
      </c>
      <c r="D8" s="20" t="s">
        <v>162</v>
      </c>
      <c r="E8" s="21" t="s">
        <v>210</v>
      </c>
      <c r="F8" s="21" t="str">
        <f>"EP-"&amp;Tabel13[[#This Row],[Artikelsymbool]]</f>
        <v>EP-060019A00KOL/</v>
      </c>
      <c r="G8" s="22" t="s">
        <v>198</v>
      </c>
      <c r="H8" s="22">
        <v>3100</v>
      </c>
      <c r="I8" s="22" t="s">
        <v>211</v>
      </c>
      <c r="J8" s="22" t="s">
        <v>212</v>
      </c>
      <c r="K8" s="22">
        <v>17</v>
      </c>
      <c r="L8" s="23" t="s">
        <v>206</v>
      </c>
      <c r="M8" s="23" t="s">
        <v>206</v>
      </c>
      <c r="N8" s="23" t="s">
        <v>207</v>
      </c>
      <c r="O8" s="22" t="s">
        <v>169</v>
      </c>
      <c r="P8" s="22"/>
      <c r="Q8" s="22" t="s">
        <v>170</v>
      </c>
      <c r="R8" s="22" t="s">
        <v>171</v>
      </c>
      <c r="S8" s="22"/>
      <c r="T8" s="22" t="s">
        <v>172</v>
      </c>
      <c r="U8" s="16"/>
      <c r="AD8" s="24"/>
      <c r="AL8" s="24"/>
      <c r="AM8" s="24"/>
    </row>
    <row r="9" spans="1:39">
      <c r="A9" s="20" t="s">
        <v>213</v>
      </c>
      <c r="B9" s="25" t="s">
        <v>214</v>
      </c>
      <c r="C9" s="20" t="s">
        <v>181</v>
      </c>
      <c r="D9" s="20" t="s">
        <v>162</v>
      </c>
      <c r="E9" s="21" t="s">
        <v>215</v>
      </c>
      <c r="F9" s="21" t="str">
        <f>"EP-"&amp;Tabel13[[#This Row],[Artikelsymbool]]</f>
        <v>EP-060070A00KOL/</v>
      </c>
      <c r="G9" s="22" t="s">
        <v>183</v>
      </c>
      <c r="H9" s="22">
        <v>3100</v>
      </c>
      <c r="I9" s="22">
        <v>2</v>
      </c>
      <c r="J9" s="22"/>
      <c r="K9" s="22">
        <v>17</v>
      </c>
      <c r="L9" s="23" t="s">
        <v>185</v>
      </c>
      <c r="M9" s="23" t="s">
        <v>185</v>
      </c>
      <c r="N9" s="23" t="s">
        <v>186</v>
      </c>
      <c r="O9" s="22" t="s">
        <v>187</v>
      </c>
      <c r="P9" s="22" t="s">
        <v>188</v>
      </c>
      <c r="Q9" s="22" t="s">
        <v>170</v>
      </c>
      <c r="R9" s="22" t="s">
        <v>189</v>
      </c>
      <c r="S9" s="22"/>
      <c r="T9" s="22" t="s">
        <v>172</v>
      </c>
      <c r="U9" s="16"/>
      <c r="AD9" s="24"/>
      <c r="AL9" s="24"/>
      <c r="AM9" s="24"/>
    </row>
    <row r="10" spans="1:39">
      <c r="A10" s="20" t="s">
        <v>216</v>
      </c>
      <c r="B10" s="25" t="s">
        <v>217</v>
      </c>
      <c r="C10" s="20" t="s">
        <v>204</v>
      </c>
      <c r="D10" s="20" t="s">
        <v>218</v>
      </c>
      <c r="E10" s="21" t="s">
        <v>219</v>
      </c>
      <c r="F10" s="21" t="str">
        <f>"EP-"&amp;Tabel13[[#This Row],[Artikelsymbool]]</f>
        <v>EP-070044_00KOL/</v>
      </c>
      <c r="G10" s="22" t="s">
        <v>198</v>
      </c>
      <c r="H10" s="22">
        <v>2918</v>
      </c>
      <c r="I10" s="22" t="s">
        <v>220</v>
      </c>
      <c r="J10" s="22" t="s">
        <v>221</v>
      </c>
      <c r="K10" s="22">
        <v>12</v>
      </c>
      <c r="L10" s="23" t="s">
        <v>206</v>
      </c>
      <c r="M10" s="23" t="s">
        <v>206</v>
      </c>
      <c r="N10" s="23" t="s">
        <v>207</v>
      </c>
      <c r="O10" s="22" t="s">
        <v>169</v>
      </c>
      <c r="P10" s="22"/>
      <c r="Q10" s="22" t="s">
        <v>170</v>
      </c>
      <c r="R10" s="22" t="s">
        <v>171</v>
      </c>
      <c r="S10" s="22"/>
      <c r="T10" s="22" t="s">
        <v>172</v>
      </c>
      <c r="U10" s="16"/>
      <c r="AD10" s="24"/>
      <c r="AL10" s="24"/>
      <c r="AM10" s="24"/>
    </row>
    <row r="11" spans="1:39">
      <c r="A11" s="20" t="s">
        <v>222</v>
      </c>
      <c r="B11" s="25" t="s">
        <v>223</v>
      </c>
      <c r="C11" s="20" t="s">
        <v>204</v>
      </c>
      <c r="D11" s="20" t="s">
        <v>218</v>
      </c>
      <c r="E11" s="21" t="s">
        <v>224</v>
      </c>
      <c r="F11" s="21" t="str">
        <f>"EP-"&amp;Tabel13[[#This Row],[Artikelsymbool]]</f>
        <v>EP-070044_01KOL/</v>
      </c>
      <c r="G11" s="22" t="s">
        <v>198</v>
      </c>
      <c r="H11" s="22">
        <v>2918</v>
      </c>
      <c r="I11" s="22">
        <v>3</v>
      </c>
      <c r="J11" s="22" t="s">
        <v>176</v>
      </c>
      <c r="K11" s="22">
        <v>14.2</v>
      </c>
      <c r="L11" s="23" t="s">
        <v>206</v>
      </c>
      <c r="M11" s="23" t="s">
        <v>206</v>
      </c>
      <c r="N11" s="23" t="s">
        <v>207</v>
      </c>
      <c r="O11" s="22" t="s">
        <v>169</v>
      </c>
      <c r="P11" s="22"/>
      <c r="Q11" s="22" t="s">
        <v>177</v>
      </c>
      <c r="R11" s="22" t="s">
        <v>171</v>
      </c>
      <c r="S11" s="22"/>
      <c r="T11" s="22" t="s">
        <v>178</v>
      </c>
      <c r="U11" s="16"/>
      <c r="AD11" s="24"/>
      <c r="AL11" s="24"/>
      <c r="AM11" s="24"/>
    </row>
    <row r="12" spans="1:39">
      <c r="A12" s="20" t="s">
        <v>225</v>
      </c>
      <c r="B12" s="25" t="s">
        <v>226</v>
      </c>
      <c r="C12" s="20" t="s">
        <v>181</v>
      </c>
      <c r="D12" s="20" t="s">
        <v>162</v>
      </c>
      <c r="E12" s="21" t="s">
        <v>227</v>
      </c>
      <c r="F12" s="21" t="str">
        <f>"EP-"&amp;Tabel13[[#This Row],[Artikelsymbool]]</f>
        <v>EP-070045_00KOL/</v>
      </c>
      <c r="G12" s="22" t="s">
        <v>183</v>
      </c>
      <c r="H12" s="22">
        <v>2918</v>
      </c>
      <c r="I12" s="22">
        <v>2</v>
      </c>
      <c r="J12" s="22"/>
      <c r="K12" s="22">
        <v>12</v>
      </c>
      <c r="L12" s="23" t="s">
        <v>185</v>
      </c>
      <c r="M12" s="23" t="s">
        <v>185</v>
      </c>
      <c r="N12" s="23" t="s">
        <v>186</v>
      </c>
      <c r="O12" s="22" t="s">
        <v>187</v>
      </c>
      <c r="P12" s="22" t="s">
        <v>188</v>
      </c>
      <c r="Q12" s="22" t="s">
        <v>170</v>
      </c>
      <c r="R12" s="22" t="s">
        <v>189</v>
      </c>
      <c r="S12" s="22"/>
      <c r="T12" s="22" t="s">
        <v>172</v>
      </c>
      <c r="U12" s="16"/>
      <c r="AD12" s="24"/>
      <c r="AL12" s="24"/>
      <c r="AM12" s="24"/>
    </row>
    <row r="13" spans="1:39">
      <c r="A13" s="20" t="s">
        <v>228</v>
      </c>
      <c r="B13" s="25" t="s">
        <v>229</v>
      </c>
      <c r="C13" s="20" t="s">
        <v>181</v>
      </c>
      <c r="D13" s="20" t="s">
        <v>162</v>
      </c>
      <c r="E13" s="21" t="s">
        <v>230</v>
      </c>
      <c r="F13" s="21" t="str">
        <f>"EP-"&amp;Tabel13[[#This Row],[Artikelsymbool]]</f>
        <v>EP-070045_01KOL/</v>
      </c>
      <c r="G13" s="22" t="s">
        <v>183</v>
      </c>
      <c r="H13" s="22">
        <v>2918</v>
      </c>
      <c r="I13" s="22">
        <v>3</v>
      </c>
      <c r="J13" s="22" t="s">
        <v>176</v>
      </c>
      <c r="K13" s="22">
        <v>14.2</v>
      </c>
      <c r="L13" s="23" t="s">
        <v>185</v>
      </c>
      <c r="M13" s="23" t="s">
        <v>185</v>
      </c>
      <c r="N13" s="23" t="s">
        <v>186</v>
      </c>
      <c r="O13" s="22" t="s">
        <v>187</v>
      </c>
      <c r="P13" s="22" t="s">
        <v>188</v>
      </c>
      <c r="Q13" s="22" t="s">
        <v>177</v>
      </c>
      <c r="R13" s="22" t="s">
        <v>189</v>
      </c>
      <c r="S13" s="22"/>
      <c r="T13" s="22" t="s">
        <v>178</v>
      </c>
      <c r="U13" s="16"/>
      <c r="AD13" s="24"/>
      <c r="AL13" s="24"/>
      <c r="AM13" s="24"/>
    </row>
    <row r="14" spans="1:39">
      <c r="A14" s="20" t="s">
        <v>231</v>
      </c>
      <c r="B14" s="25" t="s">
        <v>232</v>
      </c>
      <c r="C14" s="20" t="s">
        <v>233</v>
      </c>
      <c r="D14" s="20" t="s">
        <v>162</v>
      </c>
      <c r="E14" s="21" t="s">
        <v>234</v>
      </c>
      <c r="F14" s="21" t="str">
        <f>"EP-"&amp;Tabel13[[#This Row],[Artikelsymbool]]</f>
        <v>EP-090330_00KOL/</v>
      </c>
      <c r="G14" s="22" t="s">
        <v>198</v>
      </c>
      <c r="H14" s="22">
        <v>3100</v>
      </c>
      <c r="I14" s="22">
        <v>2</v>
      </c>
      <c r="J14" s="22"/>
      <c r="K14" s="22">
        <v>12</v>
      </c>
      <c r="L14" s="23" t="s">
        <v>186</v>
      </c>
      <c r="M14" s="23" t="s">
        <v>185</v>
      </c>
      <c r="N14" s="23" t="s">
        <v>235</v>
      </c>
      <c r="O14" s="22" t="s">
        <v>169</v>
      </c>
      <c r="P14" s="22"/>
      <c r="Q14" s="22" t="s">
        <v>170</v>
      </c>
      <c r="R14" s="22" t="s">
        <v>171</v>
      </c>
      <c r="S14" s="22" t="s">
        <v>236</v>
      </c>
      <c r="T14" s="22" t="s">
        <v>172</v>
      </c>
      <c r="U14" s="16"/>
      <c r="AD14" s="24"/>
      <c r="AL14" s="24"/>
      <c r="AM14" s="24"/>
    </row>
    <row r="15" spans="1:39">
      <c r="A15" s="20" t="s">
        <v>237</v>
      </c>
      <c r="B15" s="25" t="s">
        <v>238</v>
      </c>
      <c r="C15" s="20" t="s">
        <v>233</v>
      </c>
      <c r="D15" s="20" t="s">
        <v>162</v>
      </c>
      <c r="E15" s="21" t="s">
        <v>239</v>
      </c>
      <c r="F15" s="21" t="str">
        <f>"EP-"&amp;Tabel13[[#This Row],[Artikelsymbool]]</f>
        <v>EP-090330_01KOL/</v>
      </c>
      <c r="G15" s="22" t="s">
        <v>198</v>
      </c>
      <c r="H15" s="22">
        <v>3370</v>
      </c>
      <c r="I15" s="22">
        <v>2</v>
      </c>
      <c r="J15" s="22"/>
      <c r="K15" s="22">
        <v>14.2</v>
      </c>
      <c r="L15" s="23" t="s">
        <v>186</v>
      </c>
      <c r="M15" s="23" t="s">
        <v>185</v>
      </c>
      <c r="N15" s="23" t="s">
        <v>235</v>
      </c>
      <c r="O15" s="22" t="s">
        <v>169</v>
      </c>
      <c r="P15" s="22"/>
      <c r="Q15" s="22" t="s">
        <v>177</v>
      </c>
      <c r="R15" s="22" t="s">
        <v>171</v>
      </c>
      <c r="S15" s="22" t="s">
        <v>236</v>
      </c>
      <c r="T15" s="22" t="s">
        <v>178</v>
      </c>
      <c r="U15" s="16"/>
      <c r="AD15" s="24"/>
      <c r="AL15" s="24"/>
      <c r="AM15" s="24"/>
    </row>
    <row r="16" spans="1:39">
      <c r="A16" s="20" t="s">
        <v>240</v>
      </c>
      <c r="B16" s="25" t="s">
        <v>241</v>
      </c>
      <c r="C16" s="20" t="s">
        <v>233</v>
      </c>
      <c r="D16" s="20" t="s">
        <v>162</v>
      </c>
      <c r="E16" s="21" t="s">
        <v>242</v>
      </c>
      <c r="F16" s="21" t="str">
        <f>"EP-"&amp;Tabel13[[#This Row],[Artikelsymbool]]</f>
        <v>EP-090330_02KOL/</v>
      </c>
      <c r="G16" s="22" t="s">
        <v>198</v>
      </c>
      <c r="H16" s="22">
        <v>3100</v>
      </c>
      <c r="I16" s="22">
        <v>3</v>
      </c>
      <c r="J16" s="22" t="s">
        <v>176</v>
      </c>
      <c r="K16" s="22">
        <v>14.2</v>
      </c>
      <c r="L16" s="23" t="s">
        <v>186</v>
      </c>
      <c r="M16" s="23" t="s">
        <v>185</v>
      </c>
      <c r="N16" s="23" t="s">
        <v>235</v>
      </c>
      <c r="O16" s="22" t="s">
        <v>169</v>
      </c>
      <c r="P16" s="22"/>
      <c r="Q16" s="22" t="s">
        <v>177</v>
      </c>
      <c r="R16" s="22" t="s">
        <v>171</v>
      </c>
      <c r="S16" s="22" t="s">
        <v>236</v>
      </c>
      <c r="T16" s="22" t="s">
        <v>178</v>
      </c>
      <c r="U16" s="16"/>
      <c r="AD16" s="24"/>
      <c r="AL16" s="24"/>
      <c r="AM16" s="24"/>
    </row>
    <row r="17" spans="1:39">
      <c r="A17" s="20" t="s">
        <v>243</v>
      </c>
      <c r="B17" s="25" t="s">
        <v>244</v>
      </c>
      <c r="C17" s="20" t="s">
        <v>233</v>
      </c>
      <c r="D17" s="20" t="s">
        <v>162</v>
      </c>
      <c r="E17" s="21" t="s">
        <v>245</v>
      </c>
      <c r="F17" s="21" t="str">
        <f>"EP-"&amp;Tabel13[[#This Row],[Artikelsymbool]]</f>
        <v>EP-120143_00KOL/</v>
      </c>
      <c r="G17" s="22" t="s">
        <v>198</v>
      </c>
      <c r="H17" s="22">
        <v>2918</v>
      </c>
      <c r="I17" s="22">
        <v>2</v>
      </c>
      <c r="J17" s="22"/>
      <c r="K17" s="22">
        <v>12</v>
      </c>
      <c r="L17" s="23" t="s">
        <v>186</v>
      </c>
      <c r="M17" s="23" t="s">
        <v>185</v>
      </c>
      <c r="N17" s="23" t="s">
        <v>185</v>
      </c>
      <c r="O17" s="22" t="s">
        <v>187</v>
      </c>
      <c r="P17" s="22" t="s">
        <v>188</v>
      </c>
      <c r="Q17" s="22" t="s">
        <v>170</v>
      </c>
      <c r="R17" s="22" t="s">
        <v>171</v>
      </c>
      <c r="S17" s="22" t="s">
        <v>236</v>
      </c>
      <c r="T17" s="22" t="s">
        <v>172</v>
      </c>
      <c r="U17" s="16"/>
      <c r="AD17" s="24"/>
      <c r="AL17" s="24"/>
      <c r="AM17" s="24"/>
    </row>
    <row r="18" spans="1:39">
      <c r="A18" s="20" t="s">
        <v>246</v>
      </c>
      <c r="B18" s="25" t="s">
        <v>247</v>
      </c>
      <c r="C18" s="20" t="s">
        <v>233</v>
      </c>
      <c r="D18" s="20" t="s">
        <v>162</v>
      </c>
      <c r="E18" s="21" t="s">
        <v>248</v>
      </c>
      <c r="F18" s="21" t="str">
        <f>"EP-"&amp;Tabel13[[#This Row],[Artikelsymbool]]</f>
        <v>EP-120143_01KOL/</v>
      </c>
      <c r="G18" s="22" t="s">
        <v>198</v>
      </c>
      <c r="H18" s="22">
        <v>2918</v>
      </c>
      <c r="I18" s="22">
        <v>3</v>
      </c>
      <c r="J18" s="22" t="s">
        <v>176</v>
      </c>
      <c r="K18" s="22">
        <v>14.2</v>
      </c>
      <c r="L18" s="23" t="s">
        <v>186</v>
      </c>
      <c r="M18" s="23" t="s">
        <v>185</v>
      </c>
      <c r="N18" s="23" t="s">
        <v>185</v>
      </c>
      <c r="O18" s="22" t="s">
        <v>187</v>
      </c>
      <c r="P18" s="22" t="s">
        <v>188</v>
      </c>
      <c r="Q18" s="22" t="s">
        <v>177</v>
      </c>
      <c r="R18" s="22" t="s">
        <v>171</v>
      </c>
      <c r="S18" s="22" t="s">
        <v>236</v>
      </c>
      <c r="T18" s="22" t="s">
        <v>178</v>
      </c>
      <c r="U18" s="16"/>
      <c r="AD18" s="24"/>
      <c r="AL18" s="24"/>
      <c r="AM18" s="24"/>
    </row>
    <row r="19" spans="1:39">
      <c r="A19" s="18" t="s">
        <v>249</v>
      </c>
      <c r="B19" s="25" t="s">
        <v>250</v>
      </c>
      <c r="C19" s="20" t="s">
        <v>204</v>
      </c>
      <c r="D19" s="20" t="s">
        <v>218</v>
      </c>
      <c r="E19" s="21" t="s">
        <v>251</v>
      </c>
      <c r="F19" s="21" t="str">
        <f>"EP-"&amp;Tabel13[[#This Row],[Artikelsymbool]]</f>
        <v>EP-130055_00KOL/</v>
      </c>
      <c r="G19" s="22" t="s">
        <v>198</v>
      </c>
      <c r="H19" s="22">
        <v>3100</v>
      </c>
      <c r="I19" s="22">
        <v>3</v>
      </c>
      <c r="J19" s="22" t="s">
        <v>176</v>
      </c>
      <c r="K19" s="22">
        <v>14.2</v>
      </c>
      <c r="L19" s="23" t="s">
        <v>206</v>
      </c>
      <c r="M19" s="23" t="s">
        <v>206</v>
      </c>
      <c r="N19" s="23" t="s">
        <v>207</v>
      </c>
      <c r="O19" s="22" t="s">
        <v>169</v>
      </c>
      <c r="P19" s="22"/>
      <c r="Q19" s="22" t="s">
        <v>177</v>
      </c>
      <c r="R19" s="22" t="s">
        <v>171</v>
      </c>
      <c r="S19" s="22"/>
      <c r="T19" s="22" t="s">
        <v>178</v>
      </c>
      <c r="U19" s="16"/>
      <c r="AD19" s="24"/>
      <c r="AL19" s="24"/>
      <c r="AM19" s="24"/>
    </row>
    <row r="20" spans="1:39">
      <c r="A20" s="20" t="s">
        <v>252</v>
      </c>
      <c r="B20" s="25" t="s">
        <v>253</v>
      </c>
      <c r="C20" s="20" t="s">
        <v>233</v>
      </c>
      <c r="D20" s="20" t="s">
        <v>162</v>
      </c>
      <c r="E20" s="21" t="s">
        <v>254</v>
      </c>
      <c r="F20" s="21" t="str">
        <f>"EP-"&amp;Tabel13[[#This Row],[Artikelsymbool]]</f>
        <v>EP-130110_00KOL/</v>
      </c>
      <c r="G20" s="22" t="s">
        <v>198</v>
      </c>
      <c r="H20" s="22">
        <v>3100</v>
      </c>
      <c r="I20" s="22">
        <v>2</v>
      </c>
      <c r="J20" s="22"/>
      <c r="K20" s="22">
        <v>12</v>
      </c>
      <c r="L20" s="23" t="s">
        <v>186</v>
      </c>
      <c r="M20" s="23" t="s">
        <v>185</v>
      </c>
      <c r="N20" s="23" t="s">
        <v>185</v>
      </c>
      <c r="O20" s="22" t="s">
        <v>187</v>
      </c>
      <c r="P20" s="22" t="s">
        <v>255</v>
      </c>
      <c r="Q20" s="22" t="s">
        <v>170</v>
      </c>
      <c r="R20" s="22" t="s">
        <v>171</v>
      </c>
      <c r="S20" s="22" t="s">
        <v>236</v>
      </c>
      <c r="T20" s="22" t="s">
        <v>172</v>
      </c>
      <c r="U20" s="16"/>
      <c r="AD20" s="24"/>
      <c r="AL20" s="24"/>
      <c r="AM20" s="24"/>
    </row>
    <row r="21" spans="1:39">
      <c r="A21" s="18" t="s">
        <v>256</v>
      </c>
      <c r="B21" s="25" t="s">
        <v>257</v>
      </c>
      <c r="C21" s="20" t="s">
        <v>233</v>
      </c>
      <c r="D21" s="20" t="s">
        <v>162</v>
      </c>
      <c r="E21" s="21" t="s">
        <v>258</v>
      </c>
      <c r="F21" s="21" t="str">
        <f>"EP-"&amp;Tabel13[[#This Row],[Artikelsymbool]]</f>
        <v>EP-130110_01KOL/</v>
      </c>
      <c r="G21" s="22" t="s">
        <v>198</v>
      </c>
      <c r="H21" s="22">
        <v>3100</v>
      </c>
      <c r="I21" s="22">
        <v>3</v>
      </c>
      <c r="J21" s="22" t="s">
        <v>176</v>
      </c>
      <c r="K21" s="22">
        <v>14.2</v>
      </c>
      <c r="L21" s="23" t="s">
        <v>186</v>
      </c>
      <c r="M21" s="23" t="s">
        <v>185</v>
      </c>
      <c r="N21" s="23" t="s">
        <v>185</v>
      </c>
      <c r="O21" s="22" t="s">
        <v>169</v>
      </c>
      <c r="P21" s="22"/>
      <c r="Q21" s="22" t="s">
        <v>177</v>
      </c>
      <c r="R21" s="22" t="s">
        <v>171</v>
      </c>
      <c r="S21" s="22" t="s">
        <v>236</v>
      </c>
      <c r="T21" s="22" t="s">
        <v>178</v>
      </c>
      <c r="U21" s="16"/>
      <c r="AD21" s="24"/>
      <c r="AL21" s="24"/>
      <c r="AM21" s="24"/>
    </row>
    <row r="22" spans="1:39">
      <c r="A22" s="27" t="s">
        <v>259</v>
      </c>
      <c r="B22" s="28" t="s">
        <v>260</v>
      </c>
      <c r="C22" s="20" t="s">
        <v>204</v>
      </c>
      <c r="D22" s="20" t="s">
        <v>218</v>
      </c>
      <c r="E22" s="21" t="s">
        <v>261</v>
      </c>
      <c r="F22" s="21" t="str">
        <f>"EP-"&amp;Tabel13[[#This Row],[Artikelsymbool]]</f>
        <v>EP-150461_01KOL/</v>
      </c>
      <c r="G22" s="22" t="s">
        <v>198</v>
      </c>
      <c r="H22" s="22">
        <v>3370</v>
      </c>
      <c r="I22" s="22">
        <v>2</v>
      </c>
      <c r="J22" s="22"/>
      <c r="K22" s="22">
        <v>14.2</v>
      </c>
      <c r="L22" s="23" t="s">
        <v>206</v>
      </c>
      <c r="M22" s="23" t="s">
        <v>206</v>
      </c>
      <c r="N22" s="23" t="s">
        <v>207</v>
      </c>
      <c r="O22" s="22" t="s">
        <v>169</v>
      </c>
      <c r="P22" s="22"/>
      <c r="Q22" s="22" t="s">
        <v>177</v>
      </c>
      <c r="R22" s="22" t="s">
        <v>171</v>
      </c>
      <c r="S22" s="22"/>
      <c r="T22" s="22" t="s">
        <v>178</v>
      </c>
      <c r="U22" s="16"/>
      <c r="AD22" s="24"/>
      <c r="AL22" s="24"/>
      <c r="AM22" s="24"/>
    </row>
    <row r="27" spans="1:39">
      <c r="D27" s="29" t="str">
        <f>A2&amp; " ("&amp;F2 &amp; ")"</f>
        <v>PLA DR 1700mm (EP-020255A00KOL/)</v>
      </c>
    </row>
    <row r="28" spans="1:39">
      <c r="D28" s="29" t="str">
        <f t="shared" ref="D28:D88" si="0">A3&amp; " ("&amp;F3 &amp; ")"</f>
        <v>PLA DR 14,2Kg 1700mm (EP-020255A01KOL/)</v>
      </c>
      <c r="N28" s="30"/>
    </row>
    <row r="29" spans="1:39">
      <c r="D29" s="29" t="str">
        <f t="shared" si="0"/>
        <v>PLA NR 1700mm (EP-030292A00KOL/)</v>
      </c>
    </row>
    <row r="30" spans="1:39">
      <c r="D30" s="29" t="str">
        <f t="shared" si="0"/>
        <v>PLA NR 14,2Kg 1700mm (EP-030292A01KOL/)</v>
      </c>
    </row>
    <row r="31" spans="1:39">
      <c r="D31" s="29" t="str">
        <f t="shared" si="0"/>
        <v>PLA DR Hella-rails 1700mm (EP-050166A00KOL/)</v>
      </c>
    </row>
    <row r="32" spans="1:39">
      <c r="D32" s="29" t="str">
        <f t="shared" si="0"/>
        <v>PLA DR gelagerd 1700mm (EP-051027A00KOL/)</v>
      </c>
    </row>
    <row r="33" spans="4:4">
      <c r="D33" s="29" t="str">
        <f t="shared" si="0"/>
        <v>PLA DR gelagerd 17 Kg 1700mm (EP-060019A00KOL/)</v>
      </c>
    </row>
    <row r="34" spans="4:4">
      <c r="D34" s="29" t="str">
        <f t="shared" si="0"/>
        <v>PLA NR 17Kg 1700mm (EP-060070A00KOL/)</v>
      </c>
    </row>
    <row r="35" spans="4:4">
      <c r="D35" s="29" t="str">
        <f t="shared" si="0"/>
        <v>PLA DR gelagerd 1700mm Beissbarth (EP-070044_00KOL/)</v>
      </c>
    </row>
    <row r="36" spans="4:4">
      <c r="D36" s="29" t="str">
        <f t="shared" si="0"/>
        <v>PLA DR gelagerd 14,2Kg 1700mm Beissbarth (EP-070044_01KOL/)</v>
      </c>
    </row>
    <row r="37" spans="4:4">
      <c r="D37" s="29" t="str">
        <f t="shared" si="0"/>
        <v>PLA NR 1700mm Beissbarth (EP-070045_00KOL/)</v>
      </c>
    </row>
    <row r="38" spans="4:4">
      <c r="D38" s="29" t="str">
        <f t="shared" si="0"/>
        <v>PLA NR 14,2 Kg 1700mm Beissbarth (EP-070045_01KOL/)</v>
      </c>
    </row>
    <row r="39" spans="4:4">
      <c r="D39" s="29" t="str">
        <f t="shared" si="0"/>
        <v>PLA SR FR (EP-090330_00KOL/)</v>
      </c>
    </row>
    <row r="40" spans="4:4">
      <c r="D40" s="29" t="str">
        <f t="shared" si="0"/>
        <v>PLA SR 14,2Kg UTAC 1850mm geen pv (EP-090330_01KOL/)</v>
      </c>
    </row>
    <row r="41" spans="4:4">
      <c r="D41" s="29" t="str">
        <f t="shared" si="0"/>
        <v>PLA SR FR 14.2kg 1700mm  vith pv (EP-090330_02KOL/)</v>
      </c>
    </row>
    <row r="42" spans="4:4">
      <c r="D42" s="29" t="str">
        <f t="shared" si="0"/>
        <v>PLA SR AL UK (EP-120143_00KOL/)</v>
      </c>
    </row>
    <row r="43" spans="4:4">
      <c r="D43" s="29" t="str">
        <f t="shared" si="0"/>
        <v>PLA SR AL UK 14,2Kg 1700mm (EP-120143_01KOL/)</v>
      </c>
    </row>
    <row r="44" spans="4:4">
      <c r="D44" s="29" t="str">
        <f t="shared" si="0"/>
        <v>PLA DR gelagerd 14,2 Kg. (EP-130055_00KOL/)</v>
      </c>
    </row>
    <row r="45" spans="4:4">
      <c r="D45" s="29" t="str">
        <f t="shared" si="0"/>
        <v>PLA SR AL (EP-130110_00KOL/)</v>
      </c>
    </row>
    <row r="46" spans="4:4">
      <c r="D46" s="29" t="str">
        <f t="shared" si="0"/>
        <v>PLA SR 14,2Kg 1700mm (EP-130110_01KOL/)</v>
      </c>
    </row>
    <row r="47" spans="4:4">
      <c r="D47" s="29" t="str">
        <f t="shared" si="0"/>
        <v>PLA DR gelagerd 14,2Kg 1850mm UTAC (EP-150461_01KOL/)</v>
      </c>
    </row>
    <row r="49" spans="4:4">
      <c r="D49" s="31" t="s">
        <v>262</v>
      </c>
    </row>
    <row r="50" spans="4:4">
      <c r="D50" s="31" t="s">
        <v>263</v>
      </c>
    </row>
    <row r="51" spans="4:4">
      <c r="D51" s="31" t="s">
        <v>264</v>
      </c>
    </row>
    <row r="52" spans="4:4">
      <c r="D52" s="31" t="s">
        <v>265</v>
      </c>
    </row>
    <row r="53" spans="4:4">
      <c r="D53" s="31" t="s">
        <v>266</v>
      </c>
    </row>
    <row r="54" spans="4:4">
      <c r="D54" s="31" t="s">
        <v>267</v>
      </c>
    </row>
    <row r="55" spans="4:4">
      <c r="D55" s="31" t="s">
        <v>268</v>
      </c>
    </row>
    <row r="56" spans="4:4">
      <c r="D56" s="31" t="s">
        <v>269</v>
      </c>
    </row>
    <row r="57" spans="4:4">
      <c r="D57" s="31" t="s">
        <v>270</v>
      </c>
    </row>
    <row r="58" spans="4:4">
      <c r="D58" s="31" t="s">
        <v>271</v>
      </c>
    </row>
    <row r="59" spans="4:4">
      <c r="D59" s="31" t="s">
        <v>272</v>
      </c>
    </row>
    <row r="60" spans="4:4">
      <c r="D60" s="31" t="s">
        <v>273</v>
      </c>
    </row>
    <row r="61" spans="4:4">
      <c r="D61" s="31" t="s">
        <v>274</v>
      </c>
    </row>
    <row r="62" spans="4:4">
      <c r="D62" s="31" t="s">
        <v>275</v>
      </c>
    </row>
    <row r="63" spans="4:4">
      <c r="D63" s="31" t="s">
        <v>276</v>
      </c>
    </row>
    <row r="64" spans="4:4">
      <c r="D64" s="31" t="s">
        <v>277</v>
      </c>
    </row>
    <row r="65" spans="4:4">
      <c r="D65" s="31" t="s">
        <v>278</v>
      </c>
    </row>
    <row r="66" spans="4:4">
      <c r="D66" s="31" t="s">
        <v>279</v>
      </c>
    </row>
    <row r="67" spans="4:4">
      <c r="D67" s="31" t="s">
        <v>280</v>
      </c>
    </row>
    <row r="68" spans="4:4">
      <c r="D68" s="31" t="s">
        <v>281</v>
      </c>
    </row>
    <row r="69" spans="4:4">
      <c r="D69" s="31" t="s">
        <v>282</v>
      </c>
    </row>
    <row r="70" spans="4:4">
      <c r="D70" s="31" t="s">
        <v>283</v>
      </c>
    </row>
    <row r="71" spans="4:4">
      <c r="D71" s="32" t="s">
        <v>284</v>
      </c>
    </row>
    <row r="72" spans="4:4">
      <c r="D72" s="32" t="s">
        <v>285</v>
      </c>
    </row>
    <row r="73" spans="4:4">
      <c r="D73" s="32" t="s">
        <v>286</v>
      </c>
    </row>
    <row r="74" spans="4:4">
      <c r="D74" s="32" t="s">
        <v>287</v>
      </c>
    </row>
    <row r="75" spans="4:4">
      <c r="D75" s="32" t="s">
        <v>288</v>
      </c>
    </row>
    <row r="76" spans="4:4">
      <c r="D76" s="29" t="str">
        <f t="shared" si="0"/>
        <v xml:space="preserve"> ()</v>
      </c>
    </row>
    <row r="77" spans="4:4">
      <c r="D77" s="29" t="str">
        <f t="shared" si="0"/>
        <v xml:space="preserve"> ()</v>
      </c>
    </row>
    <row r="78" spans="4:4">
      <c r="D78" s="29" t="str">
        <f t="shared" si="0"/>
        <v xml:space="preserve"> ()</v>
      </c>
    </row>
    <row r="79" spans="4:4">
      <c r="D79" s="29" t="str">
        <f t="shared" si="0"/>
        <v xml:space="preserve"> ()</v>
      </c>
    </row>
    <row r="80" spans="4:4">
      <c r="D80" s="29" t="str">
        <f t="shared" si="0"/>
        <v xml:space="preserve"> ()</v>
      </c>
    </row>
    <row r="81" spans="4:4">
      <c r="D81" s="29" t="str">
        <f t="shared" si="0"/>
        <v xml:space="preserve"> ()</v>
      </c>
    </row>
    <row r="82" spans="4:4">
      <c r="D82" s="29" t="str">
        <f t="shared" si="0"/>
        <v xml:space="preserve"> ()</v>
      </c>
    </row>
    <row r="83" spans="4:4">
      <c r="D83" s="29" t="str">
        <f t="shared" si="0"/>
        <v xml:space="preserve"> ()</v>
      </c>
    </row>
    <row r="84" spans="4:4">
      <c r="D84" s="29" t="str">
        <f t="shared" si="0"/>
        <v xml:space="preserve"> ()</v>
      </c>
    </row>
    <row r="85" spans="4:4">
      <c r="D85" s="29" t="str">
        <f t="shared" si="0"/>
        <v xml:space="preserve"> ()</v>
      </c>
    </row>
    <row r="86" spans="4:4">
      <c r="D86" s="29" t="str">
        <f t="shared" si="0"/>
        <v xml:space="preserve"> ()</v>
      </c>
    </row>
    <row r="87" spans="4:4">
      <c r="D87" s="29" t="str">
        <f t="shared" si="0"/>
        <v xml:space="preserve"> ()</v>
      </c>
    </row>
    <row r="88" spans="4:4">
      <c r="D88" s="29" t="str">
        <f t="shared" si="0"/>
        <v xml:space="preserve"> ()</v>
      </c>
    </row>
  </sheetData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  <hyperlink ref="B9" r:id="rId8"/>
    <hyperlink ref="B10" r:id="rId9"/>
    <hyperlink ref="B11" r:id="rId10"/>
    <hyperlink ref="B12" r:id="rId11"/>
    <hyperlink ref="B13" r:id="rId12"/>
    <hyperlink ref="B14" r:id="rId13"/>
    <hyperlink ref="B15" r:id="rId14"/>
    <hyperlink ref="B16" r:id="rId15"/>
    <hyperlink ref="B17" r:id="rId16"/>
    <hyperlink ref="B18" r:id="rId17"/>
    <hyperlink ref="B19" r:id="rId18"/>
    <hyperlink ref="B20" r:id="rId19"/>
    <hyperlink ref="B21" r:id="rId20"/>
    <hyperlink ref="B22" r:id="rId21"/>
  </hyperlinks>
  <pageMargins left="0.25" right="0.25" top="0.75" bottom="0.75" header="0.3" footer="0.3"/>
  <pageSetup paperSize="9" scale="36" orientation="landscape" r:id="rId22"/>
  <drawing r:id="rId23"/>
  <tableParts count="1">
    <tablePart r:id="rId2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B11"/>
  <sheetViews>
    <sheetView workbookViewId="0">
      <selection activeCell="D14" sqref="D14"/>
    </sheetView>
  </sheetViews>
  <sheetFormatPr defaultRowHeight="15"/>
  <cols>
    <col min="1" max="1" width="17" bestFit="1" customWidth="1"/>
    <col min="2" max="2" width="28" customWidth="1"/>
  </cols>
  <sheetData>
    <row r="1" spans="1:2" ht="24" thickBot="1">
      <c r="A1" s="231" t="s">
        <v>643</v>
      </c>
      <c r="B1" s="232" t="s">
        <v>153</v>
      </c>
    </row>
    <row r="2" spans="1:2" ht="23.25">
      <c r="A2" s="233" t="s">
        <v>644</v>
      </c>
      <c r="B2" s="234" t="s">
        <v>645</v>
      </c>
    </row>
    <row r="3" spans="1:2" ht="24" thickBot="1">
      <c r="A3" s="235" t="s">
        <v>657</v>
      </c>
      <c r="B3" s="236" t="s">
        <v>658</v>
      </c>
    </row>
    <row r="4" spans="1:2" ht="23.25">
      <c r="A4" s="237" t="s">
        <v>659</v>
      </c>
      <c r="B4" s="238" t="s">
        <v>660</v>
      </c>
    </row>
    <row r="5" spans="1:2" ht="23.25">
      <c r="A5" s="238" t="s">
        <v>648</v>
      </c>
      <c r="B5" s="238" t="s">
        <v>649</v>
      </c>
    </row>
    <row r="6" spans="1:2" ht="24" thickBot="1">
      <c r="A6" s="238" t="s">
        <v>650</v>
      </c>
      <c r="B6" s="238" t="s">
        <v>651</v>
      </c>
    </row>
    <row r="7" spans="1:2" ht="23.25">
      <c r="A7" s="239" t="s">
        <v>652</v>
      </c>
      <c r="B7" s="240" t="s">
        <v>653</v>
      </c>
    </row>
    <row r="8" spans="1:2" ht="23.25">
      <c r="A8" s="238" t="s">
        <v>654</v>
      </c>
      <c r="B8" s="238" t="s">
        <v>656</v>
      </c>
    </row>
    <row r="9" spans="1:2" ht="23.25">
      <c r="A9" s="238" t="s">
        <v>655</v>
      </c>
    </row>
    <row r="10" spans="1:2" ht="23.25">
      <c r="A10" s="238" t="s">
        <v>646</v>
      </c>
    </row>
    <row r="11" spans="1:2" ht="23.25">
      <c r="A11" s="238" t="s">
        <v>647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13</vt:i4>
      </vt:variant>
    </vt:vector>
  </HeadingPairs>
  <TitlesOfParts>
    <vt:vector size="13" baseType="lpstr">
      <vt:lpstr>sam matrixoverzicht</vt:lpstr>
      <vt:lpstr>LM6 let 2018</vt:lpstr>
      <vt:lpstr>LM LVC 1050 1060</vt:lpstr>
      <vt:lpstr>lm35 let2018 (2)</vt:lpstr>
      <vt:lpstr>printoutlm35</vt:lpstr>
      <vt:lpstr>lensfronten let2018</vt:lpstr>
      <vt:lpstr>ALLE KOLOMMEN MATRIX</vt:lpstr>
      <vt:lpstr>opties</vt:lpstr>
      <vt:lpstr>oud</vt:lpstr>
      <vt:lpstr>printout</vt:lpstr>
      <vt:lpstr>EP 2017 en 18 wat maken ze nog</vt:lpstr>
      <vt:lpstr>pla2017</vt:lpstr>
      <vt:lpstr>rol+glijwagens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2018-12-06T14:33:47Z</cp:lastPrinted>
  <dcterms:created xsi:type="dcterms:W3CDTF">2018-02-07T14:52:03Z</dcterms:created>
  <dcterms:modified xsi:type="dcterms:W3CDTF">2019-03-18T12:30:54Z</dcterms:modified>
</cp:coreProperties>
</file>