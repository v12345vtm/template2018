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700" activeTab="1"/>
  </bookViews>
  <sheets>
    <sheet name="DOS" sheetId="1" r:id="rId1"/>
    <sheet name="Blad2" sheetId="15" r:id="rId2"/>
    <sheet name="dealerlijst" sheetId="11" r:id="rId3"/>
    <sheet name="labeltext" sheetId="12" r:id="rId4"/>
    <sheet name="Blad1" sheetId="2" r:id="rId5"/>
    <sheet name="usb-matrix" sheetId="13" r:id="rId6"/>
    <sheet name="matrix" sheetId="6" r:id="rId7"/>
    <sheet name="unit testers" sheetId="14" r:id="rId8"/>
  </sheets>
  <functionGroups builtInGroupCount="18"/>
  <definedNames>
    <definedName name="_xlnm.Print_Area" localSheetId="0">"id_(2).[.$A$1]:id_(2).[.$C$8]"</definedName>
    <definedName name="Excel_BuiltIn_Print_Titles_1">"""[$WEEK.$A$1:.$A$65544];[$WEEK.$A$1:.$ALK$3]"""</definedName>
  </definedNames>
  <calcPr calcId="162913"/>
</workbook>
</file>

<file path=xl/calcChain.xml><?xml version="1.0" encoding="utf-8"?>
<calcChain xmlns="http://schemas.openxmlformats.org/spreadsheetml/2006/main">
  <c r="AV2" i="15" l="1"/>
  <c r="C11" i="1" l="1"/>
  <c r="C10" i="1" l="1"/>
  <c r="C6" i="1"/>
  <c r="C5" i="1"/>
  <c r="C4" i="1"/>
  <c r="C3" i="1"/>
  <c r="C2" i="1"/>
  <c r="C9" i="1"/>
</calcChain>
</file>

<file path=xl/sharedStrings.xml><?xml version="1.0" encoding="utf-8"?>
<sst xmlns="http://schemas.openxmlformats.org/spreadsheetml/2006/main" count="1616" uniqueCount="430">
  <si>
    <t>Klant:</t>
  </si>
  <si>
    <t>Bon:</t>
  </si>
  <si>
    <t>Project:</t>
  </si>
  <si>
    <t>Projectleider:</t>
  </si>
  <si>
    <t>Module:</t>
  </si>
  <si>
    <t>Aantal:</t>
  </si>
  <si>
    <t>KVSP</t>
  </si>
  <si>
    <t>Soortklant</t>
  </si>
  <si>
    <t>Klantbestelling</t>
  </si>
  <si>
    <t>Totale waardein bedrijfsmunt</t>
  </si>
  <si>
    <t>Levernota</t>
  </si>
  <si>
    <t>Extra infokrachtterm</t>
  </si>
  <si>
    <t>Afgesloten</t>
  </si>
  <si>
    <t>Vrijgegevenvoor productie</t>
  </si>
  <si>
    <t>Herberekeningnodig?</t>
  </si>
  <si>
    <t>Link documentcenter</t>
  </si>
  <si>
    <t>IN</t>
  </si>
  <si>
    <t>Part</t>
  </si>
  <si>
    <t>Off</t>
  </si>
  <si>
    <t>Ram</t>
  </si>
  <si>
    <t>VS</t>
  </si>
  <si>
    <t>AantalRestpallet</t>
  </si>
  <si>
    <t>Weeknummer</t>
  </si>
  <si>
    <t>Contactpersoon</t>
  </si>
  <si>
    <t>Afsluitdatum</t>
  </si>
  <si>
    <t>Besteld aantal</t>
  </si>
  <si>
    <t>Allergeen</t>
  </si>
  <si>
    <t>PLA 35 SR</t>
  </si>
  <si>
    <t>EP-VK-PLA 35 SR BE</t>
  </si>
  <si>
    <t>BAUMUSTERFREIGABE : TPN100132497</t>
  </si>
  <si>
    <t>EP-VK-PLA 5 DR / TUV / 560MM - A</t>
  </si>
  <si>
    <t>EP-VK-PLA 25.1 DR SNAPON</t>
  </si>
  <si>
    <t>EP-VK-SAM-1050 SNAPON</t>
  </si>
  <si>
    <t>TAE</t>
  </si>
  <si>
    <t>EP-VK-PLA 35 DR BE</t>
  </si>
  <si>
    <t>EP-VK-SAR 35 GOCA</t>
  </si>
  <si>
    <t>EP-VK-SAM-LVC 1050 SHENZHEN</t>
  </si>
  <si>
    <t>EP-VK-PLA 5 DR / BI - A</t>
  </si>
  <si>
    <t>PLA 35 NR</t>
  </si>
  <si>
    <t>EP-VK-PLA 35 NR BE</t>
  </si>
  <si>
    <t>EP-VK-PLA 35 DR HELLA</t>
  </si>
  <si>
    <t>PLA 5 SR</t>
  </si>
  <si>
    <t>EP-VK-PLA 5 SR</t>
  </si>
  <si>
    <t>EP-VK-PLA 5 NR - A</t>
  </si>
  <si>
    <t>SAM 1050</t>
  </si>
  <si>
    <t>EP-VK-SAM-1050</t>
  </si>
  <si>
    <t>EP-VK-PLA 25 NR BE BATT</t>
  </si>
  <si>
    <t>EP-VK-PLA 25 DR BE BATT</t>
  </si>
  <si>
    <t>EP-VK-PLA 25 DR BE CONT/LCD GELAGERD</t>
  </si>
  <si>
    <t>EP-VK-SAR 50.2 BAT</t>
  </si>
  <si>
    <t>EP-VK-SAM-1050 THAILAND</t>
  </si>
  <si>
    <t>EP-VK-PLA 25 DR BATT GELAGERD</t>
  </si>
  <si>
    <t>EP-VK-PLA 5 DR / TUV / 585MM</t>
  </si>
  <si>
    <t>EP-VK-PLA 25 DR BATT VGA SNAPON</t>
  </si>
  <si>
    <t>EP-VK-SAR 50.2 CONT</t>
  </si>
  <si>
    <t>EP-VK-PLA 35 SR</t>
  </si>
  <si>
    <t>EP-VK-PLA 25 DR UK BATT</t>
  </si>
  <si>
    <t>EP-VK-PLA 20 DR / BI - A</t>
  </si>
  <si>
    <t>EP-VK-PLA 25.1 DR HDMI SNAPON</t>
  </si>
  <si>
    <t>EP-VK-PLA 35 FR</t>
  </si>
  <si>
    <t>EP-VK-PLA 35 DR GELAGERD</t>
  </si>
  <si>
    <t>EP-VK-PLA 35 SR FR</t>
  </si>
  <si>
    <t>EP-VK-PLA 35 DR FR L</t>
  </si>
  <si>
    <t>EP-VK-PLA 25 DR CONT GELAGERD</t>
  </si>
  <si>
    <t>EP-VK-PLA 25 NR CONT/LCD</t>
  </si>
  <si>
    <t>EP-VK-SAM-1050 SNAPON THAILAND</t>
  </si>
  <si>
    <t>EP-VK-PLA 5 NR / TUV</t>
  </si>
  <si>
    <t>EP-VK-PLA 25 NR BATT</t>
  </si>
  <si>
    <t>EP-VK-PLA 25 NR UK BATT</t>
  </si>
  <si>
    <t>EP-VK-PLA 25 DR BE CONT GELAGERD</t>
  </si>
  <si>
    <t>PLA 25 DR</t>
  </si>
  <si>
    <t>PLA 25 NR</t>
  </si>
  <si>
    <t>PLA 25.1 DR</t>
  </si>
  <si>
    <t>PLA 35 DR</t>
  </si>
  <si>
    <t>to check</t>
  </si>
  <si>
    <t>PLA 5 DR</t>
  </si>
  <si>
    <t>PLA 5 NR</t>
  </si>
  <si>
    <t>SAM-LVC 1050</t>
  </si>
  <si>
    <t>SAR 50.2</t>
  </si>
  <si>
    <t>SAR 35</t>
  </si>
  <si>
    <t>PLA 20 DR</t>
  </si>
  <si>
    <t>BAUMUSTERFREIGABE : TPN100132496</t>
  </si>
  <si>
    <t>PLA 35 DR MOT</t>
  </si>
  <si>
    <t>EIN : EINHB14563A0617012</t>
  </si>
  <si>
    <t>PLA 35 SR MOT</t>
  </si>
  <si>
    <t>PLA 35 DR DVSA</t>
  </si>
  <si>
    <t>EIN : EINHB14563A0617014</t>
  </si>
  <si>
    <t>PLA35 SR DVSA</t>
  </si>
  <si>
    <t>EIN : EINHB14563A0617015</t>
  </si>
  <si>
    <t>EIN : EINHB14563A0617013</t>
  </si>
  <si>
    <t>usbnee</t>
  </si>
  <si>
    <t>usbja</t>
  </si>
  <si>
    <t>METALCED</t>
  </si>
  <si>
    <t>VERSTRAETENLOCHRISTI</t>
  </si>
  <si>
    <t>FST</t>
  </si>
  <si>
    <t>PWEQUIPMENTWINGENE</t>
  </si>
  <si>
    <t>NACHTEGAELEPONTACELL</t>
  </si>
  <si>
    <t>SERVO</t>
  </si>
  <si>
    <t>TUVNORDHANNOVERF4</t>
  </si>
  <si>
    <t>HAUTERIVE</t>
  </si>
  <si>
    <t>VDABEELEINGELMUNSTER</t>
  </si>
  <si>
    <t>HENRARD</t>
  </si>
  <si>
    <t>PROSEC</t>
  </si>
  <si>
    <t>AUTOSCANN</t>
  </si>
  <si>
    <t>SNAPONITALYL1</t>
  </si>
  <si>
    <t>SNAPONITALYFA</t>
  </si>
  <si>
    <t>BEHERMANEUROPEAN</t>
  </si>
  <si>
    <t>IDEPITTEM</t>
  </si>
  <si>
    <t>SHENZHENPROMISE</t>
  </si>
  <si>
    <t>WEPCALIFORNIA</t>
  </si>
  <si>
    <t>AUTO5ANDERLECHTFA</t>
  </si>
  <si>
    <t>COMPUTEST</t>
  </si>
  <si>
    <t>AVGEELFA</t>
  </si>
  <si>
    <t>BTCDEURNE</t>
  </si>
  <si>
    <t>PROVEQ</t>
  </si>
  <si>
    <t>GIINDUSTRY</t>
  </si>
  <si>
    <t>JOSTBATTICE</t>
  </si>
  <si>
    <t>VTEQ</t>
  </si>
  <si>
    <t>KMOOSTENDEFA</t>
  </si>
  <si>
    <t>LAMBERTUCCLE</t>
  </si>
  <si>
    <t>MGEQUIPAMENTOS</t>
  </si>
  <si>
    <t>BELGIANBUSREPAIR</t>
  </si>
  <si>
    <t>BRIOTBERNARD</t>
  </si>
  <si>
    <t>VIETNET</t>
  </si>
  <si>
    <t>AUTOFIX</t>
  </si>
  <si>
    <t>AUTO5ARLON</t>
  </si>
  <si>
    <t>AUTOCOMPANY</t>
  </si>
  <si>
    <t>MERCEDESBENZBRUFA</t>
  </si>
  <si>
    <t>BLITSBEVEREN</t>
  </si>
  <si>
    <t>POPELIER</t>
  </si>
  <si>
    <t>JENZ</t>
  </si>
  <si>
    <t>AUTOTERMINUSOOSTENDE</t>
  </si>
  <si>
    <t>THEOTIME</t>
  </si>
  <si>
    <t>GEMCOEQUIPMENT</t>
  </si>
  <si>
    <t>GEMCOSERVICE</t>
  </si>
  <si>
    <t>DLASTATION</t>
  </si>
  <si>
    <t>VLOONANTWERPEN</t>
  </si>
  <si>
    <t>FRANKI</t>
  </si>
  <si>
    <t>AIBVZELLIKFA</t>
  </si>
  <si>
    <t>AUTO5 ARLON</t>
  </si>
  <si>
    <t>AIBV</t>
  </si>
  <si>
    <t>AUTOTERMINUS</t>
  </si>
  <si>
    <t>BLITS</t>
  </si>
  <si>
    <t>BTC</t>
  </si>
  <si>
    <t xml:space="preserve">IDE </t>
  </si>
  <si>
    <t xml:space="preserve">KM </t>
  </si>
  <si>
    <t xml:space="preserve">MERCEDESBENZ </t>
  </si>
  <si>
    <t xml:space="preserve">NACHTEGAELE </t>
  </si>
  <si>
    <t xml:space="preserve">WEP </t>
  </si>
  <si>
    <t xml:space="preserve">VLOON </t>
  </si>
  <si>
    <t xml:space="preserve">VERSTRAETEN </t>
  </si>
  <si>
    <t>GENERALFREINSTAPPERS</t>
  </si>
  <si>
    <t>LAMBERT UCCLE</t>
  </si>
  <si>
    <t>SHENZHEN PROMISE</t>
  </si>
  <si>
    <t>SNAPON ITALY</t>
  </si>
  <si>
    <t>BEHERMAN EUROPEAN</t>
  </si>
  <si>
    <t>BELGIAN BUS REPAIR</t>
  </si>
  <si>
    <t xml:space="preserve">GEMCO EQUIPMENT </t>
  </si>
  <si>
    <t>GI INDUSTRY</t>
  </si>
  <si>
    <t>MG EQUIPAMENTOS</t>
  </si>
  <si>
    <t xml:space="preserve">PW EQUIPMENT </t>
  </si>
  <si>
    <t>AUTOMEKAMOUSCRON</t>
  </si>
  <si>
    <t>AUTOMOBILIAPITTEM</t>
  </si>
  <si>
    <t>AUTOVAK</t>
  </si>
  <si>
    <t>BENTLEY</t>
  </si>
  <si>
    <t>CENTRAUTOCHATELET</t>
  </si>
  <si>
    <t>CITROENWILRIJK</t>
  </si>
  <si>
    <t>COCKAERTSWATERLOO</t>
  </si>
  <si>
    <t>AUTOMEKA MOUSCRON</t>
  </si>
  <si>
    <t>AUTOMOBILIA PITTEM</t>
  </si>
  <si>
    <t xml:space="preserve">CITROEN </t>
  </si>
  <si>
    <t xml:space="preserve">COCKAERTS </t>
  </si>
  <si>
    <t xml:space="preserve">CENTRAUTO </t>
  </si>
  <si>
    <t>TUV NORD MOBILITAT GMBH</t>
  </si>
  <si>
    <t>OKCONTROLE</t>
  </si>
  <si>
    <t>OK CONTROLE SARL</t>
  </si>
  <si>
    <t>MARTENSAUTOVERHUUR</t>
  </si>
  <si>
    <t>MARTENS AUTOVERHUUR</t>
  </si>
  <si>
    <t>DIAGNOSTICSOLUTIONS</t>
  </si>
  <si>
    <t>DIAGNOSTIC SOLUTIONS</t>
  </si>
  <si>
    <t>DEJONGHEAUTOPARTS</t>
  </si>
  <si>
    <t>DEJONGHE AUTOPARTS</t>
  </si>
  <si>
    <t>MAESMINDERHOUT</t>
  </si>
  <si>
    <t>MAES &amp; ZN nv</t>
  </si>
  <si>
    <t>GROEP GENERALFREIN</t>
  </si>
  <si>
    <t>VANDENABEELE</t>
  </si>
  <si>
    <t>BEHBEHANI</t>
  </si>
  <si>
    <t>BEHBEHANI BROTHERS</t>
  </si>
  <si>
    <t>1,00</t>
  </si>
  <si>
    <t>OKEAUTOGEEL</t>
  </si>
  <si>
    <t>EP-VK-PLA 5 NR AL - A</t>
  </si>
  <si>
    <t>nee</t>
  </si>
  <si>
    <t>OKE AUTO GEEL</t>
  </si>
  <si>
    <t>ja</t>
  </si>
  <si>
    <t>pdf+user+LETkzb20170122</t>
  </si>
  <si>
    <t xml:space="preserve">ombouw </t>
  </si>
  <si>
    <t>usb log werkt nog niet - to debug :1maart2017LET</t>
  </si>
  <si>
    <t>usb log werkt nog niet - to debug :1maart2017integrator+user+LET</t>
  </si>
  <si>
    <t>usb log werkt nog niet - to debug :1maart2017</t>
  </si>
  <si>
    <t>usb log werkt nog niet - to debug :1maart2017LETintegrator+user+LET</t>
  </si>
  <si>
    <t>usb log werkt nog niet - to debug :1maart2017integrator+user+LETLET</t>
  </si>
  <si>
    <t>EP-VK-PLA 5 NR  TUV</t>
  </si>
  <si>
    <t>EP-VK-PLA 35 SR DVSA</t>
  </si>
  <si>
    <t>EP-VK-PLA 35 DR UK DVSA</t>
  </si>
  <si>
    <t>EP-VK-PLA 20 DR  BI - A</t>
  </si>
  <si>
    <t>EP-VK-PLA 25 DR BE CONTLCD GELAGERD</t>
  </si>
  <si>
    <t>EP-VK-PLA 5 SR AL  TUV</t>
  </si>
  <si>
    <t>EP-VK-PLA 35 DR FR</t>
  </si>
  <si>
    <t>courante modellen</t>
  </si>
  <si>
    <t>usb</t>
  </si>
  <si>
    <t>no</t>
  </si>
  <si>
    <t>PLA 1050 NR</t>
  </si>
  <si>
    <t>SAR 1050</t>
  </si>
  <si>
    <t>PLA 20 NR</t>
  </si>
  <si>
    <t>engelsehomo</t>
  </si>
  <si>
    <t>duitsehomo</t>
  </si>
  <si>
    <t>PLA 35 SR DVSA</t>
  </si>
  <si>
    <t>EP-VK-PLA 35 DR UK MOT</t>
  </si>
  <si>
    <t>geblokeerd</t>
  </si>
  <si>
    <t>Project</t>
  </si>
  <si>
    <t>Klant</t>
  </si>
  <si>
    <t>Leveradres</t>
  </si>
  <si>
    <t>Alternatiefnummer project</t>
  </si>
  <si>
    <t>Besteldatum</t>
  </si>
  <si>
    <t>Leverdatum</t>
  </si>
  <si>
    <t>Startdatum</t>
  </si>
  <si>
    <t>Einddatum</t>
  </si>
  <si>
    <t>Onzereferentie</t>
  </si>
  <si>
    <t>Referentieklant</t>
  </si>
  <si>
    <t>OrderSrt</t>
  </si>
  <si>
    <t>Afdeling</t>
  </si>
  <si>
    <t>Transport</t>
  </si>
  <si>
    <t>Krachtterm</t>
  </si>
  <si>
    <t>Vertegenwoordiger</t>
  </si>
  <si>
    <t>Status</t>
  </si>
  <si>
    <t>Klassementsnr.</t>
  </si>
  <si>
    <t>Aantalkrachtterm</t>
  </si>
  <si>
    <t>Enhkrachtterm</t>
  </si>
  <si>
    <t>Prijskrachtterm</t>
  </si>
  <si>
    <t>PrsEnhkrachtterm</t>
  </si>
  <si>
    <t>Aantal geproduceerdKrachtterm</t>
  </si>
  <si>
    <t>Valuta</t>
  </si>
  <si>
    <t>Projectverantw.</t>
  </si>
  <si>
    <t>Projectgroep</t>
  </si>
  <si>
    <t>UniekVolgnummer</t>
  </si>
  <si>
    <t>DONCKERSWIJNEGEM</t>
  </si>
  <si>
    <t>KB</t>
  </si>
  <si>
    <t>V</t>
  </si>
  <si>
    <t>LETAUTOMOTIVE</t>
  </si>
  <si>
    <t>ST</t>
  </si>
  <si>
    <t>EUR</t>
  </si>
  <si>
    <t>DONCKERS WIJNEGEM</t>
  </si>
  <si>
    <t>belgie</t>
  </si>
  <si>
    <t>engeland</t>
  </si>
  <si>
    <t>duitsland</t>
  </si>
  <si>
    <t>user</t>
  </si>
  <si>
    <t>integrator</t>
  </si>
  <si>
    <t>LET</t>
  </si>
  <si>
    <t>msoft referentie</t>
  </si>
  <si>
    <t>label referentie</t>
  </si>
  <si>
    <t>TRUCK</t>
  </si>
  <si>
    <t>EP-VK-PLA 5 DR AL / TUV / 560MM</t>
  </si>
  <si>
    <t>extra homologatie velden  tonen op label?</t>
  </si>
  <si>
    <t>baumuster</t>
  </si>
  <si>
    <t>RMITEC</t>
  </si>
  <si>
    <t>KB170270</t>
  </si>
  <si>
    <t>B171105-2 / 05.11.17 Kom.- Schwanfelder</t>
  </si>
  <si>
    <t>Gefactureerd</t>
  </si>
  <si>
    <t>VSPEYBROECKKAROLINE</t>
  </si>
  <si>
    <t>STA_DB17</t>
  </si>
  <si>
    <t>DEALBU</t>
  </si>
  <si>
    <t>2656,00</t>
  </si>
  <si>
    <t>ein</t>
  </si>
  <si>
    <t>usb-pfdfile</t>
  </si>
  <si>
    <t>usbsticknaam</t>
  </si>
  <si>
    <t>2656,0000</t>
  </si>
  <si>
    <t>afzetmarkt</t>
  </si>
  <si>
    <t>overige</t>
  </si>
  <si>
    <t>EP-VK-PLA 5 NR AL / TUV</t>
  </si>
  <si>
    <t>EP-VK-PLA 5 DR AL / TUV / 585MM</t>
  </si>
  <si>
    <t>31/12/9999</t>
  </si>
  <si>
    <t>KB180247</t>
  </si>
  <si>
    <t>20180723 - OFF. 20180177</t>
  </si>
  <si>
    <t>ONB</t>
  </si>
  <si>
    <t>PLA 35 DR BE</t>
  </si>
  <si>
    <t>Geleverd/Gepickt</t>
  </si>
  <si>
    <t>DTOLLENAEREMARNIX</t>
  </si>
  <si>
    <t>GAR</t>
  </si>
  <si>
    <t>KB180148</t>
  </si>
  <si>
    <t>Bestellnr. 0000207022 / 16.04.18</t>
  </si>
  <si>
    <t>AFH</t>
  </si>
  <si>
    <t>PLA 25.1 DR SNAPON - EEHA900A</t>
  </si>
  <si>
    <t>STA_DB18</t>
  </si>
  <si>
    <t>KB180254</t>
  </si>
  <si>
    <t>4100077163 - 24.07.2018</t>
  </si>
  <si>
    <t>für Verwendung auf Doppelschienen</t>
  </si>
  <si>
    <t>INSPB</t>
  </si>
  <si>
    <t>KB180288</t>
  </si>
  <si>
    <t>GEMCOEQUIPMENTL2</t>
  </si>
  <si>
    <t>PO N° 00176926-1 - 26.06.2018</t>
  </si>
  <si>
    <t>PLA 35 DR UK DVSA</t>
  </si>
  <si>
    <t>In productie</t>
  </si>
  <si>
    <t>X</t>
  </si>
  <si>
    <t>KB180252</t>
  </si>
  <si>
    <t>20180728 - OFF. 20180176</t>
  </si>
  <si>
    <t>A18-141-GV/edw dd. 13.07.2018</t>
  </si>
  <si>
    <t>Koplamptester Luminoscope SAR 35 Goca/KoV</t>
  </si>
  <si>
    <t>Productiefiches gedrukt</t>
  </si>
  <si>
    <t>GOCA</t>
  </si>
  <si>
    <t>goca</t>
  </si>
  <si>
    <t>n.v.t.</t>
  </si>
  <si>
    <t>DUNEV</t>
  </si>
  <si>
    <t>EP-VK-PLA 35 SR LAN</t>
  </si>
  <si>
    <t>DUNEV MOTOR SPORT</t>
  </si>
  <si>
    <t>MIDASBERCHEM</t>
  </si>
  <si>
    <t>MIDAS BERCHEM</t>
  </si>
  <si>
    <t>VHOVETCA</t>
  </si>
  <si>
    <t>VAN HOVE TCA</t>
  </si>
  <si>
    <t>AUTOMOBILIA KORTEMARK</t>
  </si>
  <si>
    <t>KZB-versie24AHK-9okt18-17:10</t>
  </si>
  <si>
    <t>vith</t>
  </si>
  <si>
    <t>usbsticks nodig :</t>
  </si>
  <si>
    <t>buitenland</t>
  </si>
  <si>
    <t>exceltoolversie</t>
  </si>
  <si>
    <t>kzbnummer</t>
  </si>
  <si>
    <t>dealer</t>
  </si>
  <si>
    <t>artikelnr</t>
  </si>
  <si>
    <t>opties</t>
  </si>
  <si>
    <t>kzbartikelnaamverkort</t>
  </si>
  <si>
    <t>maxaantal</t>
  </si>
  <si>
    <t>klantnaam</t>
  </si>
  <si>
    <t>klantadres</t>
  </si>
  <si>
    <t>usb:</t>
  </si>
  <si>
    <t>homologatieveldgevonden</t>
  </si>
  <si>
    <t>homologatietxt</t>
  </si>
  <si>
    <t>let-user:</t>
  </si>
  <si>
    <t>let-integrator:</t>
  </si>
  <si>
    <t>usbnaam:</t>
  </si>
  <si>
    <t>pdf op usb :"</t>
  </si>
  <si>
    <t>gocadealbidealbu</t>
  </si>
  <si>
    <t>binnenofbuitenland</t>
  </si>
  <si>
    <t>datum</t>
  </si>
  <si>
    <t>usbsticker</t>
  </si>
  <si>
    <t xml:space="preserve"> </t>
  </si>
  <si>
    <t>usb:ja</t>
  </si>
  <si>
    <t>let-user:ja</t>
  </si>
  <si>
    <t>usbnaam:LET</t>
  </si>
  <si>
    <t>pdf op usb :no</t>
  </si>
  <si>
    <t>seriegr</t>
  </si>
  <si>
    <t>sergr</t>
  </si>
  <si>
    <t>usbstick</t>
  </si>
  <si>
    <t>ClearContents</t>
  </si>
  <si>
    <t>usbsticks nodig :1</t>
  </si>
  <si>
    <t>versienr</t>
  </si>
  <si>
    <t>dealerkort</t>
  </si>
  <si>
    <t>nummers,txt</t>
  </si>
  <si>
    <t>usb,txt</t>
  </si>
  <si>
    <t>usb inhoud</t>
  </si>
  <si>
    <t>usb analyse</t>
  </si>
  <si>
    <t>DumpOutputOpRij</t>
  </si>
  <si>
    <t>Map</t>
  </si>
  <si>
    <t>ahk map</t>
  </si>
  <si>
    <t>klik voor virtueeel label op usb</t>
  </si>
  <si>
    <t>C:\Users\VTH\Desktop\</t>
  </si>
  <si>
    <t>C:\Users\VTH\Desktop\template2018\ahk\</t>
  </si>
  <si>
    <t>EP170008</t>
  </si>
  <si>
    <t>AUTOMOTIVE</t>
  </si>
  <si>
    <t>EP</t>
  </si>
  <si>
    <t>P</t>
  </si>
  <si>
    <t>ECE lamp module Unical L/R</t>
  </si>
  <si>
    <t>DELFORCHEPIETER</t>
  </si>
  <si>
    <t>5,00</t>
  </si>
  <si>
    <t>0,0000</t>
  </si>
  <si>
    <t>0,00</t>
  </si>
  <si>
    <t>SPIESSENSPETER</t>
  </si>
  <si>
    <t>NVT</t>
  </si>
  <si>
    <t>EP-160612_01CAL/</t>
  </si>
  <si>
    <t>serienr klein zilver</t>
  </si>
  <si>
    <t>ACCAUTO</t>
  </si>
  <si>
    <t>DHARTOGH</t>
  </si>
  <si>
    <t>DEN HARTOGH</t>
  </si>
  <si>
    <t>EP-VK-PLA 5 SR AL / TUV</t>
  </si>
  <si>
    <t>voorbladHomoInfo</t>
  </si>
  <si>
    <t>APEAQUIEVRAIN</t>
  </si>
  <si>
    <t>APEA Sprl</t>
  </si>
  <si>
    <t>Clipproject</t>
  </si>
  <si>
    <t>Autohotkey</t>
  </si>
  <si>
    <t>AUTO5 ANDERLECHT</t>
  </si>
  <si>
    <t>RENAULTDOUAIFA6</t>
  </si>
  <si>
    <t xml:space="preserve">RENAULT DOUAI </t>
  </si>
  <si>
    <t>AV GEEL</t>
  </si>
  <si>
    <t>BRIOT BERNARD</t>
  </si>
  <si>
    <t>BTCGEELFA</t>
  </si>
  <si>
    <t>BTC GEEL</t>
  </si>
  <si>
    <t>ROHENHENRICHAPELLE</t>
  </si>
  <si>
    <t>ROHEN HENRI CHAPELLE</t>
  </si>
  <si>
    <t>EP-VK-PLA 35 DR / D</t>
  </si>
  <si>
    <t>EP-VK-PLA 35 NR / D</t>
  </si>
  <si>
    <t>EP-VK-PLA 5 DR / D</t>
  </si>
  <si>
    <t>EP-VK-PLA 5 NR / D AL</t>
  </si>
  <si>
    <t>PLA 35 DR D</t>
  </si>
  <si>
    <t>PLA 5 DR D</t>
  </si>
  <si>
    <t>PLA 5 NR D</t>
  </si>
  <si>
    <t>Werkelijkeleverdatum</t>
  </si>
  <si>
    <t>Alternatiefartikelnummer</t>
  </si>
  <si>
    <t>SJEGERS</t>
  </si>
  <si>
    <t>S'JEGERS</t>
  </si>
  <si>
    <t>DCONINCKHERENT</t>
  </si>
  <si>
    <t>DE CONINCK HERENT</t>
  </si>
  <si>
    <t>usb.txt deleted</t>
  </si>
  <si>
    <t>kzb33-logfiles</t>
  </si>
  <si>
    <t>PLA 35 NR D</t>
  </si>
  <si>
    <t>13-2-2019</t>
  </si>
  <si>
    <t>LET USER</t>
  </si>
  <si>
    <t>nummers.txt ok</t>
  </si>
  <si>
    <t>DEALBI</t>
  </si>
  <si>
    <t>3329,00</t>
  </si>
  <si>
    <t>binnenland</t>
  </si>
  <si>
    <t>pdf</t>
  </si>
  <si>
    <t>default geen</t>
  </si>
  <si>
    <t>PDF</t>
  </si>
  <si>
    <t>LET(J:)</t>
  </si>
  <si>
    <t>USBstick gescant</t>
  </si>
  <si>
    <t>160390_01-D2N01B OPERATORHANDBOEK.pdf</t>
  </si>
  <si>
    <t>160390_01-D2F01A MANUEL D’UTILISATEUR.pdf</t>
  </si>
  <si>
    <t>KB190033</t>
  </si>
  <si>
    <t>20190169 - Stefaan Tavernier</t>
  </si>
  <si>
    <t>Email 5.02.2019</t>
  </si>
  <si>
    <t>KB190033.001</t>
  </si>
  <si>
    <t>Gar. Tavernier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</si>
</sst>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/mm/yyyy"/>
    <numFmt numFmtId="165" formatCode="dd"/>
    <numFmt numFmtId="166" formatCode="mmm"/>
    <numFmt numFmtId="167" formatCode="#,##0.00&quot; &quot;[$€-813];[Red]&quot;-&quot;#,##0.00&quot; &quot;[$€-813]"/>
  </numFmts>
  <fonts count="22">
    <font>
      <sz val="11"/>
      <color rgb="FF000000"/>
      <name val="Arial1"/>
    </font>
    <font>
      <sz val="11"/>
      <color rgb="FF000000"/>
      <name val="Arial1"/>
    </font>
    <font>
      <b/>
      <sz val="11"/>
      <color rgb="FF00FF00"/>
      <name val="Arial1"/>
    </font>
    <font>
      <sz val="8"/>
      <color rgb="FF00FF00"/>
      <name val="Arial1"/>
    </font>
    <font>
      <b/>
      <sz val="10"/>
      <color rgb="FF00FF00"/>
      <name val="Arial2"/>
    </font>
    <font>
      <b/>
      <i/>
      <sz val="16"/>
      <color rgb="FF000000"/>
      <name val="Arial1"/>
    </font>
    <font>
      <b/>
      <i/>
      <u/>
      <sz val="11"/>
      <color rgb="FF000000"/>
      <name val="Arial1"/>
    </font>
    <font>
      <b/>
      <sz val="20"/>
      <color rgb="FF000000"/>
      <name val="Arial2"/>
    </font>
    <font>
      <b/>
      <sz val="50"/>
      <color rgb="FF000000"/>
      <name val="Arial2"/>
    </font>
    <font>
      <b/>
      <sz val="12"/>
      <color rgb="FF000000"/>
      <name val="Arial2"/>
    </font>
    <font>
      <b/>
      <sz val="36"/>
      <color rgb="FF000000"/>
      <name val="Arial2"/>
    </font>
    <font>
      <b/>
      <sz val="28"/>
      <color rgb="FF000000"/>
      <name val="Arial2"/>
    </font>
    <font>
      <b/>
      <sz val="18"/>
      <color rgb="FF000000"/>
      <name val="Arial2"/>
    </font>
    <font>
      <sz val="11"/>
      <color rgb="FFFF0000"/>
      <name val="Arial1"/>
    </font>
    <font>
      <sz val="11"/>
      <name val="Arial1"/>
    </font>
    <font>
      <b/>
      <sz val="11"/>
      <color rgb="FF000000"/>
      <name val="Arial1"/>
    </font>
    <font>
      <sz val="10"/>
      <color rgb="FF000000"/>
      <name val="Arial Unicode MS"/>
      <family val="2"/>
    </font>
    <font>
      <sz val="10"/>
      <color rgb="FF000000"/>
      <name val="Arial1"/>
    </font>
    <font>
      <sz val="8"/>
      <color rgb="FF000000"/>
      <name val="Arial1"/>
    </font>
    <font>
      <b/>
      <sz val="10"/>
      <color rgb="FF000000"/>
      <name val="Arial1"/>
    </font>
    <font>
      <sz val="11"/>
      <color rgb="FF00FF00"/>
      <name val="Arial1"/>
    </font>
    <font>
      <b/>
      <sz val="10"/>
      <color rgb="FFFF0000"/>
      <name val="Arial1"/>
    </font>
  </fonts>
  <fills count="2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E4CC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/>
    <xf numFmtId="0" fontId="2" fillId="0" borderId="0" applyNumberFormat="0" applyBorder="0" applyProtection="0"/>
    <xf numFmtId="164" fontId="3" fillId="0" borderId="0" applyBorder="0" applyProtection="0">
      <alignment horizontal="center"/>
    </xf>
    <xf numFmtId="165" fontId="4" fillId="0" borderId="1" applyProtection="0">
      <alignment horizontal="center"/>
    </xf>
    <xf numFmtId="166" fontId="3" fillId="0" borderId="0" applyBorder="0" applyProtection="0">
      <alignment horizontal="center"/>
    </xf>
    <xf numFmtId="0" fontId="5" fillId="0" borderId="0" applyNumberFormat="0" applyBorder="0" applyProtection="0">
      <alignment horizontal="center"/>
    </xf>
    <xf numFmtId="0" fontId="5" fillId="0" borderId="0" applyNumberFormat="0" applyBorder="0" applyProtection="0">
      <alignment horizontal="center" textRotation="90"/>
    </xf>
    <xf numFmtId="0" fontId="6" fillId="0" borderId="0" applyNumberFormat="0" applyBorder="0" applyProtection="0"/>
    <xf numFmtId="167" fontId="6" fillId="0" borderId="0" applyBorder="0" applyProtection="0"/>
    <xf numFmtId="164" fontId="3" fillId="0" borderId="0" applyBorder="0" applyProtection="0">
      <alignment horizontal="center"/>
    </xf>
    <xf numFmtId="165" fontId="1" fillId="0" borderId="0" applyFont="0" applyBorder="0" applyProtection="0"/>
    <xf numFmtId="166" fontId="3" fillId="0" borderId="0" applyBorder="0" applyProtection="0">
      <alignment horizontal="center"/>
    </xf>
  </cellStyleXfs>
  <cellXfs count="109">
    <xf numFmtId="0" fontId="0" fillId="0" borderId="0" xfId="0"/>
    <xf numFmtId="0" fontId="7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horizontal="center" vertical="center" wrapText="1"/>
    </xf>
    <xf numFmtId="0" fontId="0" fillId="0" borderId="2" xfId="0" applyBorder="1"/>
    <xf numFmtId="0" fontId="0" fillId="0" borderId="3" xfId="0" applyBorder="1"/>
    <xf numFmtId="0" fontId="7" fillId="0" borderId="5" xfId="0" applyFont="1" applyBorder="1" applyAlignment="1">
      <alignment vertical="center"/>
    </xf>
    <xf numFmtId="0" fontId="7" fillId="0" borderId="0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10" fillId="0" borderId="6" xfId="0" quotePrefix="1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4" fontId="0" fillId="0" borderId="0" xfId="0" applyNumberFormat="1"/>
    <xf numFmtId="3" fontId="0" fillId="0" borderId="0" xfId="0" applyNumberFormat="1"/>
    <xf numFmtId="49" fontId="0" fillId="0" borderId="0" xfId="0" applyNumberFormat="1"/>
    <xf numFmtId="0" fontId="11" fillId="0" borderId="6" xfId="0" quotePrefix="1" applyFont="1" applyBorder="1" applyAlignment="1">
      <alignment horizontal="center" vertical="center"/>
    </xf>
    <xf numFmtId="18" fontId="0" fillId="0" borderId="0" xfId="0" applyNumberFormat="1"/>
    <xf numFmtId="0" fontId="7" fillId="0" borderId="4" xfId="0" applyFont="1" applyFill="1" applyBorder="1" applyAlignment="1">
      <alignment horizontal="center" vertical="center"/>
    </xf>
    <xf numFmtId="0" fontId="11" fillId="0" borderId="4" xfId="0" quotePrefix="1" applyFont="1" applyBorder="1" applyAlignment="1">
      <alignment horizontal="center" vertical="center"/>
    </xf>
    <xf numFmtId="0" fontId="12" fillId="0" borderId="9" xfId="0" applyNumberFormat="1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2" borderId="0" xfId="0" applyFill="1" applyAlignment="1">
      <alignment horizontal="right"/>
    </xf>
    <xf numFmtId="0" fontId="0" fillId="2" borderId="0" xfId="0" applyFill="1"/>
    <xf numFmtId="0" fontId="0" fillId="3" borderId="0" xfId="0" applyFill="1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right"/>
    </xf>
    <xf numFmtId="0" fontId="0" fillId="5" borderId="0" xfId="0" applyFill="1"/>
    <xf numFmtId="0" fontId="0" fillId="6" borderId="0" xfId="0" applyFill="1" applyAlignment="1">
      <alignment horizontal="right"/>
    </xf>
    <xf numFmtId="0" fontId="0" fillId="6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15" fillId="2" borderId="0" xfId="0" applyFont="1" applyFill="1"/>
    <xf numFmtId="0" fontId="15" fillId="3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13" borderId="0" xfId="0" applyFill="1"/>
    <xf numFmtId="22" fontId="0" fillId="0" borderId="0" xfId="0" applyNumberFormat="1"/>
    <xf numFmtId="14" fontId="0" fillId="13" borderId="0" xfId="0" applyNumberFormat="1" applyFill="1"/>
    <xf numFmtId="0" fontId="0" fillId="14" borderId="0" xfId="0" applyFill="1"/>
    <xf numFmtId="0" fontId="0" fillId="0" borderId="11" xfId="0" applyBorder="1"/>
    <xf numFmtId="0" fontId="0" fillId="0" borderId="12" xfId="0" applyBorder="1"/>
    <xf numFmtId="22" fontId="0" fillId="0" borderId="12" xfId="0" applyNumberFormat="1" applyBorder="1"/>
    <xf numFmtId="0" fontId="0" fillId="0" borderId="13" xfId="0" applyBorder="1"/>
    <xf numFmtId="22" fontId="0" fillId="0" borderId="14" xfId="0" applyNumberFormat="1" applyBorder="1"/>
    <xf numFmtId="0" fontId="14" fillId="0" borderId="15" xfId="0" applyFont="1" applyBorder="1"/>
    <xf numFmtId="0" fontId="0" fillId="0" borderId="15" xfId="0" applyBorder="1"/>
    <xf numFmtId="0" fontId="0" fillId="0" borderId="16" xfId="0" applyBorder="1"/>
    <xf numFmtId="0" fontId="0" fillId="0" borderId="18" xfId="0" applyBorder="1"/>
    <xf numFmtId="0" fontId="0" fillId="0" borderId="17" xfId="0" applyBorder="1"/>
    <xf numFmtId="0" fontId="14" fillId="0" borderId="10" xfId="0" applyFont="1" applyBorder="1"/>
    <xf numFmtId="0" fontId="13" fillId="0" borderId="15" xfId="0" applyFont="1" applyBorder="1"/>
    <xf numFmtId="0" fontId="16" fillId="0" borderId="0" xfId="0" applyFont="1" applyAlignment="1">
      <alignment vertical="center"/>
    </xf>
    <xf numFmtId="0" fontId="0" fillId="13" borderId="0" xfId="0" quotePrefix="1" applyFill="1"/>
    <xf numFmtId="0" fontId="0" fillId="0" borderId="0" xfId="0" applyNumberFormat="1"/>
    <xf numFmtId="0" fontId="0" fillId="17" borderId="0" xfId="0" applyFill="1"/>
    <xf numFmtId="0" fontId="0" fillId="0" borderId="0" xfId="0" applyNumberFormat="1" applyAlignment="1">
      <alignment horizontal="left"/>
    </xf>
    <xf numFmtId="0" fontId="0" fillId="16" borderId="0" xfId="0" applyFill="1" applyAlignment="1">
      <alignment horizontal="left"/>
    </xf>
    <xf numFmtId="14" fontId="0" fillId="16" borderId="0" xfId="0" applyNumberFormat="1" applyFill="1" applyAlignment="1">
      <alignment horizontal="left"/>
    </xf>
    <xf numFmtId="0" fontId="0" fillId="0" borderId="0" xfId="0" applyAlignment="1">
      <alignment horizontal="lef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0" xfId="0" applyBorder="1"/>
    <xf numFmtId="0" fontId="0" fillId="17" borderId="11" xfId="0" applyFill="1" applyBorder="1"/>
    <xf numFmtId="0" fontId="0" fillId="17" borderId="0" xfId="0" applyFill="1" applyBorder="1"/>
    <xf numFmtId="0" fontId="0" fillId="17" borderId="12" xfId="0" applyFill="1" applyBorder="1"/>
    <xf numFmtId="0" fontId="0" fillId="18" borderId="0" xfId="0" applyFill="1"/>
    <xf numFmtId="0" fontId="18" fillId="2" borderId="0" xfId="0" applyFont="1" applyFill="1"/>
    <xf numFmtId="0" fontId="18" fillId="4" borderId="0" xfId="0" applyFont="1" applyFill="1"/>
    <xf numFmtId="0" fontId="17" fillId="14" borderId="0" xfId="0" applyFont="1" applyFill="1"/>
    <xf numFmtId="49" fontId="10" fillId="0" borderId="6" xfId="0" applyNumberFormat="1" applyFont="1" applyBorder="1" applyAlignment="1">
      <alignment horizontal="center" vertical="center"/>
    </xf>
    <xf numFmtId="0" fontId="0" fillId="20" borderId="0" xfId="0" applyFill="1"/>
    <xf numFmtId="0" fontId="0" fillId="10" borderId="0" xfId="0" applyFont="1" applyFill="1"/>
    <xf numFmtId="0" fontId="0" fillId="6" borderId="0" xfId="0" applyFont="1" applyFill="1"/>
    <xf numFmtId="0" fontId="0" fillId="18" borderId="0" xfId="0" applyFont="1" applyFill="1"/>
    <xf numFmtId="0" fontId="0" fillId="0" borderId="0" xfId="0" applyFont="1"/>
    <xf numFmtId="0" fontId="0" fillId="19" borderId="0" xfId="0" applyFont="1" applyFill="1" applyAlignment="1">
      <alignment horizontal="left"/>
    </xf>
    <xf numFmtId="14" fontId="0" fillId="19" borderId="0" xfId="0" applyNumberFormat="1" applyFont="1" applyFill="1" applyAlignment="1">
      <alignment horizontal="left"/>
    </xf>
    <xf numFmtId="0" fontId="0" fillId="0" borderId="0" xfId="0" applyFont="1" applyAlignment="1">
      <alignment horizontal="left"/>
    </xf>
    <xf numFmtId="0" fontId="18" fillId="7" borderId="0" xfId="0" applyFont="1" applyFill="1"/>
    <xf numFmtId="0" fontId="0" fillId="7" borderId="0" xfId="0" applyFill="1" applyAlignment="1">
      <alignment horizontal="left"/>
    </xf>
    <xf numFmtId="0" fontId="17" fillId="9" borderId="0" xfId="0" applyFont="1" applyFill="1"/>
    <xf numFmtId="0" fontId="15" fillId="0" borderId="22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10" borderId="0" xfId="0" applyFont="1" applyFill="1"/>
    <xf numFmtId="0" fontId="19" fillId="15" borderId="0" xfId="0" applyFont="1" applyFill="1"/>
    <xf numFmtId="0" fontId="20" fillId="16" borderId="0" xfId="0" applyFont="1" applyFill="1" applyAlignment="1">
      <alignment horizontal="left"/>
    </xf>
    <xf numFmtId="0" fontId="15" fillId="16" borderId="0" xfId="0" applyFont="1" applyFill="1" applyAlignment="1">
      <alignment horizontal="left"/>
    </xf>
    <xf numFmtId="0" fontId="0" fillId="21" borderId="0" xfId="0" applyFill="1"/>
    <xf numFmtId="0" fontId="0" fillId="21" borderId="0" xfId="0" applyFill="1" applyAlignment="1">
      <alignment horizontal="right"/>
    </xf>
    <xf numFmtId="0" fontId="0" fillId="21" borderId="0" xfId="0" applyFill="1" applyAlignment="1">
      <alignment horizontal="center"/>
    </xf>
    <xf numFmtId="0" fontId="14" fillId="21" borderId="0" xfId="0" applyFont="1" applyFill="1" applyAlignment="1">
      <alignment horizontal="center"/>
    </xf>
    <xf numFmtId="0" fontId="13" fillId="21" borderId="0" xfId="0" applyFont="1" applyFill="1" applyAlignment="1">
      <alignment horizontal="center"/>
    </xf>
    <xf numFmtId="0" fontId="0" fillId="5" borderId="0" xfId="0" applyFill="1" applyAlignment="1">
      <alignment horizontal="left"/>
    </xf>
    <xf numFmtId="0" fontId="0" fillId="16" borderId="0" xfId="0" quotePrefix="1" applyFill="1" applyAlignment="1">
      <alignment horizontal="left"/>
    </xf>
    <xf numFmtId="0" fontId="21" fillId="15" borderId="0" xfId="0" applyFont="1" applyFill="1"/>
  </cellXfs>
  <cellStyles count="12">
    <cellStyle name="Excel_CondFormat_1_1_1" xfId="1"/>
    <cellStyle name="groen datum" xfId="2"/>
    <cellStyle name="groen datum kort" xfId="3"/>
    <cellStyle name="groen maand" xfId="4"/>
    <cellStyle name="Heading" xfId="5"/>
    <cellStyle name="Heading1" xfId="6"/>
    <cellStyle name="Result" xfId="7"/>
    <cellStyle name="Result2" xfId="8"/>
    <cellStyle name="Standaard" xfId="0" builtinId="0" customBuiltin="1"/>
    <cellStyle name="zwart datum" xfId="9"/>
    <cellStyle name="zwart datum kort" xfId="10"/>
    <cellStyle name="zwart maand" xfId="11"/>
  </cellStyles>
  <dxfs count="0"/>
  <tableStyles count="0" defaultTableStyle="TableStyleMedium2" defaultPivotStyle="PivotStyleLight16"/>
  <colors>
    <mruColors>
      <color rgb="FFEE4CC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12" Type="http://schemas.openxmlformats.org/officeDocument/2006/relationships/image" Target="../media/image13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11" Type="http://schemas.openxmlformats.org/officeDocument/2006/relationships/image" Target="../media/image2.emf"/><Relationship Id="rId5" Type="http://schemas.openxmlformats.org/officeDocument/2006/relationships/image" Target="../media/image10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21.emf"/><Relationship Id="rId7" Type="http://schemas.openxmlformats.org/officeDocument/2006/relationships/image" Target="../media/image17.emf"/><Relationship Id="rId12" Type="http://schemas.openxmlformats.org/officeDocument/2006/relationships/image" Target="../media/image26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3.emf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image" Target="../media/image15.emf"/><Relationship Id="rId4" Type="http://schemas.openxmlformats.org/officeDocument/2006/relationships/image" Target="../media/image18.emf"/><Relationship Id="rId9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1</xdr:row>
          <xdr:rowOff>57150</xdr:rowOff>
        </xdr:from>
        <xdr:to>
          <xdr:col>10</xdr:col>
          <xdr:colOff>323850</xdr:colOff>
          <xdr:row>10</xdr:row>
          <xdr:rowOff>66675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581025</xdr:colOff>
          <xdr:row>24</xdr:row>
          <xdr:rowOff>114300</xdr:rowOff>
        </xdr:from>
        <xdr:to>
          <xdr:col>9</xdr:col>
          <xdr:colOff>152400</xdr:colOff>
          <xdr:row>26</xdr:row>
          <xdr:rowOff>57150</xdr:rowOff>
        </xdr:to>
        <xdr:sp macro="" textlink="">
          <xdr:nvSpPr>
            <xdr:cNvPr id="8193" name="KnopAnalyseer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171450</xdr:colOff>
          <xdr:row>24</xdr:row>
          <xdr:rowOff>123825</xdr:rowOff>
        </xdr:from>
        <xdr:to>
          <xdr:col>3</xdr:col>
          <xdr:colOff>1085850</xdr:colOff>
          <xdr:row>26</xdr:row>
          <xdr:rowOff>66675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26</xdr:row>
          <xdr:rowOff>171450</xdr:rowOff>
        </xdr:from>
        <xdr:to>
          <xdr:col>1</xdr:col>
          <xdr:colOff>2428875</xdr:colOff>
          <xdr:row>28</xdr:row>
          <xdr:rowOff>114300</xdr:rowOff>
        </xdr:to>
        <xdr:sp macro="" textlink="">
          <xdr:nvSpPr>
            <xdr:cNvPr id="8195" name="CommandButton2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23</xdr:row>
          <xdr:rowOff>47625</xdr:rowOff>
        </xdr:from>
        <xdr:to>
          <xdr:col>1</xdr:col>
          <xdr:colOff>2438400</xdr:colOff>
          <xdr:row>24</xdr:row>
          <xdr:rowOff>171450</xdr:rowOff>
        </xdr:to>
        <xdr:sp macro="" textlink="">
          <xdr:nvSpPr>
            <xdr:cNvPr id="8196" name="CommandButton3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1514475</xdr:colOff>
          <xdr:row>25</xdr:row>
          <xdr:rowOff>9525</xdr:rowOff>
        </xdr:from>
        <xdr:to>
          <xdr:col>1</xdr:col>
          <xdr:colOff>2428875</xdr:colOff>
          <xdr:row>26</xdr:row>
          <xdr:rowOff>133350</xdr:rowOff>
        </xdr:to>
        <xdr:sp macro="" textlink="">
          <xdr:nvSpPr>
            <xdr:cNvPr id="8197" name="CommandButton4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361950</xdr:colOff>
          <xdr:row>2</xdr:row>
          <xdr:rowOff>161925</xdr:rowOff>
        </xdr:from>
        <xdr:to>
          <xdr:col>13</xdr:col>
          <xdr:colOff>504825</xdr:colOff>
          <xdr:row>4</xdr:row>
          <xdr:rowOff>95250</xdr:rowOff>
        </xdr:to>
        <xdr:sp macro="" textlink="">
          <xdr:nvSpPr>
            <xdr:cNvPr id="8198" name="CommandButton5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1190625</xdr:colOff>
          <xdr:row>24</xdr:row>
          <xdr:rowOff>104775</xdr:rowOff>
        </xdr:from>
        <xdr:to>
          <xdr:col>4</xdr:col>
          <xdr:colOff>419100</xdr:colOff>
          <xdr:row>26</xdr:row>
          <xdr:rowOff>47625</xdr:rowOff>
        </xdr:to>
        <xdr:sp macro="" textlink="">
          <xdr:nvSpPr>
            <xdr:cNvPr id="8199" name="CommandButton6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9525</xdr:rowOff>
        </xdr:from>
        <xdr:to>
          <xdr:col>4</xdr:col>
          <xdr:colOff>171450</xdr:colOff>
          <xdr:row>29</xdr:row>
          <xdr:rowOff>133350</xdr:rowOff>
        </xdr:to>
        <xdr:sp macro="" textlink="">
          <xdr:nvSpPr>
            <xdr:cNvPr id="8200" name="ButtonPrintGeelBlad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1638300</xdr:colOff>
          <xdr:row>34</xdr:row>
          <xdr:rowOff>9525</xdr:rowOff>
        </xdr:from>
        <xdr:to>
          <xdr:col>5</xdr:col>
          <xdr:colOff>647700</xdr:colOff>
          <xdr:row>35</xdr:row>
          <xdr:rowOff>133350</xdr:rowOff>
        </xdr:to>
        <xdr:sp macro="" textlink="">
          <xdr:nvSpPr>
            <xdr:cNvPr id="8201" name="ButtonPrintGrootZilver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34</xdr:row>
          <xdr:rowOff>0</xdr:rowOff>
        </xdr:from>
        <xdr:to>
          <xdr:col>9</xdr:col>
          <xdr:colOff>857250</xdr:colOff>
          <xdr:row>35</xdr:row>
          <xdr:rowOff>133350</xdr:rowOff>
        </xdr:to>
        <xdr:sp macro="" textlink="">
          <xdr:nvSpPr>
            <xdr:cNvPr id="8202" name="ButtonWizardVirtueelSerienr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34</xdr:row>
          <xdr:rowOff>0</xdr:rowOff>
        </xdr:from>
        <xdr:to>
          <xdr:col>8</xdr:col>
          <xdr:colOff>76200</xdr:colOff>
          <xdr:row>35</xdr:row>
          <xdr:rowOff>123825</xdr:rowOff>
        </xdr:to>
        <xdr:sp macro="" textlink="">
          <xdr:nvSpPr>
            <xdr:cNvPr id="8203" name="CommandButton7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600075</xdr:colOff>
          <xdr:row>2</xdr:row>
          <xdr:rowOff>161925</xdr:rowOff>
        </xdr:from>
        <xdr:to>
          <xdr:col>15</xdr:col>
          <xdr:colOff>514350</xdr:colOff>
          <xdr:row>4</xdr:row>
          <xdr:rowOff>95250</xdr:rowOff>
        </xdr:to>
        <xdr:sp macro="" textlink="">
          <xdr:nvSpPr>
            <xdr:cNvPr id="8204" name="CommandButton8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19050</xdr:colOff>
      <xdr:row>6</xdr:row>
      <xdr:rowOff>76200</xdr:rowOff>
    </xdr:from>
    <xdr:to>
      <xdr:col>11</xdr:col>
      <xdr:colOff>1629586</xdr:colOff>
      <xdr:row>14</xdr:row>
      <xdr:rowOff>57349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972550" y="1162050"/>
          <a:ext cx="5811061" cy="1428949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6</xdr:row>
          <xdr:rowOff>57150</xdr:rowOff>
        </xdr:from>
        <xdr:to>
          <xdr:col>1</xdr:col>
          <xdr:colOff>1143000</xdr:colOff>
          <xdr:row>14</xdr:row>
          <xdr:rowOff>95250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6</xdr:row>
          <xdr:rowOff>171450</xdr:rowOff>
        </xdr:from>
        <xdr:to>
          <xdr:col>2</xdr:col>
          <xdr:colOff>295275</xdr:colOff>
          <xdr:row>10</xdr:row>
          <xdr:rowOff>171450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9</xdr:row>
          <xdr:rowOff>66675</xdr:rowOff>
        </xdr:from>
        <xdr:to>
          <xdr:col>6</xdr:col>
          <xdr:colOff>19050</xdr:colOff>
          <xdr:row>15</xdr:row>
          <xdr:rowOff>171450</xdr:rowOff>
        </xdr:to>
        <xdr:sp macro="" textlink="">
          <xdr:nvSpPr>
            <xdr:cNvPr id="2051" name="Command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1114425</xdr:colOff>
          <xdr:row>14</xdr:row>
          <xdr:rowOff>28575</xdr:rowOff>
        </xdr:from>
        <xdr:to>
          <xdr:col>2</xdr:col>
          <xdr:colOff>1152525</xdr:colOff>
          <xdr:row>21</xdr:row>
          <xdr:rowOff>142875</xdr:rowOff>
        </xdr:to>
        <xdr:sp macro="" textlink="">
          <xdr:nvSpPr>
            <xdr:cNvPr id="2052" name="Command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1800225</xdr:colOff>
          <xdr:row>24</xdr:row>
          <xdr:rowOff>57150</xdr:rowOff>
        </xdr:from>
        <xdr:to>
          <xdr:col>1</xdr:col>
          <xdr:colOff>1162050</xdr:colOff>
          <xdr:row>26</xdr:row>
          <xdr:rowOff>0</xdr:rowOff>
        </xdr:to>
        <xdr:sp macro="" textlink="">
          <xdr:nvSpPr>
            <xdr:cNvPr id="2053" name="CommandButton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1581150</xdr:colOff>
          <xdr:row>24</xdr:row>
          <xdr:rowOff>28575</xdr:rowOff>
        </xdr:from>
        <xdr:to>
          <xdr:col>2</xdr:col>
          <xdr:colOff>1457325</xdr:colOff>
          <xdr:row>25</xdr:row>
          <xdr:rowOff>152400</xdr:rowOff>
        </xdr:to>
        <xdr:sp macro="" textlink="">
          <xdr:nvSpPr>
            <xdr:cNvPr id="2054" name="CommandButton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1238250</xdr:colOff>
          <xdr:row>10</xdr:row>
          <xdr:rowOff>66675</xdr:rowOff>
        </xdr:from>
        <xdr:to>
          <xdr:col>2</xdr:col>
          <xdr:colOff>1266825</xdr:colOff>
          <xdr:row>13</xdr:row>
          <xdr:rowOff>76200</xdr:rowOff>
        </xdr:to>
        <xdr:sp macro="" textlink="">
          <xdr:nvSpPr>
            <xdr:cNvPr id="2056" name="CommandButton7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1</xdr:col>
          <xdr:colOff>1343025</xdr:colOff>
          <xdr:row>29</xdr:row>
          <xdr:rowOff>123825</xdr:rowOff>
        </xdr:to>
        <xdr:sp macro="" textlink="">
          <xdr:nvSpPr>
            <xdr:cNvPr id="2058" name="CommandButton9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1524000</xdr:colOff>
          <xdr:row>28</xdr:row>
          <xdr:rowOff>0</xdr:rowOff>
        </xdr:from>
        <xdr:to>
          <xdr:col>2</xdr:col>
          <xdr:colOff>904875</xdr:colOff>
          <xdr:row>29</xdr:row>
          <xdr:rowOff>123825</xdr:rowOff>
        </xdr:to>
        <xdr:sp macro="" textlink="">
          <xdr:nvSpPr>
            <xdr:cNvPr id="2059" name="CommandButton10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28</xdr:row>
          <xdr:rowOff>0</xdr:rowOff>
        </xdr:from>
        <xdr:to>
          <xdr:col>2</xdr:col>
          <xdr:colOff>2733675</xdr:colOff>
          <xdr:row>29</xdr:row>
          <xdr:rowOff>123825</xdr:rowOff>
        </xdr:to>
        <xdr:sp macro="" textlink="">
          <xdr:nvSpPr>
            <xdr:cNvPr id="2060" name="CommandButton8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1323975</xdr:colOff>
          <xdr:row>6</xdr:row>
          <xdr:rowOff>142875</xdr:rowOff>
        </xdr:from>
        <xdr:to>
          <xdr:col>2</xdr:col>
          <xdr:colOff>2762250</xdr:colOff>
          <xdr:row>8</xdr:row>
          <xdr:rowOff>85725</xdr:rowOff>
        </xdr:to>
        <xdr:sp macro="" textlink="">
          <xdr:nvSpPr>
            <xdr:cNvPr id="2063" name="CommandButton11" hidden="1">
              <a:extLst>
                <a:ext uri="{63B3BB69-23CF-44E3-9099-C40C66FF867C}">
                  <a14:compatExt spid="_x0000_s2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31</xdr:row>
          <xdr:rowOff>9525</xdr:rowOff>
        </xdr:from>
        <xdr:to>
          <xdr:col>7</xdr:col>
          <xdr:colOff>1028700</xdr:colOff>
          <xdr:row>32</xdr:row>
          <xdr:rowOff>142875</xdr:rowOff>
        </xdr:to>
        <xdr:sp macro="" textlink="">
          <xdr:nvSpPr>
            <xdr:cNvPr id="2064" name="CommandButton12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26" Type="http://schemas.openxmlformats.org/officeDocument/2006/relationships/control" Target="../activeX/activeX1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24" Type="http://schemas.openxmlformats.org/officeDocument/2006/relationships/control" Target="../activeX/activeX12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ontrol" Target="../activeX/activeX11.xml"/><Relationship Id="rId27" Type="http://schemas.openxmlformats.org/officeDocument/2006/relationships/image" Target="../media/image1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13" Type="http://schemas.openxmlformats.org/officeDocument/2006/relationships/image" Target="../media/image19.emf"/><Relationship Id="rId18" Type="http://schemas.openxmlformats.org/officeDocument/2006/relationships/control" Target="../activeX/activeX21.xml"/><Relationship Id="rId26" Type="http://schemas.openxmlformats.org/officeDocument/2006/relationships/control" Target="../activeX/activeX25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23.emf"/><Relationship Id="rId7" Type="http://schemas.openxmlformats.org/officeDocument/2006/relationships/image" Target="../media/image16.emf"/><Relationship Id="rId12" Type="http://schemas.openxmlformats.org/officeDocument/2006/relationships/control" Target="../activeX/activeX18.xml"/><Relationship Id="rId17" Type="http://schemas.openxmlformats.org/officeDocument/2006/relationships/image" Target="../media/image21.emf"/><Relationship Id="rId25" Type="http://schemas.openxmlformats.org/officeDocument/2006/relationships/image" Target="../media/image25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20.xml"/><Relationship Id="rId20" Type="http://schemas.openxmlformats.org/officeDocument/2006/relationships/control" Target="../activeX/activeX2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5.xml"/><Relationship Id="rId11" Type="http://schemas.openxmlformats.org/officeDocument/2006/relationships/image" Target="../media/image18.emf"/><Relationship Id="rId24" Type="http://schemas.openxmlformats.org/officeDocument/2006/relationships/control" Target="../activeX/activeX24.xml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23" Type="http://schemas.openxmlformats.org/officeDocument/2006/relationships/image" Target="../media/image24.emf"/><Relationship Id="rId10" Type="http://schemas.openxmlformats.org/officeDocument/2006/relationships/control" Target="../activeX/activeX17.xml"/><Relationship Id="rId19" Type="http://schemas.openxmlformats.org/officeDocument/2006/relationships/image" Target="../media/image22.emf"/><Relationship Id="rId4" Type="http://schemas.openxmlformats.org/officeDocument/2006/relationships/control" Target="../activeX/activeX14.xml"/><Relationship Id="rId9" Type="http://schemas.openxmlformats.org/officeDocument/2006/relationships/image" Target="../media/image17.emf"/><Relationship Id="rId14" Type="http://schemas.openxmlformats.org/officeDocument/2006/relationships/control" Target="../activeX/activeX19.xml"/><Relationship Id="rId22" Type="http://schemas.openxmlformats.org/officeDocument/2006/relationships/control" Target="../activeX/activeX23.xml"/><Relationship Id="rId27" Type="http://schemas.openxmlformats.org/officeDocument/2006/relationships/image" Target="../media/image2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2:C11"/>
  <sheetViews>
    <sheetView zoomScale="90" zoomScaleNormal="90" workbookViewId="0">
      <selection activeCell="C4" sqref="C4"/>
    </sheetView>
  </sheetViews>
  <sheetFormatPr defaultRowHeight="14.25"/>
  <cols>
    <col min="1" max="1" width="13.625" customWidth="1"/>
    <col min="2" max="2" width="13.875" customWidth="1"/>
    <col min="3" max="3" width="85.5" customWidth="1"/>
    <col min="4" max="4" width="9" customWidth="1"/>
  </cols>
  <sheetData>
    <row r="2" spans="1:3" ht="59.25" customHeight="1">
      <c r="A2" s="4"/>
      <c r="B2" s="5"/>
      <c r="C2" s="20" t="str">
        <f>Blad2!$B$25</f>
        <v>Gar. Tavernier</v>
      </c>
    </row>
    <row r="3" spans="1:3" ht="59.25" customHeight="1">
      <c r="A3" s="6" t="s">
        <v>0</v>
      </c>
      <c r="B3" s="3"/>
      <c r="C3" s="17" t="str">
        <f>Blad2!$B$26</f>
        <v xml:space="preserve"> </v>
      </c>
    </row>
    <row r="4" spans="1:3" ht="59.25" customHeight="1">
      <c r="A4" s="6"/>
      <c r="B4" s="3"/>
      <c r="C4" s="17" t="str">
        <f>Blad2!$B$28</f>
        <v xml:space="preserve">PW EQUIPMENT </v>
      </c>
    </row>
    <row r="5" spans="1:3" ht="54.2" customHeight="1">
      <c r="A5" s="6" t="s">
        <v>1</v>
      </c>
      <c r="B5" s="7"/>
      <c r="C5" s="83">
        <f>Blad2!$B$8</f>
        <v>20190169</v>
      </c>
    </row>
    <row r="6" spans="1:3" ht="54.2" customHeight="1">
      <c r="A6" s="6" t="s">
        <v>2</v>
      </c>
      <c r="B6" s="7"/>
      <c r="C6" s="12" t="str">
        <f>Blad2!$B$9</f>
        <v>KB190033</v>
      </c>
    </row>
    <row r="7" spans="1:3" ht="45">
      <c r="A7" s="8" t="s">
        <v>3</v>
      </c>
      <c r="B7" s="9"/>
      <c r="C7" s="13" t="s">
        <v>6</v>
      </c>
    </row>
    <row r="8" spans="1:3" ht="30.75" customHeight="1">
      <c r="A8" s="1"/>
      <c r="B8" s="1"/>
      <c r="C8" s="2"/>
    </row>
    <row r="9" spans="1:3" ht="26.25">
      <c r="A9" s="10" t="s">
        <v>4</v>
      </c>
      <c r="B9" s="11"/>
      <c r="C9" s="19" t="str">
        <f>Blad2!$B$17</f>
        <v>PLA 35 DR</v>
      </c>
    </row>
    <row r="10" spans="1:3" ht="40.15" customHeight="1">
      <c r="A10" s="8" t="s">
        <v>5</v>
      </c>
      <c r="B10" s="9"/>
      <c r="C10" s="21" t="str">
        <f>Blad2!$B$12 &amp; " " &amp;Blad2!$B$27</f>
        <v xml:space="preserve">1 </v>
      </c>
    </row>
    <row r="11" spans="1:3" ht="15">
      <c r="C11" s="95" t="str">
        <f>Blad2!B31</f>
        <v xml:space="preserve"> </v>
      </c>
    </row>
  </sheetData>
  <pageMargins left="0.74803149606299213" right="0.74803149606299213" top="0.77519685039370101" bottom="1.0236220472440942" header="0.73543307086614196" footer="0.98385826771653495"/>
  <pageSetup paperSize="9" scale="98" fitToWidth="0" fitToHeight="0" pageOrder="overThenDown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print="0" autoLine="0" autoPict="0" r:id="rId5">
            <anchor moveWithCells="1">
              <from>
                <xdr:col>3</xdr:col>
                <xdr:colOff>85725</xdr:colOff>
                <xdr:row>1</xdr:row>
                <xdr:rowOff>57150</xdr:rowOff>
              </from>
              <to>
                <xdr:col>10</xdr:col>
                <xdr:colOff>323850</xdr:colOff>
                <xdr:row>10</xdr:row>
                <xdr:rowOff>66675</xdr:rowOff>
              </to>
            </anchor>
          </controlPr>
        </control>
      </mc:Choice>
      <mc:Fallback>
        <control shapeId="1026" r:id="rId4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>
    <tabColor rgb="FFFF0000"/>
  </sheetPr>
  <dimension ref="A1:AV122"/>
  <sheetViews>
    <sheetView tabSelected="1" workbookViewId="0">
      <selection activeCell="J8" sqref="J8"/>
    </sheetView>
  </sheetViews>
  <sheetFormatPr defaultRowHeight="14.25"/>
  <cols>
    <col min="1" max="1" width="18" customWidth="1"/>
    <col min="2" max="2" width="35.25" style="71" customWidth="1"/>
    <col min="3" max="3" width="2.625" style="71" customWidth="1"/>
    <col min="4" max="4" width="22.125" bestFit="1" customWidth="1"/>
    <col min="5" max="5" width="11.125" bestFit="1" customWidth="1"/>
    <col min="6" max="6" width="10.5" bestFit="1" customWidth="1"/>
    <col min="7" max="7" width="9.875" bestFit="1" customWidth="1"/>
    <col min="8" max="8" width="9.75" bestFit="1" customWidth="1"/>
    <col min="9" max="9" width="14" customWidth="1"/>
    <col min="10" max="10" width="14.375" customWidth="1"/>
    <col min="11" max="11" width="18.875" customWidth="1"/>
    <col min="12" max="12" width="6.25" customWidth="1"/>
    <col min="13" max="13" width="17.75" bestFit="1" customWidth="1"/>
    <col min="14" max="14" width="13.125" bestFit="1" customWidth="1"/>
    <col min="31" max="31" width="21.375" customWidth="1"/>
    <col min="44" max="44" width="13" customWidth="1"/>
  </cols>
  <sheetData>
    <row r="1" spans="1:48" s="66" customFormat="1" ht="15">
      <c r="A1" s="64" t="s">
        <v>219</v>
      </c>
      <c r="B1" s="68" t="s">
        <v>220</v>
      </c>
      <c r="C1" s="68" t="s">
        <v>221</v>
      </c>
      <c r="D1" s="66" t="s">
        <v>222</v>
      </c>
      <c r="E1" s="66" t="s">
        <v>223</v>
      </c>
      <c r="F1" s="66" t="s">
        <v>224</v>
      </c>
      <c r="G1" s="66" t="s">
        <v>225</v>
      </c>
      <c r="H1" s="66" t="s">
        <v>226</v>
      </c>
      <c r="I1" s="66" t="s">
        <v>227</v>
      </c>
      <c r="J1" s="66" t="s">
        <v>228</v>
      </c>
      <c r="K1" s="66" t="s">
        <v>229</v>
      </c>
      <c r="L1" s="66" t="s">
        <v>230</v>
      </c>
      <c r="M1" s="66" t="s">
        <v>231</v>
      </c>
      <c r="N1" s="66" t="s">
        <v>232</v>
      </c>
      <c r="O1" s="66" t="s">
        <v>233</v>
      </c>
      <c r="P1" s="66" t="s">
        <v>234</v>
      </c>
      <c r="Q1" s="66" t="s">
        <v>235</v>
      </c>
      <c r="R1" s="66" t="s">
        <v>236</v>
      </c>
      <c r="S1" s="66" t="s">
        <v>237</v>
      </c>
      <c r="T1" s="66" t="s">
        <v>238</v>
      </c>
      <c r="U1" s="66" t="s">
        <v>239</v>
      </c>
      <c r="V1" s="66" t="s">
        <v>240</v>
      </c>
      <c r="W1" s="66" t="s">
        <v>241</v>
      </c>
      <c r="X1" s="66" t="s">
        <v>242</v>
      </c>
      <c r="Y1" s="66" t="s">
        <v>243</v>
      </c>
      <c r="Z1" s="66" t="s">
        <v>244</v>
      </c>
      <c r="AA1" s="66" t="s">
        <v>7</v>
      </c>
      <c r="AB1" s="66" t="s">
        <v>8</v>
      </c>
      <c r="AC1" s="66" t="s">
        <v>9</v>
      </c>
      <c r="AD1" s="66" t="s">
        <v>10</v>
      </c>
      <c r="AE1" s="66" t="s">
        <v>11</v>
      </c>
      <c r="AF1" s="66" t="s">
        <v>12</v>
      </c>
      <c r="AG1" s="66" t="s">
        <v>13</v>
      </c>
      <c r="AH1" s="66" t="s">
        <v>14</v>
      </c>
      <c r="AI1" s="66" t="s">
        <v>15</v>
      </c>
      <c r="AJ1" s="66" t="s">
        <v>16</v>
      </c>
      <c r="AK1" s="66" t="s">
        <v>17</v>
      </c>
      <c r="AL1" s="66" t="s">
        <v>18</v>
      </c>
      <c r="AM1" s="66" t="s">
        <v>19</v>
      </c>
      <c r="AN1" s="66" t="s">
        <v>20</v>
      </c>
      <c r="AO1" s="66" t="s">
        <v>21</v>
      </c>
      <c r="AP1" s="66" t="s">
        <v>22</v>
      </c>
      <c r="AQ1" s="66" t="s">
        <v>23</v>
      </c>
      <c r="AR1" s="66" t="s">
        <v>24</v>
      </c>
      <c r="AS1" s="66" t="s">
        <v>25</v>
      </c>
      <c r="AT1" s="66" t="s">
        <v>26</v>
      </c>
      <c r="AU1" s="66" t="s">
        <v>403</v>
      </c>
      <c r="AV1" s="66" t="s">
        <v>404</v>
      </c>
    </row>
    <row r="2" spans="1:48" s="66" customFormat="1">
      <c r="A2" s="96" t="s">
        <v>425</v>
      </c>
      <c r="B2" s="68" t="s">
        <v>95</v>
      </c>
      <c r="C2" s="68"/>
      <c r="E2" s="14">
        <v>43587</v>
      </c>
      <c r="F2" s="14">
        <v>43802</v>
      </c>
      <c r="G2" s="14">
        <v>43587</v>
      </c>
      <c r="H2" s="14">
        <v>43587</v>
      </c>
      <c r="I2" s="66" t="s">
        <v>426</v>
      </c>
      <c r="J2" s="66" t="s">
        <v>427</v>
      </c>
      <c r="K2" s="66" t="s">
        <v>246</v>
      </c>
      <c r="L2" s="66" t="s">
        <v>247</v>
      </c>
      <c r="M2" s="66" t="s">
        <v>257</v>
      </c>
      <c r="N2" s="66" t="s">
        <v>284</v>
      </c>
      <c r="O2" s="66" t="s">
        <v>248</v>
      </c>
      <c r="P2" s="66" t="s">
        <v>307</v>
      </c>
      <c r="R2" s="66" t="s">
        <v>188</v>
      </c>
      <c r="S2" s="66" t="s">
        <v>249</v>
      </c>
      <c r="T2" s="15">
        <v>33290000</v>
      </c>
      <c r="U2" s="66" t="s">
        <v>249</v>
      </c>
      <c r="V2" s="66" t="s">
        <v>373</v>
      </c>
      <c r="W2" s="66" t="s">
        <v>250</v>
      </c>
      <c r="X2" s="66" t="s">
        <v>286</v>
      </c>
      <c r="Z2" s="66">
        <v>34050</v>
      </c>
      <c r="AA2" s="66" t="s">
        <v>415</v>
      </c>
      <c r="AB2" s="66">
        <v>20190169</v>
      </c>
      <c r="AC2" s="66" t="s">
        <v>416</v>
      </c>
      <c r="AD2" s="66">
        <v>0</v>
      </c>
      <c r="AE2" s="101" t="s">
        <v>34</v>
      </c>
      <c r="AF2" s="66">
        <v>0</v>
      </c>
      <c r="AG2" s="66">
        <v>1</v>
      </c>
      <c r="AH2" s="66">
        <v>0</v>
      </c>
      <c r="AI2" s="66">
        <v>0</v>
      </c>
      <c r="AJ2" s="66">
        <v>0</v>
      </c>
      <c r="AK2" s="66">
        <v>0</v>
      </c>
      <c r="AL2" s="66">
        <v>0</v>
      </c>
      <c r="AM2" s="66">
        <v>0</v>
      </c>
      <c r="AN2" s="66">
        <v>0</v>
      </c>
      <c r="AO2" s="66">
        <v>0</v>
      </c>
      <c r="AP2" s="66">
        <v>6</v>
      </c>
      <c r="AR2" s="14" t="s">
        <v>280</v>
      </c>
      <c r="AS2" s="66" t="s">
        <v>188</v>
      </c>
      <c r="AT2" s="66">
        <v>0</v>
      </c>
      <c r="AU2" s="14">
        <v>43587</v>
      </c>
      <c r="AV2" s="66" t="str">
        <f>"0000000354820"</f>
        <v>0000000354820</v>
      </c>
    </row>
    <row r="3" spans="1:48" s="66" customFormat="1" ht="15">
      <c r="A3" s="64"/>
      <c r="B3"/>
      <c r="C3"/>
      <c r="E3" s="14"/>
      <c r="F3" s="14"/>
      <c r="G3" s="14"/>
      <c r="H3" s="14"/>
      <c r="AR3" s="14"/>
    </row>
    <row r="4" spans="1:48" s="66" customFormat="1">
      <c r="A4" s="84" t="s">
        <v>353</v>
      </c>
      <c r="B4" s="41" t="s">
        <v>410</v>
      </c>
      <c r="C4" s="41"/>
      <c r="E4" s="14"/>
      <c r="F4" s="14"/>
      <c r="G4" s="14"/>
      <c r="H4" s="14"/>
      <c r="AR4" s="14"/>
    </row>
    <row r="5" spans="1:48" s="66" customFormat="1">
      <c r="A5" s="84" t="s">
        <v>359</v>
      </c>
      <c r="B5" s="41">
        <v>7</v>
      </c>
      <c r="C5" s="41"/>
    </row>
    <row r="6" spans="1:48">
      <c r="A6" s="84" t="s">
        <v>360</v>
      </c>
      <c r="B6" s="41" t="s">
        <v>363</v>
      </c>
      <c r="C6" s="41"/>
      <c r="D6" s="81" t="s">
        <v>348</v>
      </c>
      <c r="E6" s="81" t="s">
        <v>349</v>
      </c>
      <c r="F6" s="81" t="s">
        <v>349</v>
      </c>
      <c r="G6" s="80" t="s">
        <v>350</v>
      </c>
      <c r="H6" s="80" t="s">
        <v>342</v>
      </c>
      <c r="I6" s="92" t="s">
        <v>362</v>
      </c>
      <c r="J6" s="31" t="s">
        <v>358</v>
      </c>
      <c r="K6" s="31" t="s">
        <v>358</v>
      </c>
      <c r="L6" s="31" t="s">
        <v>358</v>
      </c>
      <c r="M6" s="79" t="s">
        <v>357</v>
      </c>
      <c r="N6" s="79" t="s">
        <v>357</v>
      </c>
      <c r="O6" s="79" t="s">
        <v>357</v>
      </c>
      <c r="P6" s="79" t="s">
        <v>357</v>
      </c>
      <c r="Q6" s="79"/>
    </row>
    <row r="7" spans="1:48">
      <c r="A7" s="84" t="s">
        <v>361</v>
      </c>
      <c r="B7" s="41" t="s">
        <v>364</v>
      </c>
      <c r="C7" s="85"/>
      <c r="D7" s="81" t="s">
        <v>73</v>
      </c>
      <c r="E7" s="81" t="s">
        <v>428</v>
      </c>
      <c r="F7" s="81" t="s">
        <v>419</v>
      </c>
      <c r="G7" s="80" t="s">
        <v>413</v>
      </c>
      <c r="H7" s="80" t="s">
        <v>428</v>
      </c>
      <c r="I7" s="108" t="s">
        <v>420</v>
      </c>
      <c r="J7" s="86" t="s">
        <v>421</v>
      </c>
      <c r="K7" s="86" t="s">
        <v>422</v>
      </c>
      <c r="L7" s="86"/>
      <c r="M7" s="87" t="s">
        <v>423</v>
      </c>
      <c r="N7" s="87" t="s">
        <v>424</v>
      </c>
      <c r="O7" s="87"/>
      <c r="P7" s="87"/>
      <c r="Q7" s="87"/>
      <c r="R7" s="88"/>
      <c r="S7" s="88"/>
      <c r="T7" s="88"/>
      <c r="U7" s="88"/>
      <c r="V7" s="88"/>
      <c r="W7" s="88"/>
      <c r="X7" s="88"/>
      <c r="Y7" s="88"/>
      <c r="Z7" s="88"/>
      <c r="AA7" s="88"/>
    </row>
    <row r="8" spans="1:48">
      <c r="A8" s="94" t="s">
        <v>324</v>
      </c>
      <c r="B8" s="69">
        <v>20190169</v>
      </c>
      <c r="C8" s="89"/>
      <c r="D8" s="81"/>
      <c r="E8" s="81"/>
      <c r="F8" s="81"/>
      <c r="G8" s="80"/>
      <c r="H8" s="80"/>
      <c r="I8" s="98"/>
      <c r="J8" s="86"/>
      <c r="K8" s="86"/>
      <c r="L8" s="86"/>
      <c r="M8" s="87"/>
      <c r="N8" s="87"/>
      <c r="O8" s="87"/>
      <c r="P8" s="87"/>
      <c r="Q8" s="87"/>
      <c r="R8" s="88"/>
      <c r="S8" s="88"/>
      <c r="T8" s="88"/>
      <c r="U8" s="88"/>
      <c r="V8" s="88"/>
      <c r="W8" s="88"/>
      <c r="X8" s="88"/>
      <c r="Y8" s="88"/>
      <c r="Z8" s="88"/>
      <c r="AA8" s="88"/>
    </row>
    <row r="9" spans="1:48" ht="15">
      <c r="A9" s="94" t="s">
        <v>246</v>
      </c>
      <c r="B9" s="100" t="s">
        <v>425</v>
      </c>
      <c r="C9" s="89"/>
      <c r="D9" s="81"/>
      <c r="E9" s="81"/>
      <c r="F9" s="81"/>
      <c r="G9" s="80"/>
      <c r="H9" s="80"/>
      <c r="I9" s="98"/>
      <c r="J9" s="86"/>
      <c r="K9" s="86"/>
      <c r="L9" s="86"/>
      <c r="M9" s="87"/>
      <c r="N9" s="87"/>
      <c r="O9" s="87"/>
      <c r="P9" s="87"/>
      <c r="Q9" s="87"/>
      <c r="R9" s="88"/>
      <c r="S9" s="88"/>
      <c r="T9" s="88"/>
      <c r="U9" s="88"/>
      <c r="V9" s="88"/>
      <c r="W9" s="88"/>
      <c r="X9" s="88"/>
      <c r="Y9" s="88"/>
      <c r="Z9" s="88"/>
      <c r="AA9" s="88"/>
    </row>
    <row r="10" spans="1:48">
      <c r="A10" s="82" t="s">
        <v>325</v>
      </c>
      <c r="B10" s="69" t="s">
        <v>95</v>
      </c>
      <c r="C10" s="89"/>
      <c r="D10" s="81"/>
      <c r="E10" s="81"/>
      <c r="F10" s="81"/>
      <c r="G10" s="80"/>
      <c r="H10" s="80"/>
      <c r="I10" s="98"/>
      <c r="J10" s="86"/>
      <c r="K10" s="86"/>
      <c r="L10" s="86"/>
      <c r="M10" s="87"/>
      <c r="N10" s="87"/>
      <c r="O10" s="87"/>
      <c r="P10" s="87"/>
      <c r="Q10" s="87"/>
      <c r="R10" s="88"/>
      <c r="S10" s="88"/>
      <c r="T10" s="88"/>
      <c r="U10" s="88"/>
      <c r="V10" s="88"/>
      <c r="W10" s="88"/>
      <c r="X10" s="88"/>
      <c r="Y10" s="88"/>
      <c r="Z10" s="88"/>
      <c r="AA10" s="88"/>
    </row>
    <row r="11" spans="1:48">
      <c r="A11" s="82" t="s">
        <v>326</v>
      </c>
      <c r="B11" s="69" t="s">
        <v>34</v>
      </c>
      <c r="C11" s="89"/>
      <c r="D11" s="81"/>
      <c r="E11" s="81"/>
      <c r="F11" s="81"/>
      <c r="G11" s="80"/>
      <c r="H11" s="80"/>
      <c r="I11" s="98"/>
      <c r="J11" s="86"/>
      <c r="K11" s="86"/>
      <c r="L11" s="86"/>
      <c r="M11" s="87"/>
      <c r="N11" s="87"/>
      <c r="O11" s="87"/>
      <c r="P11" s="87"/>
      <c r="Q11" s="87"/>
      <c r="R11" s="88"/>
      <c r="S11" s="88"/>
      <c r="T11" s="88"/>
      <c r="U11" s="88"/>
      <c r="V11" s="88"/>
      <c r="W11" s="88"/>
      <c r="X11" s="88"/>
      <c r="Y11" s="88"/>
      <c r="Z11" s="88"/>
      <c r="AA11" s="88"/>
    </row>
    <row r="12" spans="1:48">
      <c r="A12" s="94" t="s">
        <v>329</v>
      </c>
      <c r="B12" s="69">
        <v>1</v>
      </c>
      <c r="C12" s="89"/>
      <c r="D12" s="81"/>
      <c r="E12" s="81"/>
      <c r="F12" s="81"/>
      <c r="G12" s="80"/>
      <c r="H12" s="80"/>
      <c r="I12" s="98"/>
      <c r="J12" s="86"/>
      <c r="K12" s="86"/>
      <c r="L12" s="86"/>
      <c r="M12" s="87"/>
      <c r="N12" s="87"/>
      <c r="O12" s="87"/>
      <c r="P12" s="87"/>
      <c r="Q12" s="87"/>
      <c r="R12" s="88"/>
      <c r="S12" s="88"/>
      <c r="T12" s="88"/>
      <c r="U12" s="88"/>
      <c r="V12" s="88"/>
      <c r="W12" s="88"/>
      <c r="X12" s="88"/>
      <c r="Y12" s="88"/>
      <c r="Z12" s="88"/>
      <c r="AA12" s="88"/>
    </row>
    <row r="13" spans="1:48">
      <c r="A13" s="82" t="s">
        <v>339</v>
      </c>
      <c r="B13" s="69" t="s">
        <v>415</v>
      </c>
      <c r="C13" s="89"/>
      <c r="D13" s="81"/>
      <c r="E13" s="81"/>
      <c r="F13" s="81"/>
      <c r="G13" s="80"/>
      <c r="H13" s="80"/>
      <c r="I13" s="98"/>
      <c r="J13" s="86"/>
      <c r="K13" s="86"/>
      <c r="L13" s="86"/>
      <c r="M13" s="87"/>
      <c r="N13" s="87"/>
      <c r="O13" s="87"/>
      <c r="P13" s="87"/>
      <c r="Q13" s="87"/>
      <c r="R13" s="88"/>
      <c r="S13" s="88"/>
      <c r="T13" s="88"/>
      <c r="U13" s="88"/>
      <c r="V13" s="88"/>
      <c r="W13" s="88"/>
      <c r="X13" s="88"/>
      <c r="Y13" s="88"/>
      <c r="Z13" s="88"/>
      <c r="AA13" s="88"/>
    </row>
    <row r="14" spans="1:48">
      <c r="A14" s="82" t="s">
        <v>333</v>
      </c>
      <c r="B14" s="69" t="s">
        <v>343</v>
      </c>
      <c r="C14" s="89"/>
      <c r="D14" s="81"/>
      <c r="E14" s="81"/>
      <c r="F14" s="81"/>
      <c r="G14" s="80"/>
      <c r="H14" s="80"/>
      <c r="I14" s="98"/>
      <c r="J14" s="86"/>
      <c r="K14" s="86"/>
      <c r="L14" s="86"/>
      <c r="M14" s="87"/>
      <c r="N14" s="87"/>
      <c r="O14" s="87"/>
      <c r="P14" s="87"/>
      <c r="Q14" s="87"/>
      <c r="R14" s="88"/>
      <c r="S14" s="88"/>
      <c r="T14" s="88"/>
      <c r="U14" s="88"/>
      <c r="V14" s="88"/>
      <c r="W14" s="88"/>
      <c r="X14" s="88"/>
      <c r="Y14" s="88"/>
      <c r="Z14" s="88"/>
      <c r="AA14" s="88"/>
    </row>
    <row r="15" spans="1:48">
      <c r="A15" s="82" t="s">
        <v>340</v>
      </c>
      <c r="B15" s="69" t="s">
        <v>417</v>
      </c>
      <c r="C15" s="89"/>
      <c r="D15" s="81"/>
      <c r="E15" s="81"/>
      <c r="F15" s="81"/>
      <c r="G15" s="80"/>
      <c r="H15" s="80"/>
      <c r="I15" s="98"/>
      <c r="J15" s="86"/>
      <c r="K15" s="86"/>
      <c r="L15" s="86"/>
      <c r="M15" s="87"/>
      <c r="N15" s="87"/>
      <c r="O15" s="87"/>
      <c r="P15" s="87"/>
      <c r="Q15" s="87"/>
      <c r="R15" s="88"/>
      <c r="S15" s="88"/>
      <c r="T15" s="88"/>
      <c r="U15" s="88"/>
      <c r="V15" s="88"/>
      <c r="W15" s="88"/>
      <c r="X15" s="88"/>
      <c r="Y15" s="88"/>
      <c r="Z15" s="88"/>
      <c r="AA15" s="88"/>
    </row>
    <row r="16" spans="1:48">
      <c r="A16" s="82" t="s">
        <v>332</v>
      </c>
      <c r="B16" s="93" t="s">
        <v>193</v>
      </c>
      <c r="C16" s="89"/>
      <c r="D16" s="81"/>
      <c r="E16" s="81"/>
      <c r="F16" s="81"/>
      <c r="G16" s="80"/>
      <c r="H16" s="80"/>
      <c r="I16" s="98"/>
      <c r="J16" s="86"/>
      <c r="K16" s="86"/>
      <c r="L16" s="86"/>
      <c r="M16" s="87"/>
      <c r="N16" s="87"/>
      <c r="O16" s="87"/>
      <c r="P16" s="87"/>
      <c r="Q16" s="87"/>
      <c r="R16" s="88"/>
      <c r="S16" s="88"/>
      <c r="T16" s="88"/>
      <c r="U16" s="88"/>
      <c r="V16" s="88"/>
      <c r="W16" s="88"/>
      <c r="X16" s="88"/>
      <c r="Y16" s="88"/>
      <c r="Z16" s="88"/>
      <c r="AA16" s="88"/>
    </row>
    <row r="17" spans="1:27">
      <c r="A17" s="94" t="s">
        <v>328</v>
      </c>
      <c r="B17" s="69" t="s">
        <v>73</v>
      </c>
      <c r="C17" s="89"/>
      <c r="D17" s="81"/>
      <c r="E17" s="81"/>
      <c r="F17" s="81"/>
      <c r="G17" s="80"/>
      <c r="H17" s="80"/>
      <c r="I17" s="98"/>
      <c r="J17" s="86"/>
      <c r="K17" s="86"/>
      <c r="L17" s="86"/>
      <c r="M17" s="87"/>
      <c r="N17" s="87"/>
      <c r="O17" s="87"/>
      <c r="P17" s="87"/>
      <c r="Q17" s="87"/>
      <c r="R17" s="88"/>
      <c r="S17" s="88"/>
      <c r="T17" s="88"/>
      <c r="U17" s="88"/>
      <c r="V17" s="88"/>
      <c r="W17" s="88"/>
      <c r="X17" s="88"/>
      <c r="Y17" s="88"/>
      <c r="Z17" s="88"/>
      <c r="AA17" s="88"/>
    </row>
    <row r="18" spans="1:27">
      <c r="A18" s="82" t="s">
        <v>341</v>
      </c>
      <c r="B18" s="70" t="s">
        <v>412</v>
      </c>
      <c r="C18" s="90"/>
      <c r="D18" s="81"/>
      <c r="E18" s="81"/>
      <c r="F18" s="81"/>
      <c r="G18" s="80"/>
      <c r="H18" s="80"/>
      <c r="I18" s="98"/>
      <c r="J18" s="86"/>
      <c r="K18" s="86"/>
      <c r="L18" s="86"/>
      <c r="M18" s="87"/>
      <c r="N18" s="87"/>
      <c r="O18" s="87"/>
      <c r="P18" s="87"/>
      <c r="Q18" s="87"/>
      <c r="R18" s="88"/>
      <c r="S18" s="88"/>
      <c r="T18" s="88"/>
      <c r="U18" s="88"/>
      <c r="V18" s="88"/>
      <c r="W18" s="88"/>
      <c r="X18" s="88"/>
      <c r="Y18" s="88"/>
      <c r="Z18" s="88"/>
      <c r="AA18" s="88"/>
    </row>
    <row r="19" spans="1:27">
      <c r="A19" s="82" t="s">
        <v>334</v>
      </c>
      <c r="B19" s="69" t="s">
        <v>419</v>
      </c>
      <c r="C19" s="89"/>
      <c r="D19" s="81"/>
      <c r="E19" s="81"/>
      <c r="F19" s="81"/>
      <c r="G19" s="80"/>
      <c r="H19" s="80"/>
      <c r="I19" s="98"/>
      <c r="J19" s="86"/>
      <c r="K19" s="86"/>
      <c r="L19" s="86"/>
      <c r="M19" s="87"/>
      <c r="N19" s="87"/>
      <c r="O19" s="87"/>
      <c r="P19" s="87"/>
      <c r="Q19" s="87"/>
      <c r="R19" s="88"/>
      <c r="S19" s="88"/>
      <c r="T19" s="88"/>
      <c r="U19" s="88"/>
      <c r="V19" s="88"/>
      <c r="W19" s="88"/>
      <c r="X19" s="88"/>
      <c r="Y19" s="88"/>
      <c r="Z19" s="88"/>
      <c r="AA19" s="88"/>
    </row>
    <row r="20" spans="1:27">
      <c r="A20" s="82" t="s">
        <v>335</v>
      </c>
      <c r="B20" s="69" t="s">
        <v>193</v>
      </c>
      <c r="C20" s="89"/>
      <c r="D20" s="81"/>
      <c r="E20" s="81"/>
      <c r="F20" s="81"/>
      <c r="G20" s="80"/>
      <c r="H20" s="80"/>
      <c r="I20" s="98"/>
      <c r="J20" s="86"/>
      <c r="K20" s="86"/>
      <c r="L20" s="86"/>
      <c r="M20" s="87"/>
      <c r="N20" s="87"/>
      <c r="O20" s="87"/>
      <c r="P20" s="87"/>
      <c r="Q20" s="87"/>
      <c r="R20" s="88"/>
      <c r="S20" s="88"/>
      <c r="T20" s="88"/>
      <c r="U20" s="88"/>
      <c r="V20" s="88"/>
      <c r="W20" s="88"/>
      <c r="X20" s="88"/>
      <c r="Y20" s="88"/>
      <c r="Z20" s="88"/>
      <c r="AA20" s="88"/>
    </row>
    <row r="21" spans="1:27">
      <c r="A21" s="82" t="s">
        <v>336</v>
      </c>
      <c r="B21" s="69" t="s">
        <v>210</v>
      </c>
      <c r="C21" s="89"/>
      <c r="D21" s="81"/>
      <c r="E21" s="81"/>
      <c r="F21" s="81"/>
      <c r="G21" s="80"/>
      <c r="H21" s="80"/>
      <c r="I21" s="98"/>
      <c r="J21" s="86"/>
      <c r="K21" s="86"/>
      <c r="L21" s="86"/>
      <c r="M21" s="87"/>
      <c r="N21" s="87"/>
      <c r="O21" s="87"/>
      <c r="P21" s="87"/>
      <c r="Q21" s="87"/>
      <c r="R21" s="88"/>
      <c r="S21" s="88"/>
      <c r="T21" s="88"/>
      <c r="U21" s="88"/>
      <c r="V21" s="88"/>
      <c r="W21" s="88"/>
      <c r="X21" s="88"/>
      <c r="Y21" s="88"/>
      <c r="Z21" s="88"/>
      <c r="AA21" s="88"/>
    </row>
    <row r="22" spans="1:27">
      <c r="A22" s="82" t="s">
        <v>337</v>
      </c>
      <c r="B22" s="69" t="s">
        <v>257</v>
      </c>
      <c r="C22" s="89"/>
      <c r="D22" s="81"/>
      <c r="E22" s="81"/>
      <c r="F22" s="81"/>
      <c r="G22" s="80"/>
      <c r="H22" s="80"/>
      <c r="I22" s="98"/>
      <c r="J22" s="86"/>
      <c r="K22" s="86"/>
      <c r="L22" s="86"/>
      <c r="M22" s="87"/>
      <c r="N22" s="87"/>
      <c r="O22" s="87"/>
      <c r="P22" s="87"/>
      <c r="Q22" s="87"/>
      <c r="R22" s="88"/>
      <c r="S22" s="88"/>
      <c r="T22" s="88"/>
      <c r="U22" s="88"/>
      <c r="V22" s="88"/>
      <c r="W22" s="88"/>
      <c r="X22" s="88"/>
      <c r="Y22" s="88"/>
      <c r="Z22" s="88"/>
      <c r="AA22" s="88"/>
    </row>
    <row r="23" spans="1:27">
      <c r="A23" s="82" t="s">
        <v>338</v>
      </c>
      <c r="B23" s="69" t="s">
        <v>418</v>
      </c>
      <c r="C23" s="89"/>
      <c r="D23" s="81"/>
      <c r="E23" s="81"/>
      <c r="F23" s="81"/>
      <c r="G23" s="80"/>
      <c r="H23" s="80"/>
      <c r="I23" s="98"/>
      <c r="J23" s="86"/>
      <c r="K23" s="86"/>
      <c r="L23" s="86"/>
      <c r="M23" s="87"/>
      <c r="N23" s="87"/>
      <c r="O23" s="87"/>
      <c r="P23" s="87"/>
      <c r="Q23" s="87"/>
      <c r="R23" s="88"/>
      <c r="S23" s="88"/>
      <c r="T23" s="88"/>
      <c r="U23" s="88"/>
      <c r="V23" s="88"/>
      <c r="W23" s="88"/>
      <c r="X23" s="88"/>
      <c r="Y23" s="88"/>
      <c r="Z23" s="88"/>
      <c r="AA23" s="88"/>
    </row>
    <row r="24" spans="1:27">
      <c r="A24" s="82" t="s">
        <v>321</v>
      </c>
      <c r="B24" s="93">
        <v>1</v>
      </c>
      <c r="C24" s="89"/>
      <c r="D24" s="81"/>
      <c r="E24" s="81"/>
      <c r="F24" s="81"/>
      <c r="G24" s="80"/>
      <c r="H24" s="80"/>
      <c r="I24" s="98"/>
      <c r="J24" s="86"/>
      <c r="K24" s="86"/>
      <c r="L24" s="86"/>
      <c r="M24" s="87"/>
      <c r="N24" s="87"/>
      <c r="O24" s="87"/>
      <c r="P24" s="87"/>
      <c r="Q24" s="87"/>
      <c r="R24" s="88"/>
      <c r="S24" s="88"/>
      <c r="T24" s="88"/>
      <c r="U24" s="88"/>
      <c r="V24" s="88"/>
      <c r="W24" s="88"/>
      <c r="X24" s="88"/>
      <c r="Y24" s="88"/>
      <c r="Z24" s="88"/>
      <c r="AA24" s="88"/>
    </row>
    <row r="25" spans="1:27">
      <c r="A25" s="94" t="s">
        <v>330</v>
      </c>
      <c r="B25" s="69" t="s">
        <v>429</v>
      </c>
      <c r="C25" s="89"/>
      <c r="D25" s="81"/>
      <c r="E25" s="81"/>
      <c r="F25" s="81"/>
      <c r="G25" s="80"/>
      <c r="H25" s="80"/>
      <c r="I25" s="98"/>
      <c r="J25" s="86"/>
      <c r="K25" s="86"/>
      <c r="L25" s="86"/>
      <c r="M25" s="87"/>
      <c r="N25" s="87"/>
      <c r="O25" s="87"/>
      <c r="P25" s="87"/>
      <c r="Q25" s="87"/>
      <c r="R25" s="88"/>
      <c r="S25" s="88"/>
      <c r="T25" s="88"/>
      <c r="U25" s="88"/>
      <c r="V25" s="88"/>
      <c r="W25" s="88"/>
      <c r="X25" s="88"/>
      <c r="Y25" s="88"/>
      <c r="Z25" s="88"/>
      <c r="AA25" s="88"/>
    </row>
    <row r="26" spans="1:27">
      <c r="A26" s="94" t="s">
        <v>331</v>
      </c>
      <c r="B26" s="69" t="s">
        <v>343</v>
      </c>
      <c r="C26" s="89"/>
      <c r="D26" s="81"/>
      <c r="E26" s="81"/>
      <c r="F26" s="81"/>
      <c r="G26" s="80"/>
      <c r="H26" s="80"/>
      <c r="I26" s="98"/>
      <c r="J26" s="86"/>
      <c r="K26" s="86"/>
      <c r="L26" s="86"/>
      <c r="M26" s="87"/>
      <c r="N26" s="87"/>
      <c r="O26" s="87"/>
      <c r="P26" s="87"/>
      <c r="Q26" s="87"/>
      <c r="R26" s="88"/>
      <c r="S26" s="88"/>
      <c r="T26" s="88"/>
      <c r="U26" s="88"/>
      <c r="V26" s="88"/>
      <c r="W26" s="88"/>
      <c r="X26" s="88"/>
      <c r="Y26" s="88"/>
      <c r="Z26" s="88"/>
      <c r="AA26" s="88"/>
    </row>
    <row r="27" spans="1:27">
      <c r="A27" s="94" t="s">
        <v>327</v>
      </c>
      <c r="B27" s="107"/>
      <c r="C27" s="89"/>
      <c r="D27" s="81"/>
      <c r="E27" s="81"/>
      <c r="F27" s="81"/>
      <c r="G27" s="80"/>
      <c r="H27" s="80"/>
      <c r="I27" s="98"/>
      <c r="J27" s="86"/>
      <c r="K27" s="86"/>
      <c r="L27" s="86"/>
      <c r="M27" s="87"/>
      <c r="N27" s="87"/>
      <c r="O27" s="87"/>
      <c r="P27" s="87"/>
      <c r="Q27" s="87"/>
      <c r="R27" s="88"/>
      <c r="S27" s="88"/>
      <c r="T27" s="88"/>
      <c r="U27" s="88"/>
      <c r="V27" s="88"/>
      <c r="W27" s="88"/>
      <c r="X27" s="88"/>
      <c r="Y27" s="88"/>
      <c r="Z27" s="88"/>
      <c r="AA27" s="88"/>
    </row>
    <row r="28" spans="1:27">
      <c r="A28" s="94" t="s">
        <v>354</v>
      </c>
      <c r="B28" s="69" t="s">
        <v>160</v>
      </c>
      <c r="C28" s="89"/>
      <c r="D28" s="81"/>
      <c r="E28" s="81"/>
      <c r="F28" s="81"/>
      <c r="G28" s="80"/>
      <c r="H28" s="80"/>
      <c r="I28" s="98"/>
      <c r="J28" s="86"/>
      <c r="K28" s="86"/>
      <c r="L28" s="86"/>
      <c r="M28" s="87"/>
      <c r="N28" s="87"/>
      <c r="O28" s="87"/>
      <c r="P28" s="87"/>
      <c r="Q28" s="87"/>
      <c r="R28" s="88"/>
      <c r="S28" s="88"/>
      <c r="T28" s="88"/>
      <c r="U28" s="88"/>
      <c r="V28" s="88"/>
      <c r="W28" s="88"/>
      <c r="X28" s="88"/>
      <c r="Y28" s="88"/>
      <c r="Z28" s="88"/>
      <c r="AA28" s="88"/>
    </row>
    <row r="29" spans="1:27">
      <c r="A29" s="82" t="s">
        <v>355</v>
      </c>
      <c r="B29" s="69" t="s">
        <v>414</v>
      </c>
      <c r="C29" s="89"/>
      <c r="D29" s="81"/>
      <c r="E29" s="81"/>
      <c r="F29" s="81"/>
      <c r="G29" s="80"/>
      <c r="H29" s="80"/>
      <c r="I29" s="98"/>
      <c r="J29" s="86"/>
      <c r="K29" s="86"/>
      <c r="L29" s="86"/>
      <c r="M29" s="87"/>
      <c r="N29" s="87"/>
      <c r="O29" s="87"/>
      <c r="P29" s="87"/>
      <c r="Q29" s="87"/>
      <c r="R29" s="88"/>
      <c r="S29" s="88"/>
      <c r="T29" s="88"/>
      <c r="U29" s="88"/>
      <c r="V29" s="88"/>
      <c r="W29" s="88"/>
      <c r="X29" s="88"/>
      <c r="Y29" s="88"/>
      <c r="Z29" s="88"/>
      <c r="AA29" s="88"/>
    </row>
    <row r="30" spans="1:27">
      <c r="A30" s="82" t="s">
        <v>356</v>
      </c>
      <c r="B30" s="69" t="s">
        <v>409</v>
      </c>
      <c r="C30" s="89"/>
      <c r="D30" s="81"/>
      <c r="E30" s="81"/>
      <c r="F30" s="81"/>
      <c r="G30" s="80"/>
      <c r="H30" s="80"/>
      <c r="I30" s="98"/>
      <c r="J30" s="86"/>
      <c r="K30" s="86"/>
      <c r="L30" s="86"/>
      <c r="M30" s="87"/>
      <c r="N30" s="87"/>
      <c r="O30" s="87"/>
      <c r="P30" s="87"/>
      <c r="Q30" s="87"/>
      <c r="R30" s="88"/>
      <c r="S30" s="88"/>
      <c r="T30" s="88"/>
      <c r="U30" s="88"/>
      <c r="V30" s="88"/>
      <c r="W30" s="88"/>
      <c r="X30" s="88"/>
      <c r="Y30" s="88"/>
      <c r="Z30" s="88"/>
      <c r="AA30" s="88"/>
    </row>
    <row r="31" spans="1:27">
      <c r="A31" s="94" t="s">
        <v>382</v>
      </c>
      <c r="B31" s="69" t="s">
        <v>343</v>
      </c>
      <c r="C31" s="89"/>
      <c r="D31" s="88"/>
      <c r="E31" s="88"/>
      <c r="F31" s="88"/>
      <c r="G31" s="88"/>
      <c r="H31" s="88"/>
      <c r="I31" s="88"/>
      <c r="J31" s="88"/>
      <c r="K31" s="88"/>
      <c r="L31" s="88"/>
      <c r="M31" s="88"/>
      <c r="N31" s="88"/>
      <c r="O31" s="88"/>
      <c r="P31" s="88"/>
      <c r="Q31" s="88"/>
      <c r="R31" s="88"/>
      <c r="S31" s="88"/>
      <c r="T31" s="88"/>
      <c r="U31" s="88"/>
      <c r="V31" s="88"/>
      <c r="W31" s="88"/>
      <c r="X31" s="88"/>
      <c r="Y31" s="88"/>
      <c r="Z31" s="88"/>
      <c r="AA31" s="88"/>
    </row>
    <row r="32" spans="1:27">
      <c r="A32" s="97" t="s">
        <v>385</v>
      </c>
      <c r="B32" s="99"/>
      <c r="C32" s="89"/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</row>
    <row r="33" spans="1:27">
      <c r="A33" s="97" t="s">
        <v>386</v>
      </c>
      <c r="B33" s="99"/>
      <c r="C33" s="89"/>
      <c r="D33" s="88"/>
      <c r="E33" s="88"/>
      <c r="F33" s="88"/>
      <c r="G33" s="88"/>
      <c r="H33" s="88"/>
      <c r="I33" s="88"/>
      <c r="J33" s="88"/>
      <c r="K33" s="88"/>
      <c r="L33" s="88"/>
      <c r="M33" s="88"/>
      <c r="N33" s="88"/>
      <c r="O33" s="88"/>
      <c r="P33" s="88"/>
      <c r="Q33" s="88"/>
      <c r="R33" s="88"/>
      <c r="S33" s="88"/>
      <c r="T33" s="88"/>
      <c r="U33" s="88"/>
      <c r="V33" s="88"/>
      <c r="W33" s="88"/>
      <c r="X33" s="88"/>
      <c r="Y33" s="88"/>
      <c r="Z33" s="88"/>
      <c r="AA33" s="88"/>
    </row>
    <row r="34" spans="1:27">
      <c r="C34" s="91"/>
      <c r="D34" s="88"/>
      <c r="E34" s="88"/>
      <c r="F34" s="88"/>
      <c r="G34" s="88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  <c r="X34" s="88"/>
      <c r="Y34" s="88"/>
      <c r="Z34" s="88"/>
      <c r="AA34" s="88"/>
    </row>
    <row r="35" spans="1:27">
      <c r="C35" s="91"/>
      <c r="D35" s="88"/>
      <c r="E35" s="88"/>
      <c r="F35" s="88"/>
      <c r="G35" s="88"/>
      <c r="H35" s="88"/>
      <c r="I35" s="88"/>
      <c r="J35" s="88"/>
      <c r="K35" s="88"/>
      <c r="L35" s="88"/>
      <c r="M35" s="88"/>
      <c r="N35" s="88"/>
      <c r="O35" s="88"/>
      <c r="P35" s="88"/>
      <c r="Q35" s="88"/>
      <c r="R35" s="88"/>
      <c r="S35" s="88"/>
      <c r="T35" s="88"/>
      <c r="U35" s="88"/>
      <c r="V35" s="88"/>
      <c r="W35" s="88"/>
      <c r="X35" s="88"/>
      <c r="Y35" s="88"/>
      <c r="Z35" s="88"/>
      <c r="AA35" s="88"/>
    </row>
    <row r="36" spans="1:27">
      <c r="C36" s="91"/>
      <c r="D36" s="88"/>
      <c r="E36" s="88"/>
      <c r="F36" s="88"/>
      <c r="G36" s="88"/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 s="88"/>
      <c r="AA36" s="88"/>
    </row>
    <row r="37" spans="1:27">
      <c r="C37" s="91"/>
      <c r="D37" s="88"/>
      <c r="E37" s="88"/>
      <c r="F37" s="88"/>
      <c r="G37" s="88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V37" s="88"/>
      <c r="W37" s="88"/>
      <c r="X37" s="88"/>
      <c r="Y37" s="88"/>
      <c r="Z37" s="88"/>
      <c r="AA37" s="88"/>
    </row>
    <row r="38" spans="1:27">
      <c r="C38" s="91"/>
      <c r="D38" s="88"/>
      <c r="E38" s="88"/>
      <c r="F38" s="88"/>
      <c r="G38" s="88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V38" s="88"/>
      <c r="W38" s="88"/>
      <c r="X38" s="88"/>
      <c r="Y38" s="88"/>
      <c r="Z38" s="88"/>
      <c r="AA38" s="88"/>
    </row>
    <row r="39" spans="1:27">
      <c r="C39" s="91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  <c r="Q39" s="88"/>
      <c r="R39" s="88"/>
      <c r="S39" s="88"/>
      <c r="T39" s="88"/>
      <c r="U39" s="88"/>
      <c r="V39" s="88"/>
      <c r="W39" s="88"/>
      <c r="X39" s="88"/>
      <c r="Y39" s="88"/>
      <c r="Z39" s="88"/>
      <c r="AA39" s="88"/>
    </row>
    <row r="40" spans="1:27">
      <c r="C40" s="91"/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</row>
    <row r="41" spans="1:27">
      <c r="C41" s="91"/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  <c r="X41" s="88"/>
      <c r="Y41" s="88"/>
      <c r="Z41" s="88"/>
      <c r="AA41" s="88"/>
    </row>
    <row r="42" spans="1:27">
      <c r="C42" s="91"/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V42" s="88"/>
      <c r="W42" s="88"/>
      <c r="X42" s="88"/>
      <c r="Y42" s="88"/>
      <c r="Z42" s="88"/>
      <c r="AA42" s="88"/>
    </row>
    <row r="43" spans="1:27">
      <c r="C43" s="91"/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V43" s="88"/>
      <c r="W43" s="88"/>
      <c r="X43" s="88"/>
      <c r="Y43" s="88"/>
      <c r="Z43" s="88"/>
      <c r="AA43" s="88"/>
    </row>
    <row r="44" spans="1:27">
      <c r="C44" s="91"/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88"/>
      <c r="W44" s="88"/>
      <c r="X44" s="88"/>
      <c r="Y44" s="88"/>
      <c r="Z44" s="88"/>
      <c r="AA44" s="88"/>
    </row>
    <row r="45" spans="1:27">
      <c r="C45" s="91"/>
      <c r="D45" s="88"/>
      <c r="E45" s="88"/>
      <c r="F45" s="88"/>
      <c r="G45" s="88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V45" s="88"/>
      <c r="W45" s="88"/>
      <c r="X45" s="88"/>
      <c r="Y45" s="88"/>
      <c r="Z45" s="88"/>
      <c r="AA45" s="88"/>
    </row>
    <row r="46" spans="1:27">
      <c r="C46" s="91"/>
      <c r="D46" s="88"/>
      <c r="E46" s="88"/>
      <c r="F46" s="88"/>
      <c r="G46" s="88"/>
      <c r="H46" s="88"/>
      <c r="I46" s="88"/>
      <c r="J46" s="88"/>
      <c r="K46" s="88"/>
      <c r="L46" s="88"/>
      <c r="M46" s="88"/>
      <c r="N46" s="88"/>
      <c r="O46" s="88"/>
      <c r="P46" s="88"/>
      <c r="Q46" s="88"/>
      <c r="R46" s="88"/>
      <c r="S46" s="88"/>
      <c r="T46" s="88"/>
      <c r="U46" s="88"/>
      <c r="V46" s="88"/>
      <c r="W46" s="88"/>
      <c r="X46" s="88"/>
      <c r="Y46" s="88"/>
      <c r="Z46" s="88"/>
      <c r="AA46" s="88"/>
    </row>
    <row r="47" spans="1:27">
      <c r="C47" s="91"/>
      <c r="D47" s="88"/>
      <c r="E47" s="88"/>
      <c r="F47" s="88"/>
      <c r="G47" s="8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V47" s="88"/>
      <c r="W47" s="88"/>
      <c r="X47" s="88"/>
      <c r="Y47" s="88"/>
      <c r="Z47" s="88"/>
      <c r="AA47" s="88"/>
    </row>
    <row r="48" spans="1:27">
      <c r="C48" s="91"/>
      <c r="D48" s="88"/>
      <c r="E48" s="88"/>
      <c r="F48" s="88"/>
      <c r="G48" s="88"/>
      <c r="H48" s="8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V48" s="88"/>
      <c r="W48" s="88"/>
      <c r="X48" s="88"/>
      <c r="Y48" s="88"/>
      <c r="Z48" s="88"/>
      <c r="AA48" s="88"/>
    </row>
    <row r="49" spans="3:27">
      <c r="C49" s="91"/>
      <c r="D49" s="88"/>
      <c r="E49" s="88"/>
      <c r="F49" s="88"/>
      <c r="G49" s="88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  <c r="X49" s="88"/>
      <c r="Y49" s="88"/>
      <c r="Z49" s="88"/>
      <c r="AA49" s="88"/>
    </row>
    <row r="50" spans="3:27">
      <c r="C50" s="91"/>
      <c r="D50" s="88"/>
      <c r="E50" s="88"/>
      <c r="F50" s="88"/>
      <c r="G50" s="88"/>
      <c r="H50" s="88"/>
      <c r="I50" s="88"/>
      <c r="J50" s="88"/>
      <c r="K50" s="88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88"/>
      <c r="W50" s="88"/>
      <c r="X50" s="88"/>
      <c r="Y50" s="88"/>
      <c r="Z50" s="88"/>
      <c r="AA50" s="88"/>
    </row>
    <row r="51" spans="3:27">
      <c r="C51" s="91"/>
      <c r="D51" s="88"/>
      <c r="E51" s="88"/>
      <c r="F51" s="88"/>
      <c r="G51" s="88"/>
      <c r="H51" s="88"/>
      <c r="I51" s="88"/>
      <c r="J51" s="88"/>
      <c r="K51" s="88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88"/>
      <c r="W51" s="88"/>
      <c r="X51" s="88"/>
      <c r="Y51" s="88"/>
      <c r="Z51" s="88"/>
      <c r="AA51" s="88"/>
    </row>
    <row r="52" spans="3:27">
      <c r="C52" s="91"/>
      <c r="D52" s="88"/>
      <c r="E52" s="88"/>
      <c r="F52" s="88"/>
      <c r="G52" s="88"/>
      <c r="H52" s="88"/>
      <c r="I52" s="88"/>
      <c r="J52" s="88"/>
      <c r="K52" s="88"/>
      <c r="L52" s="88"/>
      <c r="M52" s="88"/>
      <c r="N52" s="88"/>
      <c r="O52" s="88"/>
      <c r="P52" s="88"/>
      <c r="Q52" s="88"/>
      <c r="R52" s="88"/>
      <c r="S52" s="88"/>
      <c r="T52" s="88"/>
      <c r="U52" s="88"/>
      <c r="V52" s="88"/>
      <c r="W52" s="88"/>
      <c r="X52" s="88"/>
      <c r="Y52" s="88"/>
      <c r="Z52" s="88"/>
      <c r="AA52" s="88"/>
    </row>
    <row r="53" spans="3:27">
      <c r="C53" s="91"/>
      <c r="D53" s="88"/>
      <c r="E53" s="88"/>
      <c r="F53" s="88"/>
      <c r="G53" s="88"/>
      <c r="H53" s="88"/>
      <c r="I53" s="88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88"/>
      <c r="W53" s="88"/>
      <c r="X53" s="88"/>
      <c r="Y53" s="88"/>
      <c r="Z53" s="88"/>
      <c r="AA53" s="88"/>
    </row>
    <row r="54" spans="3:27">
      <c r="C54" s="91"/>
      <c r="D54" s="88"/>
      <c r="E54" s="88"/>
      <c r="F54" s="88"/>
      <c r="G54" s="88"/>
      <c r="H54" s="88"/>
      <c r="I54" s="88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88"/>
      <c r="W54" s="88"/>
      <c r="X54" s="88"/>
      <c r="Y54" s="88"/>
      <c r="Z54" s="88"/>
      <c r="AA54" s="88"/>
    </row>
    <row r="55" spans="3:27">
      <c r="C55" s="91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8"/>
      <c r="S55" s="88"/>
      <c r="T55" s="88"/>
      <c r="U55" s="88"/>
      <c r="V55" s="88"/>
      <c r="W55" s="88"/>
      <c r="X55" s="88"/>
      <c r="Y55" s="88"/>
      <c r="Z55" s="88"/>
      <c r="AA55" s="88"/>
    </row>
    <row r="56" spans="3:27">
      <c r="C56" s="91"/>
      <c r="D56" s="88"/>
      <c r="E56" s="88"/>
      <c r="F56" s="88"/>
      <c r="G56" s="88"/>
      <c r="H56" s="88"/>
      <c r="I56" s="88"/>
      <c r="J56" s="88"/>
      <c r="K56" s="88"/>
      <c r="L56" s="88"/>
      <c r="M56" s="88"/>
      <c r="N56" s="88"/>
      <c r="O56" s="88"/>
      <c r="P56" s="88"/>
      <c r="Q56" s="88"/>
      <c r="R56" s="88"/>
      <c r="S56" s="88"/>
      <c r="T56" s="88"/>
      <c r="U56" s="88"/>
      <c r="V56" s="88"/>
      <c r="W56" s="88"/>
      <c r="X56" s="88"/>
      <c r="Y56" s="88"/>
      <c r="Z56" s="88"/>
      <c r="AA56" s="88"/>
    </row>
    <row r="57" spans="3:27">
      <c r="C57" s="91"/>
      <c r="D57" s="88"/>
      <c r="E57" s="88"/>
      <c r="F57" s="88"/>
      <c r="G57" s="88"/>
      <c r="H57" s="88"/>
      <c r="I57" s="88"/>
      <c r="J57" s="88"/>
      <c r="K57" s="88"/>
      <c r="L57" s="88"/>
      <c r="M57" s="88"/>
      <c r="N57" s="88"/>
      <c r="O57" s="88"/>
      <c r="P57" s="88"/>
      <c r="Q57" s="88"/>
      <c r="R57" s="88"/>
      <c r="S57" s="88"/>
      <c r="T57" s="88"/>
      <c r="U57" s="88"/>
      <c r="V57" s="88"/>
      <c r="W57" s="88"/>
      <c r="X57" s="88"/>
      <c r="Y57" s="88"/>
      <c r="Z57" s="88"/>
      <c r="AA57" s="88"/>
    </row>
    <row r="58" spans="3:27">
      <c r="C58" s="91"/>
      <c r="D58" s="88"/>
      <c r="E58" s="88"/>
      <c r="F58" s="88"/>
      <c r="G58" s="88"/>
      <c r="H58" s="88"/>
      <c r="I58" s="88"/>
      <c r="J58" s="88"/>
      <c r="K58" s="88"/>
      <c r="L58" s="88"/>
      <c r="M58" s="88"/>
      <c r="N58" s="88"/>
      <c r="O58" s="88"/>
      <c r="P58" s="88"/>
      <c r="Q58" s="88"/>
      <c r="R58" s="88"/>
      <c r="S58" s="88"/>
      <c r="T58" s="88"/>
      <c r="U58" s="88"/>
      <c r="V58" s="88"/>
      <c r="W58" s="88"/>
      <c r="X58" s="88"/>
      <c r="Y58" s="88"/>
      <c r="Z58" s="88"/>
      <c r="AA58" s="88"/>
    </row>
    <row r="59" spans="3:27">
      <c r="C59" s="91"/>
      <c r="D59" s="88"/>
      <c r="E59" s="88"/>
      <c r="F59" s="88"/>
      <c r="G59" s="88"/>
      <c r="H59" s="88"/>
      <c r="I59" s="88"/>
      <c r="J59" s="88"/>
      <c r="K59" s="88"/>
      <c r="L59" s="88"/>
      <c r="M59" s="88"/>
      <c r="N59" s="88"/>
      <c r="O59" s="88"/>
      <c r="P59" s="88"/>
      <c r="Q59" s="88"/>
      <c r="R59" s="88"/>
      <c r="S59" s="88"/>
      <c r="T59" s="88"/>
      <c r="U59" s="88"/>
      <c r="V59" s="88"/>
      <c r="W59" s="88"/>
      <c r="X59" s="88"/>
      <c r="Y59" s="88"/>
      <c r="Z59" s="88"/>
      <c r="AA59" s="88"/>
    </row>
    <row r="60" spans="3:27">
      <c r="C60" s="91"/>
      <c r="D60" s="88"/>
      <c r="E60" s="88"/>
      <c r="F60" s="88"/>
      <c r="G60" s="88"/>
      <c r="H60" s="88"/>
      <c r="I60" s="88"/>
      <c r="J60" s="88"/>
      <c r="K60" s="88"/>
      <c r="L60" s="88"/>
      <c r="M60" s="88"/>
      <c r="N60" s="88"/>
      <c r="O60" s="88"/>
      <c r="P60" s="88"/>
      <c r="Q60" s="88"/>
      <c r="R60" s="88"/>
      <c r="S60" s="88"/>
      <c r="T60" s="88"/>
      <c r="U60" s="88"/>
      <c r="V60" s="88"/>
      <c r="W60" s="88"/>
      <c r="X60" s="88"/>
      <c r="Y60" s="88"/>
      <c r="Z60" s="88"/>
      <c r="AA60" s="88"/>
    </row>
    <row r="61" spans="3:27">
      <c r="C61" s="91"/>
      <c r="D61" s="88"/>
      <c r="E61" s="88"/>
      <c r="F61" s="88"/>
      <c r="G61" s="88"/>
      <c r="H61" s="88"/>
      <c r="I61" s="88"/>
      <c r="J61" s="88"/>
      <c r="K61" s="88"/>
      <c r="L61" s="88"/>
      <c r="M61" s="88"/>
      <c r="N61" s="88"/>
      <c r="O61" s="88"/>
      <c r="P61" s="88"/>
      <c r="Q61" s="88"/>
      <c r="R61" s="88"/>
      <c r="S61" s="88"/>
      <c r="T61" s="88"/>
      <c r="U61" s="88"/>
      <c r="V61" s="88"/>
      <c r="W61" s="88"/>
      <c r="X61" s="88"/>
      <c r="Y61" s="88"/>
      <c r="Z61" s="88"/>
      <c r="AA61" s="88"/>
    </row>
    <row r="62" spans="3:27">
      <c r="C62" s="91"/>
      <c r="D62" s="88"/>
      <c r="E62" s="88"/>
      <c r="F62" s="88"/>
      <c r="G62" s="88"/>
      <c r="H62" s="88"/>
      <c r="I62" s="88"/>
      <c r="J62" s="88"/>
      <c r="K62" s="88"/>
      <c r="L62" s="88"/>
      <c r="M62" s="88"/>
      <c r="N62" s="88"/>
      <c r="O62" s="88"/>
      <c r="P62" s="88"/>
      <c r="Q62" s="88"/>
      <c r="R62" s="88"/>
      <c r="S62" s="88"/>
      <c r="T62" s="88"/>
      <c r="U62" s="88"/>
      <c r="V62" s="88"/>
      <c r="W62" s="88"/>
      <c r="X62" s="88"/>
      <c r="Y62" s="88"/>
      <c r="Z62" s="88"/>
      <c r="AA62" s="88"/>
    </row>
    <row r="63" spans="3:27">
      <c r="C63" s="91"/>
      <c r="D63" s="88"/>
      <c r="E63" s="88"/>
      <c r="F63" s="88"/>
      <c r="G63" s="88"/>
      <c r="H63" s="88"/>
      <c r="I63" s="88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88"/>
      <c r="W63" s="88"/>
      <c r="X63" s="88"/>
      <c r="Y63" s="88"/>
      <c r="Z63" s="88"/>
      <c r="AA63" s="88"/>
    </row>
    <row r="64" spans="3:27">
      <c r="C64" s="91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88"/>
      <c r="W64" s="88"/>
      <c r="X64" s="88"/>
      <c r="Y64" s="88"/>
      <c r="Z64" s="88"/>
      <c r="AA64" s="88"/>
    </row>
    <row r="65" spans="3:27">
      <c r="C65" s="91"/>
      <c r="D65" s="88"/>
      <c r="E65" s="88"/>
      <c r="F65" s="88"/>
      <c r="G65" s="88"/>
      <c r="H65" s="88"/>
      <c r="I65" s="88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88"/>
      <c r="W65" s="88"/>
      <c r="X65" s="88"/>
      <c r="Y65" s="88"/>
      <c r="Z65" s="88"/>
      <c r="AA65" s="88"/>
    </row>
    <row r="66" spans="3:27">
      <c r="C66" s="91"/>
      <c r="D66" s="88"/>
      <c r="E66" s="88"/>
      <c r="F66" s="88"/>
      <c r="G66" s="88"/>
      <c r="H66" s="88"/>
      <c r="I66" s="88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88"/>
      <c r="W66" s="88"/>
      <c r="X66" s="88"/>
      <c r="Y66" s="88"/>
      <c r="Z66" s="88"/>
      <c r="AA66" s="88"/>
    </row>
    <row r="67" spans="3:27">
      <c r="C67" s="91"/>
      <c r="D67" s="88"/>
      <c r="E67" s="88"/>
      <c r="F67" s="88"/>
      <c r="G67" s="88"/>
      <c r="H67" s="88"/>
      <c r="I67" s="88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88"/>
      <c r="W67" s="88"/>
      <c r="X67" s="88"/>
      <c r="Y67" s="88"/>
      <c r="Z67" s="88"/>
      <c r="AA67" s="88"/>
    </row>
    <row r="68" spans="3:27">
      <c r="C68" s="91"/>
      <c r="D68" s="88"/>
      <c r="E68" s="88"/>
      <c r="F68" s="88"/>
      <c r="G68" s="88"/>
      <c r="H68" s="88"/>
      <c r="I68" s="88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88"/>
      <c r="W68" s="88"/>
      <c r="X68" s="88"/>
      <c r="Y68" s="88"/>
      <c r="Z68" s="88"/>
      <c r="AA68" s="88"/>
    </row>
    <row r="69" spans="3:27">
      <c r="C69" s="91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</row>
    <row r="70" spans="3:27">
      <c r="C70" s="91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88"/>
      <c r="W70" s="88"/>
      <c r="X70" s="88"/>
      <c r="Y70" s="88"/>
      <c r="Z70" s="88"/>
      <c r="AA70" s="88"/>
    </row>
    <row r="71" spans="3:27">
      <c r="C71" s="91"/>
      <c r="D71" s="88"/>
      <c r="E71" s="88"/>
      <c r="F71" s="88"/>
      <c r="G71" s="88"/>
      <c r="H71" s="88"/>
      <c r="I71" s="88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88"/>
      <c r="W71" s="88"/>
      <c r="X71" s="88"/>
      <c r="Y71" s="88"/>
      <c r="Z71" s="88"/>
      <c r="AA71" s="88"/>
    </row>
    <row r="72" spans="3:27">
      <c r="C72" s="91"/>
      <c r="D72" s="88"/>
      <c r="E72" s="88"/>
      <c r="F72" s="88"/>
      <c r="G72" s="88"/>
      <c r="H72" s="88"/>
      <c r="I72" s="88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88"/>
      <c r="W72" s="88"/>
      <c r="X72" s="88"/>
      <c r="Y72" s="88"/>
      <c r="Z72" s="88"/>
      <c r="AA72" s="88"/>
    </row>
    <row r="73" spans="3:27">
      <c r="C73" s="91"/>
      <c r="D73" s="88"/>
      <c r="E73" s="88"/>
      <c r="F73" s="88"/>
      <c r="G73" s="88"/>
      <c r="H73" s="88"/>
      <c r="I73" s="88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88"/>
      <c r="W73" s="88"/>
      <c r="X73" s="88"/>
      <c r="Y73" s="88"/>
      <c r="Z73" s="88"/>
      <c r="AA73" s="88"/>
    </row>
    <row r="74" spans="3:27">
      <c r="C74" s="91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88"/>
      <c r="W74" s="88"/>
      <c r="X74" s="88"/>
      <c r="Y74" s="88"/>
      <c r="Z74" s="88"/>
      <c r="AA74" s="88"/>
    </row>
    <row r="75" spans="3:27">
      <c r="C75" s="91"/>
      <c r="D75" s="88"/>
      <c r="E75" s="88"/>
      <c r="F75" s="88"/>
      <c r="G75" s="88"/>
      <c r="H75" s="88"/>
      <c r="I75" s="88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88"/>
      <c r="W75" s="88"/>
      <c r="X75" s="88"/>
      <c r="Y75" s="88"/>
      <c r="Z75" s="88"/>
      <c r="AA75" s="88"/>
    </row>
    <row r="76" spans="3:27">
      <c r="C76" s="91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88"/>
      <c r="W76" s="88"/>
      <c r="X76" s="88"/>
      <c r="Y76" s="88"/>
      <c r="Z76" s="88"/>
      <c r="AA76" s="88"/>
    </row>
    <row r="77" spans="3:27">
      <c r="C77" s="91"/>
      <c r="D77" s="88"/>
      <c r="E77" s="88"/>
      <c r="F77" s="88"/>
      <c r="G77" s="88"/>
      <c r="H77" s="88"/>
      <c r="I77" s="88"/>
      <c r="J77" s="88"/>
      <c r="K77" s="88"/>
      <c r="L77" s="88"/>
      <c r="M77" s="88"/>
      <c r="N77" s="88"/>
      <c r="O77" s="88"/>
      <c r="P77" s="88"/>
      <c r="Q77" s="88"/>
      <c r="R77" s="88"/>
      <c r="S77" s="88"/>
      <c r="T77" s="88"/>
      <c r="U77" s="88"/>
      <c r="V77" s="88"/>
      <c r="W77" s="88"/>
      <c r="X77" s="88"/>
      <c r="Y77" s="88"/>
      <c r="Z77" s="88"/>
      <c r="AA77" s="88"/>
    </row>
    <row r="78" spans="3:27">
      <c r="C78" s="91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  <c r="P78" s="88"/>
      <c r="Q78" s="88"/>
      <c r="R78" s="88"/>
      <c r="S78" s="88"/>
      <c r="T78" s="88"/>
      <c r="U78" s="88"/>
      <c r="V78" s="88"/>
      <c r="W78" s="88"/>
      <c r="X78" s="88"/>
      <c r="Y78" s="88"/>
      <c r="Z78" s="88"/>
      <c r="AA78" s="88"/>
    </row>
    <row r="79" spans="3:27">
      <c r="C79" s="91"/>
      <c r="D79" s="88"/>
      <c r="E79" s="88"/>
      <c r="F79" s="88"/>
      <c r="G79" s="88"/>
      <c r="H79" s="88"/>
      <c r="I79" s="88"/>
      <c r="J79" s="88"/>
      <c r="K79" s="88"/>
      <c r="L79" s="88"/>
      <c r="M79" s="88"/>
      <c r="N79" s="88"/>
      <c r="O79" s="88"/>
      <c r="P79" s="88"/>
      <c r="Q79" s="88"/>
      <c r="R79" s="88"/>
      <c r="S79" s="88"/>
      <c r="T79" s="88"/>
      <c r="U79" s="88"/>
      <c r="V79" s="88"/>
      <c r="W79" s="88"/>
      <c r="X79" s="88"/>
      <c r="Y79" s="88"/>
      <c r="Z79" s="88"/>
      <c r="AA79" s="88"/>
    </row>
    <row r="80" spans="3:27">
      <c r="C80" s="91"/>
      <c r="D80" s="88"/>
      <c r="E80" s="88"/>
      <c r="F80" s="88"/>
      <c r="G80" s="88"/>
      <c r="H80" s="88"/>
      <c r="I80" s="88"/>
      <c r="J80" s="88"/>
      <c r="K80" s="88"/>
      <c r="L80" s="88"/>
      <c r="M80" s="88"/>
      <c r="N80" s="88"/>
      <c r="O80" s="88"/>
      <c r="P80" s="88"/>
      <c r="Q80" s="88"/>
      <c r="R80" s="88"/>
      <c r="S80" s="88"/>
      <c r="T80" s="88"/>
      <c r="U80" s="88"/>
      <c r="V80" s="88"/>
      <c r="W80" s="88"/>
      <c r="X80" s="88"/>
      <c r="Y80" s="88"/>
      <c r="Z80" s="88"/>
      <c r="AA80" s="88"/>
    </row>
    <row r="81" spans="3:27">
      <c r="C81" s="91"/>
      <c r="D81" s="88"/>
      <c r="E81" s="88"/>
      <c r="F81" s="88"/>
      <c r="G81" s="88"/>
      <c r="H81" s="88"/>
      <c r="I81" s="88"/>
      <c r="J81" s="88"/>
      <c r="K81" s="88"/>
      <c r="L81" s="88"/>
      <c r="M81" s="88"/>
      <c r="N81" s="88"/>
      <c r="O81" s="88"/>
      <c r="P81" s="88"/>
      <c r="Q81" s="88"/>
      <c r="R81" s="88"/>
      <c r="S81" s="88"/>
      <c r="T81" s="88"/>
      <c r="U81" s="88"/>
      <c r="V81" s="88"/>
      <c r="W81" s="88"/>
      <c r="X81" s="88"/>
      <c r="Y81" s="88"/>
      <c r="Z81" s="88"/>
      <c r="AA81" s="88"/>
    </row>
    <row r="82" spans="3:27">
      <c r="C82" s="91"/>
      <c r="D82" s="88"/>
      <c r="E82" s="88"/>
      <c r="F82" s="88"/>
      <c r="G82" s="88"/>
      <c r="H82" s="88"/>
      <c r="I82" s="88"/>
      <c r="J82" s="88"/>
      <c r="K82" s="88"/>
      <c r="L82" s="88"/>
      <c r="M82" s="88"/>
      <c r="N82" s="88"/>
      <c r="O82" s="88"/>
      <c r="P82" s="88"/>
      <c r="Q82" s="88"/>
      <c r="R82" s="88"/>
      <c r="S82" s="88"/>
      <c r="T82" s="88"/>
      <c r="U82" s="88"/>
      <c r="V82" s="88"/>
      <c r="W82" s="88"/>
      <c r="X82" s="88"/>
      <c r="Y82" s="88"/>
      <c r="Z82" s="88"/>
      <c r="AA82" s="88"/>
    </row>
    <row r="83" spans="3:27">
      <c r="C83" s="91"/>
      <c r="D83" s="88"/>
      <c r="E83" s="88"/>
      <c r="F83" s="88"/>
      <c r="G83" s="88"/>
      <c r="H83" s="88"/>
      <c r="I83" s="88"/>
      <c r="J83" s="88"/>
      <c r="K83" s="88"/>
      <c r="L83" s="88"/>
      <c r="M83" s="88"/>
      <c r="N83" s="88"/>
      <c r="O83" s="88"/>
      <c r="P83" s="88"/>
      <c r="Q83" s="88"/>
      <c r="R83" s="88"/>
      <c r="S83" s="88"/>
      <c r="T83" s="88"/>
      <c r="U83" s="88"/>
      <c r="V83" s="88"/>
      <c r="W83" s="88"/>
      <c r="X83" s="88"/>
      <c r="Y83" s="88"/>
      <c r="Z83" s="88"/>
      <c r="AA83" s="88"/>
    </row>
    <row r="84" spans="3:27">
      <c r="C84" s="91"/>
      <c r="D84" s="88"/>
      <c r="E84" s="88"/>
      <c r="F84" s="88"/>
      <c r="G84" s="88"/>
      <c r="H84" s="88"/>
      <c r="I84" s="88"/>
      <c r="J84" s="88"/>
      <c r="K84" s="88"/>
      <c r="L84" s="88"/>
      <c r="M84" s="88"/>
      <c r="N84" s="88"/>
      <c r="O84" s="88"/>
      <c r="P84" s="88"/>
      <c r="Q84" s="88"/>
      <c r="R84" s="88"/>
      <c r="S84" s="88"/>
      <c r="T84" s="88"/>
      <c r="U84" s="88"/>
      <c r="V84" s="88"/>
      <c r="W84" s="88"/>
      <c r="X84" s="88"/>
      <c r="Y84" s="88"/>
      <c r="Z84" s="88"/>
      <c r="AA84" s="88"/>
    </row>
    <row r="85" spans="3:27">
      <c r="C85" s="91"/>
      <c r="D85" s="88"/>
      <c r="E85" s="88"/>
      <c r="F85" s="88"/>
      <c r="G85" s="88"/>
      <c r="H85" s="88"/>
      <c r="I85" s="88"/>
      <c r="J85" s="88"/>
      <c r="K85" s="88"/>
      <c r="L85" s="88"/>
      <c r="M85" s="88"/>
      <c r="N85" s="88"/>
      <c r="O85" s="88"/>
      <c r="P85" s="88"/>
      <c r="Q85" s="88"/>
      <c r="R85" s="88"/>
      <c r="S85" s="88"/>
      <c r="T85" s="88"/>
      <c r="U85" s="88"/>
      <c r="V85" s="88"/>
      <c r="W85" s="88"/>
      <c r="X85" s="88"/>
      <c r="Y85" s="88"/>
      <c r="Z85" s="88"/>
      <c r="AA85" s="88"/>
    </row>
    <row r="86" spans="3:27">
      <c r="C86" s="91"/>
      <c r="D86" s="88"/>
      <c r="E86" s="88"/>
      <c r="F86" s="88"/>
      <c r="G86" s="88"/>
      <c r="H86" s="88"/>
      <c r="I86" s="88"/>
      <c r="J86" s="88"/>
      <c r="K86" s="88"/>
      <c r="L86" s="88"/>
      <c r="M86" s="88"/>
      <c r="N86" s="88"/>
      <c r="O86" s="88"/>
      <c r="P86" s="88"/>
      <c r="Q86" s="88"/>
      <c r="R86" s="88"/>
      <c r="S86" s="88"/>
      <c r="T86" s="88"/>
      <c r="U86" s="88"/>
      <c r="V86" s="88"/>
      <c r="W86" s="88"/>
      <c r="X86" s="88"/>
      <c r="Y86" s="88"/>
      <c r="Z86" s="88"/>
      <c r="AA86" s="88"/>
    </row>
    <row r="87" spans="3:27">
      <c r="C87" s="91"/>
      <c r="D87" s="88"/>
      <c r="E87" s="88"/>
      <c r="F87" s="88"/>
      <c r="G87" s="88"/>
      <c r="H87" s="88"/>
      <c r="I87" s="88"/>
      <c r="J87" s="88"/>
      <c r="K87" s="88"/>
      <c r="L87" s="88"/>
      <c r="M87" s="88"/>
      <c r="N87" s="88"/>
      <c r="O87" s="88"/>
      <c r="P87" s="88"/>
      <c r="Q87" s="88"/>
      <c r="R87" s="88"/>
      <c r="S87" s="88"/>
      <c r="T87" s="88"/>
      <c r="U87" s="88"/>
      <c r="V87" s="88"/>
      <c r="W87" s="88"/>
      <c r="X87" s="88"/>
      <c r="Y87" s="88"/>
      <c r="Z87" s="88"/>
      <c r="AA87" s="88"/>
    </row>
    <row r="88" spans="3:27">
      <c r="C88" s="91"/>
      <c r="D88" s="88"/>
      <c r="E88" s="88"/>
      <c r="F88" s="88"/>
      <c r="G88" s="88"/>
      <c r="H88" s="88"/>
      <c r="I88" s="88"/>
      <c r="J88" s="88"/>
      <c r="K88" s="88"/>
      <c r="L88" s="88"/>
      <c r="M88" s="88"/>
      <c r="N88" s="88"/>
      <c r="O88" s="88"/>
      <c r="P88" s="88"/>
      <c r="Q88" s="88"/>
      <c r="R88" s="88"/>
      <c r="S88" s="88"/>
      <c r="T88" s="88"/>
      <c r="U88" s="88"/>
      <c r="V88" s="88"/>
      <c r="W88" s="88"/>
      <c r="X88" s="88"/>
      <c r="Y88" s="88"/>
      <c r="Z88" s="88"/>
      <c r="AA88" s="88"/>
    </row>
    <row r="89" spans="3:27">
      <c r="C89" s="91"/>
      <c r="D89" s="88"/>
      <c r="E89" s="88"/>
      <c r="F89" s="88"/>
      <c r="G89" s="88"/>
      <c r="H89" s="88"/>
      <c r="I89" s="88"/>
      <c r="J89" s="88"/>
      <c r="K89" s="88"/>
      <c r="L89" s="88"/>
      <c r="M89" s="88"/>
      <c r="N89" s="88"/>
      <c r="O89" s="88"/>
      <c r="P89" s="88"/>
      <c r="Q89" s="88"/>
      <c r="R89" s="88"/>
      <c r="S89" s="88"/>
      <c r="T89" s="88"/>
      <c r="U89" s="88"/>
      <c r="V89" s="88"/>
      <c r="W89" s="88"/>
      <c r="X89" s="88"/>
      <c r="Y89" s="88"/>
      <c r="Z89" s="88"/>
      <c r="AA89" s="88"/>
    </row>
    <row r="90" spans="3:27">
      <c r="C90" s="91"/>
      <c r="D90" s="88"/>
      <c r="E90" s="88"/>
      <c r="F90" s="88"/>
      <c r="G90" s="88"/>
      <c r="H90" s="88"/>
      <c r="I90" s="88"/>
      <c r="J90" s="88"/>
      <c r="K90" s="88"/>
      <c r="L90" s="88"/>
      <c r="M90" s="88"/>
      <c r="N90" s="88"/>
      <c r="O90" s="88"/>
      <c r="P90" s="88"/>
      <c r="Q90" s="88"/>
      <c r="R90" s="88"/>
      <c r="S90" s="88"/>
      <c r="T90" s="88"/>
      <c r="U90" s="88"/>
      <c r="V90" s="88"/>
      <c r="W90" s="88"/>
      <c r="X90" s="88"/>
      <c r="Y90" s="88"/>
      <c r="Z90" s="88"/>
      <c r="AA90" s="88"/>
    </row>
    <row r="91" spans="3:27">
      <c r="C91" s="91"/>
      <c r="D91" s="88"/>
      <c r="E91" s="88"/>
      <c r="F91" s="88"/>
      <c r="G91" s="88"/>
      <c r="H91" s="88"/>
      <c r="I91" s="88"/>
      <c r="J91" s="88"/>
      <c r="K91" s="88"/>
      <c r="L91" s="88"/>
      <c r="M91" s="88"/>
      <c r="N91" s="88"/>
      <c r="O91" s="88"/>
      <c r="P91" s="88"/>
      <c r="Q91" s="88"/>
      <c r="R91" s="88"/>
      <c r="S91" s="88"/>
      <c r="T91" s="88"/>
      <c r="U91" s="88"/>
      <c r="V91" s="88"/>
      <c r="W91" s="88"/>
      <c r="X91" s="88"/>
      <c r="Y91" s="88"/>
      <c r="Z91" s="88"/>
      <c r="AA91" s="88"/>
    </row>
    <row r="92" spans="3:27">
      <c r="C92" s="91"/>
      <c r="D92" s="88"/>
      <c r="E92" s="88"/>
      <c r="F92" s="88"/>
      <c r="G92" s="88"/>
      <c r="H92" s="88"/>
      <c r="I92" s="88"/>
      <c r="J92" s="88"/>
      <c r="K92" s="88"/>
      <c r="L92" s="88"/>
      <c r="M92" s="88"/>
      <c r="N92" s="88"/>
      <c r="O92" s="88"/>
      <c r="P92" s="88"/>
      <c r="Q92" s="88"/>
      <c r="R92" s="88"/>
      <c r="S92" s="88"/>
      <c r="T92" s="88"/>
      <c r="U92" s="88"/>
      <c r="V92" s="88"/>
      <c r="W92" s="88"/>
      <c r="X92" s="88"/>
      <c r="Y92" s="88"/>
      <c r="Z92" s="88"/>
      <c r="AA92" s="88"/>
    </row>
    <row r="93" spans="3:27">
      <c r="C93" s="91"/>
      <c r="D93" s="88"/>
      <c r="E93" s="88"/>
      <c r="F93" s="88"/>
      <c r="G93" s="88"/>
      <c r="H93" s="88"/>
      <c r="I93" s="88"/>
      <c r="J93" s="88"/>
      <c r="K93" s="88"/>
      <c r="L93" s="88"/>
      <c r="M93" s="88"/>
      <c r="N93" s="88"/>
      <c r="O93" s="88"/>
      <c r="P93" s="88"/>
      <c r="Q93" s="88"/>
      <c r="R93" s="88"/>
      <c r="S93" s="88"/>
      <c r="T93" s="88"/>
      <c r="U93" s="88"/>
      <c r="V93" s="88"/>
      <c r="W93" s="88"/>
      <c r="X93" s="88"/>
      <c r="Y93" s="88"/>
      <c r="Z93" s="88"/>
      <c r="AA93" s="88"/>
    </row>
    <row r="94" spans="3:27">
      <c r="C94" s="91"/>
      <c r="D94" s="88"/>
      <c r="E94" s="88"/>
      <c r="F94" s="88"/>
      <c r="G94" s="88"/>
      <c r="H94" s="88"/>
      <c r="I94" s="88"/>
      <c r="J94" s="88"/>
      <c r="K94" s="88"/>
      <c r="L94" s="88"/>
      <c r="M94" s="88"/>
      <c r="N94" s="88"/>
      <c r="O94" s="88"/>
      <c r="P94" s="88"/>
      <c r="Q94" s="88"/>
      <c r="R94" s="88"/>
      <c r="S94" s="88"/>
      <c r="T94" s="88"/>
      <c r="U94" s="88"/>
      <c r="V94" s="88"/>
      <c r="W94" s="88"/>
      <c r="X94" s="88"/>
      <c r="Y94" s="88"/>
      <c r="Z94" s="88"/>
      <c r="AA94" s="88"/>
    </row>
    <row r="95" spans="3:27">
      <c r="C95" s="91"/>
      <c r="D95" s="88"/>
      <c r="E95" s="88"/>
      <c r="F95" s="88"/>
      <c r="G95" s="88"/>
      <c r="H95" s="88"/>
      <c r="I95" s="88"/>
      <c r="J95" s="88"/>
      <c r="K95" s="88"/>
      <c r="L95" s="88"/>
      <c r="M95" s="88"/>
      <c r="N95" s="88"/>
      <c r="O95" s="88"/>
      <c r="P95" s="88"/>
      <c r="Q95" s="88"/>
      <c r="R95" s="88"/>
      <c r="S95" s="88"/>
      <c r="T95" s="88"/>
      <c r="U95" s="88"/>
      <c r="V95" s="88"/>
      <c r="W95" s="88"/>
      <c r="X95" s="88"/>
      <c r="Y95" s="88"/>
      <c r="Z95" s="88"/>
      <c r="AA95" s="88"/>
    </row>
    <row r="96" spans="3:27">
      <c r="C96" s="91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</row>
    <row r="97" spans="3:27">
      <c r="C97" s="91"/>
      <c r="D97" s="88"/>
      <c r="E97" s="88"/>
      <c r="F97" s="88"/>
      <c r="G97" s="88"/>
      <c r="H97" s="88"/>
      <c r="I97" s="88"/>
      <c r="J97" s="88"/>
      <c r="K97" s="88"/>
      <c r="L97" s="88"/>
      <c r="M97" s="88"/>
      <c r="N97" s="88"/>
      <c r="O97" s="88"/>
      <c r="P97" s="88"/>
      <c r="Q97" s="88"/>
      <c r="R97" s="88"/>
      <c r="S97" s="88"/>
      <c r="T97" s="88"/>
      <c r="U97" s="88"/>
      <c r="V97" s="88"/>
      <c r="W97" s="88"/>
      <c r="X97" s="88"/>
      <c r="Y97" s="88"/>
      <c r="Z97" s="88"/>
      <c r="AA97" s="88"/>
    </row>
    <row r="98" spans="3:27">
      <c r="C98" s="91"/>
      <c r="D98" s="88"/>
      <c r="E98" s="88"/>
      <c r="F98" s="88"/>
      <c r="G98" s="88"/>
      <c r="H98" s="88"/>
      <c r="I98" s="88"/>
      <c r="J98" s="88"/>
      <c r="K98" s="88"/>
      <c r="L98" s="88"/>
      <c r="M98" s="88"/>
      <c r="N98" s="88"/>
      <c r="O98" s="88"/>
      <c r="P98" s="88"/>
      <c r="Q98" s="88"/>
      <c r="R98" s="88"/>
      <c r="S98" s="88"/>
      <c r="T98" s="88"/>
      <c r="U98" s="88"/>
      <c r="V98" s="88"/>
      <c r="W98" s="88"/>
      <c r="X98" s="88"/>
      <c r="Y98" s="88"/>
      <c r="Z98" s="88"/>
      <c r="AA98" s="88"/>
    </row>
    <row r="99" spans="3:27">
      <c r="C99" s="91"/>
      <c r="D99" s="88"/>
      <c r="E99" s="88"/>
      <c r="F99" s="88"/>
      <c r="G99" s="88"/>
      <c r="H99" s="88"/>
      <c r="I99" s="88"/>
      <c r="J99" s="88"/>
      <c r="K99" s="88"/>
      <c r="L99" s="88"/>
      <c r="M99" s="88"/>
      <c r="N99" s="88"/>
      <c r="O99" s="88"/>
      <c r="P99" s="88"/>
      <c r="Q99" s="88"/>
      <c r="R99" s="88"/>
      <c r="S99" s="88"/>
      <c r="T99" s="88"/>
      <c r="U99" s="88"/>
      <c r="V99" s="88"/>
      <c r="W99" s="88"/>
      <c r="X99" s="88"/>
      <c r="Y99" s="88"/>
      <c r="Z99" s="88"/>
      <c r="AA99" s="88"/>
    </row>
    <row r="100" spans="3:27">
      <c r="C100" s="91"/>
      <c r="D100" s="88"/>
      <c r="E100" s="88"/>
      <c r="F100" s="88"/>
      <c r="G100" s="88"/>
      <c r="H100" s="88"/>
      <c r="I100" s="88"/>
      <c r="J100" s="88"/>
      <c r="K100" s="88"/>
      <c r="L100" s="88"/>
      <c r="M100" s="88"/>
      <c r="N100" s="88"/>
      <c r="O100" s="88"/>
      <c r="P100" s="88"/>
      <c r="Q100" s="88"/>
      <c r="R100" s="88"/>
      <c r="S100" s="88"/>
      <c r="T100" s="88"/>
      <c r="U100" s="88"/>
      <c r="V100" s="88"/>
      <c r="W100" s="88"/>
      <c r="X100" s="88"/>
      <c r="Y100" s="88"/>
      <c r="Z100" s="88"/>
      <c r="AA100" s="88"/>
    </row>
    <row r="101" spans="3:27">
      <c r="C101" s="91"/>
      <c r="D101" s="88"/>
      <c r="E101" s="88"/>
      <c r="F101" s="88"/>
      <c r="G101" s="88"/>
      <c r="H101" s="88"/>
      <c r="I101" s="88"/>
      <c r="J101" s="88"/>
      <c r="K101" s="88"/>
      <c r="L101" s="88"/>
      <c r="M101" s="88"/>
      <c r="N101" s="88"/>
      <c r="O101" s="88"/>
      <c r="P101" s="88"/>
      <c r="Q101" s="88"/>
      <c r="R101" s="88"/>
      <c r="S101" s="88"/>
      <c r="T101" s="88"/>
      <c r="U101" s="88"/>
      <c r="V101" s="88"/>
      <c r="W101" s="88"/>
      <c r="X101" s="88"/>
      <c r="Y101" s="88"/>
      <c r="Z101" s="88"/>
      <c r="AA101" s="88"/>
    </row>
    <row r="102" spans="3:27">
      <c r="C102" s="91"/>
      <c r="D102" s="88"/>
      <c r="E102" s="88"/>
      <c r="F102" s="88"/>
      <c r="G102" s="88"/>
      <c r="H102" s="88"/>
      <c r="I102" s="88"/>
      <c r="J102" s="88"/>
      <c r="K102" s="88"/>
      <c r="L102" s="88"/>
      <c r="M102" s="88"/>
      <c r="N102" s="88"/>
      <c r="O102" s="88"/>
      <c r="P102" s="88"/>
      <c r="Q102" s="88"/>
      <c r="R102" s="88"/>
      <c r="S102" s="88"/>
      <c r="T102" s="88"/>
      <c r="U102" s="88"/>
      <c r="V102" s="88"/>
      <c r="W102" s="88"/>
      <c r="X102" s="88"/>
      <c r="Y102" s="88"/>
      <c r="Z102" s="88"/>
      <c r="AA102" s="88"/>
    </row>
    <row r="103" spans="3:27">
      <c r="C103" s="91"/>
      <c r="D103" s="88"/>
      <c r="E103" s="88"/>
      <c r="F103" s="88"/>
      <c r="G103" s="88"/>
      <c r="H103" s="88"/>
      <c r="I103" s="88"/>
      <c r="J103" s="88"/>
      <c r="K103" s="88"/>
      <c r="L103" s="88"/>
      <c r="M103" s="88"/>
      <c r="N103" s="88"/>
      <c r="O103" s="88"/>
      <c r="P103" s="88"/>
      <c r="Q103" s="88"/>
      <c r="R103" s="88"/>
      <c r="S103" s="88"/>
      <c r="T103" s="88"/>
      <c r="U103" s="88"/>
      <c r="V103" s="88"/>
      <c r="W103" s="88"/>
      <c r="X103" s="88"/>
      <c r="Y103" s="88"/>
      <c r="Z103" s="88"/>
      <c r="AA103" s="88"/>
    </row>
    <row r="104" spans="3:27">
      <c r="C104" s="91"/>
      <c r="D104" s="88"/>
      <c r="E104" s="88"/>
      <c r="F104" s="88"/>
      <c r="G104" s="88"/>
      <c r="H104" s="88"/>
      <c r="I104" s="88"/>
      <c r="J104" s="88"/>
      <c r="K104" s="88"/>
      <c r="L104" s="88"/>
      <c r="M104" s="88"/>
      <c r="N104" s="88"/>
      <c r="O104" s="88"/>
      <c r="P104" s="88"/>
      <c r="Q104" s="88"/>
      <c r="R104" s="88"/>
      <c r="S104" s="88"/>
      <c r="T104" s="88"/>
      <c r="U104" s="88"/>
      <c r="V104" s="88"/>
      <c r="W104" s="88"/>
      <c r="X104" s="88"/>
      <c r="Y104" s="88"/>
      <c r="Z104" s="88"/>
      <c r="AA104" s="88"/>
    </row>
    <row r="105" spans="3:27">
      <c r="C105" s="91"/>
      <c r="D105" s="88"/>
      <c r="E105" s="88"/>
      <c r="F105" s="88"/>
      <c r="G105" s="88"/>
      <c r="H105" s="88"/>
      <c r="I105" s="88"/>
      <c r="J105" s="88"/>
      <c r="K105" s="88"/>
      <c r="L105" s="88"/>
      <c r="M105" s="88"/>
      <c r="N105" s="88"/>
      <c r="O105" s="88"/>
      <c r="P105" s="88"/>
      <c r="Q105" s="88"/>
      <c r="R105" s="88"/>
      <c r="S105" s="88"/>
      <c r="T105" s="88"/>
      <c r="U105" s="88"/>
      <c r="V105" s="88"/>
      <c r="W105" s="88"/>
      <c r="X105" s="88"/>
      <c r="Y105" s="88"/>
      <c r="Z105" s="88"/>
      <c r="AA105" s="88"/>
    </row>
    <row r="106" spans="3:27">
      <c r="C106" s="91"/>
      <c r="D106" s="88"/>
      <c r="E106" s="88"/>
      <c r="F106" s="88"/>
      <c r="G106" s="88"/>
      <c r="H106" s="88"/>
      <c r="I106" s="88"/>
      <c r="J106" s="88"/>
      <c r="K106" s="88"/>
      <c r="L106" s="88"/>
      <c r="M106" s="88"/>
      <c r="N106" s="88"/>
      <c r="O106" s="88"/>
      <c r="P106" s="88"/>
      <c r="Q106" s="88"/>
      <c r="R106" s="88"/>
      <c r="S106" s="88"/>
      <c r="T106" s="88"/>
      <c r="U106" s="88"/>
      <c r="V106" s="88"/>
      <c r="W106" s="88"/>
      <c r="X106" s="88"/>
      <c r="Y106" s="88"/>
      <c r="Z106" s="88"/>
      <c r="AA106" s="88"/>
    </row>
    <row r="107" spans="3:27">
      <c r="C107" s="91"/>
      <c r="D107" s="88"/>
      <c r="E107" s="88"/>
      <c r="F107" s="88"/>
      <c r="G107" s="88"/>
      <c r="H107" s="88"/>
      <c r="I107" s="88"/>
      <c r="J107" s="88"/>
      <c r="K107" s="88"/>
      <c r="L107" s="88"/>
      <c r="M107" s="88"/>
      <c r="N107" s="88"/>
      <c r="O107" s="88"/>
      <c r="P107" s="88"/>
      <c r="Q107" s="88"/>
      <c r="R107" s="88"/>
      <c r="S107" s="88"/>
      <c r="T107" s="88"/>
      <c r="U107" s="88"/>
      <c r="V107" s="88"/>
      <c r="W107" s="88"/>
      <c r="X107" s="88"/>
      <c r="Y107" s="88"/>
      <c r="Z107" s="88"/>
      <c r="AA107" s="88"/>
    </row>
    <row r="108" spans="3:27">
      <c r="C108" s="91"/>
      <c r="D108" s="88"/>
      <c r="E108" s="88"/>
      <c r="F108" s="88"/>
      <c r="G108" s="88"/>
      <c r="H108" s="88"/>
      <c r="I108" s="88"/>
      <c r="J108" s="88"/>
      <c r="K108" s="88"/>
      <c r="L108" s="88"/>
      <c r="M108" s="88"/>
      <c r="N108" s="88"/>
      <c r="O108" s="88"/>
      <c r="P108" s="88"/>
      <c r="Q108" s="88"/>
      <c r="R108" s="88"/>
      <c r="S108" s="88"/>
      <c r="T108" s="88"/>
      <c r="U108" s="88"/>
      <c r="V108" s="88"/>
      <c r="W108" s="88"/>
      <c r="X108" s="88"/>
      <c r="Y108" s="88"/>
      <c r="Z108" s="88"/>
      <c r="AA108" s="88"/>
    </row>
    <row r="109" spans="3:27">
      <c r="C109" s="91"/>
      <c r="D109" s="88"/>
      <c r="E109" s="88"/>
      <c r="F109" s="88"/>
      <c r="G109" s="88"/>
      <c r="H109" s="88"/>
      <c r="I109" s="88"/>
      <c r="J109" s="88"/>
      <c r="K109" s="88"/>
      <c r="L109" s="88"/>
      <c r="M109" s="88"/>
      <c r="N109" s="88"/>
      <c r="O109" s="88"/>
      <c r="P109" s="88"/>
      <c r="Q109" s="88"/>
      <c r="R109" s="88"/>
      <c r="S109" s="88"/>
      <c r="T109" s="88"/>
      <c r="U109" s="88"/>
      <c r="V109" s="88"/>
      <c r="W109" s="88"/>
      <c r="X109" s="88"/>
      <c r="Y109" s="88"/>
      <c r="Z109" s="88"/>
      <c r="AA109" s="88"/>
    </row>
    <row r="110" spans="3:27">
      <c r="C110" s="91"/>
      <c r="D110" s="88"/>
      <c r="E110" s="88"/>
      <c r="F110" s="88"/>
      <c r="G110" s="88"/>
      <c r="H110" s="88"/>
      <c r="I110" s="88"/>
      <c r="J110" s="88"/>
      <c r="K110" s="88"/>
      <c r="L110" s="88"/>
      <c r="M110" s="88"/>
      <c r="N110" s="88"/>
      <c r="O110" s="88"/>
      <c r="P110" s="88"/>
      <c r="Q110" s="88"/>
      <c r="R110" s="88"/>
      <c r="S110" s="88"/>
      <c r="T110" s="88"/>
      <c r="U110" s="88"/>
      <c r="V110" s="88"/>
      <c r="W110" s="88"/>
      <c r="X110" s="88"/>
      <c r="Y110" s="88"/>
      <c r="Z110" s="88"/>
      <c r="AA110" s="88"/>
    </row>
    <row r="122" spans="3:3">
      <c r="C122" s="71" t="s">
        <v>257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CommandButton7">
          <controlPr autoLine="0" r:id="rId5">
            <anchor moveWithCells="1">
              <from>
                <xdr:col>6</xdr:col>
                <xdr:colOff>9525</xdr:colOff>
                <xdr:row>34</xdr:row>
                <xdr:rowOff>0</xdr:rowOff>
              </from>
              <to>
                <xdr:col>8</xdr:col>
                <xdr:colOff>76200</xdr:colOff>
                <xdr:row>35</xdr:row>
                <xdr:rowOff>123825</xdr:rowOff>
              </to>
            </anchor>
          </controlPr>
        </control>
      </mc:Choice>
      <mc:Fallback>
        <control shapeId="8203" r:id="rId4" name="CommandButton7"/>
      </mc:Fallback>
    </mc:AlternateContent>
    <mc:AlternateContent xmlns:mc="http://schemas.openxmlformats.org/markup-compatibility/2006">
      <mc:Choice Requires="x14">
        <control shapeId="8202" r:id="rId6" name="ButtonWizardVirtueelSerienr">
          <controlPr defaultSize="0" autoLine="0" r:id="rId7">
            <anchor moveWithCells="1">
              <from>
                <xdr:col>8</xdr:col>
                <xdr:colOff>114300</xdr:colOff>
                <xdr:row>34</xdr:row>
                <xdr:rowOff>0</xdr:rowOff>
              </from>
              <to>
                <xdr:col>9</xdr:col>
                <xdr:colOff>857250</xdr:colOff>
                <xdr:row>35</xdr:row>
                <xdr:rowOff>133350</xdr:rowOff>
              </to>
            </anchor>
          </controlPr>
        </control>
      </mc:Choice>
      <mc:Fallback>
        <control shapeId="8202" r:id="rId6" name="ButtonWizardVirtueelSerienr"/>
      </mc:Fallback>
    </mc:AlternateContent>
    <mc:AlternateContent xmlns:mc="http://schemas.openxmlformats.org/markup-compatibility/2006">
      <mc:Choice Requires="x14">
        <control shapeId="8201" r:id="rId8" name="ButtonPrintGrootZilver">
          <controlPr autoLine="0" r:id="rId9">
            <anchor moveWithCells="1">
              <from>
                <xdr:col>3</xdr:col>
                <xdr:colOff>1638300</xdr:colOff>
                <xdr:row>34</xdr:row>
                <xdr:rowOff>9525</xdr:rowOff>
              </from>
              <to>
                <xdr:col>5</xdr:col>
                <xdr:colOff>647700</xdr:colOff>
                <xdr:row>35</xdr:row>
                <xdr:rowOff>133350</xdr:rowOff>
              </to>
            </anchor>
          </controlPr>
        </control>
      </mc:Choice>
      <mc:Fallback>
        <control shapeId="8201" r:id="rId8" name="ButtonPrintGrootZilver"/>
      </mc:Fallback>
    </mc:AlternateContent>
    <mc:AlternateContent xmlns:mc="http://schemas.openxmlformats.org/markup-compatibility/2006">
      <mc:Choice Requires="x14">
        <control shapeId="8200" r:id="rId10" name="ButtonPrintGeelBlad">
          <controlPr autoLine="0" r:id="rId11">
            <anchor moveWithCells="1">
              <from>
                <xdr:col>3</xdr:col>
                <xdr:colOff>47625</xdr:colOff>
                <xdr:row>28</xdr:row>
                <xdr:rowOff>9525</xdr:rowOff>
              </from>
              <to>
                <xdr:col>4</xdr:col>
                <xdr:colOff>171450</xdr:colOff>
                <xdr:row>29</xdr:row>
                <xdr:rowOff>133350</xdr:rowOff>
              </to>
            </anchor>
          </controlPr>
        </control>
      </mc:Choice>
      <mc:Fallback>
        <control shapeId="8200" r:id="rId10" name="ButtonPrintGeelBlad"/>
      </mc:Fallback>
    </mc:AlternateContent>
    <mc:AlternateContent xmlns:mc="http://schemas.openxmlformats.org/markup-compatibility/2006">
      <mc:Choice Requires="x14">
        <control shapeId="8193" r:id="rId12" name="KnopAnalyseer">
          <controlPr autoLine="0" r:id="rId13">
            <anchor moveWithCells="1">
              <from>
                <xdr:col>4</xdr:col>
                <xdr:colOff>581025</xdr:colOff>
                <xdr:row>24</xdr:row>
                <xdr:rowOff>114300</xdr:rowOff>
              </from>
              <to>
                <xdr:col>9</xdr:col>
                <xdr:colOff>152400</xdr:colOff>
                <xdr:row>26</xdr:row>
                <xdr:rowOff>57150</xdr:rowOff>
              </to>
            </anchor>
          </controlPr>
        </control>
      </mc:Choice>
      <mc:Fallback>
        <control shapeId="8193" r:id="rId12" name="KnopAnalyseer"/>
      </mc:Fallback>
    </mc:AlternateContent>
    <mc:AlternateContent xmlns:mc="http://schemas.openxmlformats.org/markup-compatibility/2006">
      <mc:Choice Requires="x14">
        <control shapeId="8194" r:id="rId14" name="CommandButton1">
          <controlPr autoLine="0" r:id="rId15">
            <anchor moveWithCells="1">
              <from>
                <xdr:col>3</xdr:col>
                <xdr:colOff>171450</xdr:colOff>
                <xdr:row>24</xdr:row>
                <xdr:rowOff>123825</xdr:rowOff>
              </from>
              <to>
                <xdr:col>3</xdr:col>
                <xdr:colOff>1085850</xdr:colOff>
                <xdr:row>26</xdr:row>
                <xdr:rowOff>66675</xdr:rowOff>
              </to>
            </anchor>
          </controlPr>
        </control>
      </mc:Choice>
      <mc:Fallback>
        <control shapeId="8194" r:id="rId14" name="CommandButton1"/>
      </mc:Fallback>
    </mc:AlternateContent>
    <mc:AlternateContent xmlns:mc="http://schemas.openxmlformats.org/markup-compatibility/2006">
      <mc:Choice Requires="x14">
        <control shapeId="8195" r:id="rId16" name="CommandButton2">
          <controlPr autoLine="0" r:id="rId17">
            <anchor moveWithCells="1">
              <from>
                <xdr:col>1</xdr:col>
                <xdr:colOff>1514475</xdr:colOff>
                <xdr:row>26</xdr:row>
                <xdr:rowOff>171450</xdr:rowOff>
              </from>
              <to>
                <xdr:col>1</xdr:col>
                <xdr:colOff>2428875</xdr:colOff>
                <xdr:row>28</xdr:row>
                <xdr:rowOff>114300</xdr:rowOff>
              </to>
            </anchor>
          </controlPr>
        </control>
      </mc:Choice>
      <mc:Fallback>
        <control shapeId="8195" r:id="rId16" name="CommandButton2"/>
      </mc:Fallback>
    </mc:AlternateContent>
    <mc:AlternateContent xmlns:mc="http://schemas.openxmlformats.org/markup-compatibility/2006">
      <mc:Choice Requires="x14">
        <control shapeId="8196" r:id="rId18" name="CommandButton3">
          <controlPr autoLine="0" r:id="rId19">
            <anchor moveWithCells="1">
              <from>
                <xdr:col>1</xdr:col>
                <xdr:colOff>1524000</xdr:colOff>
                <xdr:row>23</xdr:row>
                <xdr:rowOff>47625</xdr:rowOff>
              </from>
              <to>
                <xdr:col>1</xdr:col>
                <xdr:colOff>2438400</xdr:colOff>
                <xdr:row>24</xdr:row>
                <xdr:rowOff>171450</xdr:rowOff>
              </to>
            </anchor>
          </controlPr>
        </control>
      </mc:Choice>
      <mc:Fallback>
        <control shapeId="8196" r:id="rId18" name="CommandButton3"/>
      </mc:Fallback>
    </mc:AlternateContent>
    <mc:AlternateContent xmlns:mc="http://schemas.openxmlformats.org/markup-compatibility/2006">
      <mc:Choice Requires="x14">
        <control shapeId="8197" r:id="rId20" name="CommandButton4">
          <controlPr autoLine="0" r:id="rId21">
            <anchor moveWithCells="1">
              <from>
                <xdr:col>1</xdr:col>
                <xdr:colOff>1514475</xdr:colOff>
                <xdr:row>25</xdr:row>
                <xdr:rowOff>9525</xdr:rowOff>
              </from>
              <to>
                <xdr:col>1</xdr:col>
                <xdr:colOff>2428875</xdr:colOff>
                <xdr:row>26</xdr:row>
                <xdr:rowOff>133350</xdr:rowOff>
              </to>
            </anchor>
          </controlPr>
        </control>
      </mc:Choice>
      <mc:Fallback>
        <control shapeId="8197" r:id="rId20" name="CommandButton4"/>
      </mc:Fallback>
    </mc:AlternateContent>
    <mc:AlternateContent xmlns:mc="http://schemas.openxmlformats.org/markup-compatibility/2006">
      <mc:Choice Requires="x14">
        <control shapeId="8198" r:id="rId22" name="CommandButton5">
          <controlPr autoLine="0" r:id="rId23">
            <anchor moveWithCells="1">
              <from>
                <xdr:col>10</xdr:col>
                <xdr:colOff>361950</xdr:colOff>
                <xdr:row>2</xdr:row>
                <xdr:rowOff>161925</xdr:rowOff>
              </from>
              <to>
                <xdr:col>13</xdr:col>
                <xdr:colOff>504825</xdr:colOff>
                <xdr:row>4</xdr:row>
                <xdr:rowOff>95250</xdr:rowOff>
              </to>
            </anchor>
          </controlPr>
        </control>
      </mc:Choice>
      <mc:Fallback>
        <control shapeId="8198" r:id="rId22" name="CommandButton5"/>
      </mc:Fallback>
    </mc:AlternateContent>
    <mc:AlternateContent xmlns:mc="http://schemas.openxmlformats.org/markup-compatibility/2006">
      <mc:Choice Requires="x14">
        <control shapeId="8199" r:id="rId24" name="CommandButton6">
          <controlPr autoLine="0" r:id="rId25">
            <anchor moveWithCells="1">
              <from>
                <xdr:col>3</xdr:col>
                <xdr:colOff>1190625</xdr:colOff>
                <xdr:row>24</xdr:row>
                <xdr:rowOff>104775</xdr:rowOff>
              </from>
              <to>
                <xdr:col>4</xdr:col>
                <xdr:colOff>419100</xdr:colOff>
                <xdr:row>26</xdr:row>
                <xdr:rowOff>47625</xdr:rowOff>
              </to>
            </anchor>
          </controlPr>
        </control>
      </mc:Choice>
      <mc:Fallback>
        <control shapeId="8199" r:id="rId24" name="CommandButton6"/>
      </mc:Fallback>
    </mc:AlternateContent>
    <mc:AlternateContent xmlns:mc="http://schemas.openxmlformats.org/markup-compatibility/2006">
      <mc:Choice Requires="x14">
        <control shapeId="8204" r:id="rId26" name="CommandButton8">
          <controlPr defaultSize="0" autoLine="0" r:id="rId27">
            <anchor moveWithCells="1">
              <from>
                <xdr:col>13</xdr:col>
                <xdr:colOff>600075</xdr:colOff>
                <xdr:row>2</xdr:row>
                <xdr:rowOff>161925</xdr:rowOff>
              </from>
              <to>
                <xdr:col>15</xdr:col>
                <xdr:colOff>514350</xdr:colOff>
                <xdr:row>4</xdr:row>
                <xdr:rowOff>95250</xdr:rowOff>
              </to>
            </anchor>
          </controlPr>
        </control>
      </mc:Choice>
      <mc:Fallback>
        <control shapeId="8204" r:id="rId26" name="CommandButton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>
    <tabColor theme="5" tint="-0.249977111117893"/>
  </sheetPr>
  <dimension ref="A1:G80"/>
  <sheetViews>
    <sheetView topLeftCell="A57" workbookViewId="0">
      <selection activeCell="B83" sqref="B83"/>
    </sheetView>
  </sheetViews>
  <sheetFormatPr defaultRowHeight="14.25"/>
  <cols>
    <col min="1" max="1" width="26.125" bestFit="1" customWidth="1"/>
    <col min="2" max="2" width="26.375" bestFit="1" customWidth="1"/>
    <col min="3" max="3" width="35" bestFit="1" customWidth="1"/>
    <col min="4" max="4" width="5.5" style="52" customWidth="1"/>
    <col min="5" max="6" width="5.5" style="75" customWidth="1"/>
    <col min="7" max="7" width="13.5" style="53" customWidth="1"/>
    <col min="9" max="9" width="12.625" bestFit="1" customWidth="1"/>
    <col min="10" max="10" width="24.625" bestFit="1" customWidth="1"/>
    <col min="11" max="11" width="8.875" bestFit="1" customWidth="1"/>
    <col min="12" max="12" width="40.625" bestFit="1" customWidth="1"/>
  </cols>
  <sheetData>
    <row r="1" spans="1:7">
      <c r="A1" t="s">
        <v>258</v>
      </c>
      <c r="B1" t="s">
        <v>259</v>
      </c>
      <c r="C1" t="s">
        <v>262</v>
      </c>
      <c r="D1" s="72"/>
      <c r="E1" s="73"/>
      <c r="F1" s="73"/>
      <c r="G1" s="74"/>
    </row>
    <row r="2" spans="1:7">
      <c r="A2" s="67" t="s">
        <v>138</v>
      </c>
      <c r="B2" s="67" t="s">
        <v>140</v>
      </c>
      <c r="C2" s="67"/>
      <c r="D2" s="76"/>
      <c r="E2" s="77"/>
      <c r="F2" s="77"/>
      <c r="G2" s="78"/>
    </row>
    <row r="3" spans="1:7">
      <c r="A3" t="s">
        <v>110</v>
      </c>
      <c r="B3" t="s">
        <v>387</v>
      </c>
      <c r="D3"/>
      <c r="E3"/>
      <c r="F3"/>
      <c r="G3"/>
    </row>
    <row r="4" spans="1:7">
      <c r="A4" t="s">
        <v>125</v>
      </c>
      <c r="B4" t="s">
        <v>139</v>
      </c>
      <c r="D4"/>
      <c r="E4"/>
      <c r="F4"/>
      <c r="G4"/>
    </row>
    <row r="5" spans="1:7">
      <c r="A5" t="s">
        <v>126</v>
      </c>
      <c r="B5" t="s">
        <v>126</v>
      </c>
      <c r="D5"/>
      <c r="E5"/>
      <c r="F5"/>
      <c r="G5"/>
    </row>
    <row r="6" spans="1:7">
      <c r="A6" t="s">
        <v>124</v>
      </c>
      <c r="B6" t="s">
        <v>124</v>
      </c>
      <c r="D6"/>
      <c r="E6"/>
      <c r="F6"/>
      <c r="G6"/>
    </row>
    <row r="7" spans="1:7">
      <c r="A7" t="s">
        <v>161</v>
      </c>
      <c r="B7" t="s">
        <v>168</v>
      </c>
      <c r="D7"/>
      <c r="E7"/>
      <c r="F7"/>
      <c r="G7"/>
    </row>
    <row r="8" spans="1:7">
      <c r="A8" t="s">
        <v>318</v>
      </c>
      <c r="B8" t="s">
        <v>318</v>
      </c>
      <c r="D8"/>
      <c r="E8"/>
      <c r="F8"/>
      <c r="G8"/>
    </row>
    <row r="9" spans="1:7">
      <c r="A9" t="s">
        <v>162</v>
      </c>
      <c r="B9" t="s">
        <v>169</v>
      </c>
      <c r="D9"/>
      <c r="E9"/>
      <c r="F9"/>
      <c r="G9"/>
    </row>
    <row r="10" spans="1:7">
      <c r="A10" t="s">
        <v>103</v>
      </c>
      <c r="B10" t="s">
        <v>103</v>
      </c>
      <c r="D10"/>
      <c r="E10"/>
      <c r="F10"/>
      <c r="G10"/>
    </row>
    <row r="11" spans="1:7">
      <c r="A11" t="s">
        <v>131</v>
      </c>
      <c r="B11" t="s">
        <v>141</v>
      </c>
      <c r="D11"/>
      <c r="E11"/>
      <c r="F11"/>
      <c r="G11"/>
    </row>
    <row r="12" spans="1:7">
      <c r="A12" t="s">
        <v>163</v>
      </c>
      <c r="B12" t="s">
        <v>163</v>
      </c>
      <c r="D12"/>
      <c r="E12"/>
      <c r="F12"/>
      <c r="G12"/>
    </row>
    <row r="13" spans="1:7">
      <c r="A13" t="s">
        <v>163</v>
      </c>
      <c r="B13" t="s">
        <v>163</v>
      </c>
      <c r="D13"/>
      <c r="E13"/>
      <c r="F13"/>
      <c r="G13"/>
    </row>
    <row r="14" spans="1:7">
      <c r="A14" t="s">
        <v>112</v>
      </c>
      <c r="B14" t="s">
        <v>390</v>
      </c>
      <c r="D14"/>
      <c r="E14"/>
      <c r="F14"/>
      <c r="G14"/>
    </row>
    <row r="15" spans="1:7">
      <c r="A15" t="s">
        <v>106</v>
      </c>
      <c r="B15" t="s">
        <v>155</v>
      </c>
      <c r="D15"/>
      <c r="E15"/>
      <c r="F15"/>
      <c r="G15"/>
    </row>
    <row r="16" spans="1:7">
      <c r="A16" t="s">
        <v>106</v>
      </c>
      <c r="B16" t="s">
        <v>155</v>
      </c>
      <c r="D16"/>
      <c r="E16"/>
      <c r="F16"/>
      <c r="G16"/>
    </row>
    <row r="17" spans="1:7">
      <c r="A17" t="s">
        <v>121</v>
      </c>
      <c r="B17" t="s">
        <v>156</v>
      </c>
      <c r="D17"/>
      <c r="E17"/>
      <c r="F17"/>
      <c r="G17"/>
    </row>
    <row r="18" spans="1:7">
      <c r="A18" t="s">
        <v>164</v>
      </c>
      <c r="B18" t="s">
        <v>164</v>
      </c>
      <c r="D18"/>
      <c r="E18"/>
      <c r="F18"/>
      <c r="G18"/>
    </row>
    <row r="19" spans="1:7">
      <c r="A19" t="s">
        <v>128</v>
      </c>
      <c r="B19" t="s">
        <v>142</v>
      </c>
      <c r="D19"/>
      <c r="E19"/>
      <c r="F19"/>
      <c r="G19"/>
    </row>
    <row r="20" spans="1:7">
      <c r="A20" t="s">
        <v>122</v>
      </c>
      <c r="B20" t="s">
        <v>391</v>
      </c>
      <c r="D20"/>
      <c r="E20"/>
      <c r="F20"/>
      <c r="G20"/>
    </row>
    <row r="21" spans="1:7">
      <c r="A21" t="s">
        <v>113</v>
      </c>
      <c r="B21" t="s">
        <v>143</v>
      </c>
      <c r="D21"/>
      <c r="E21"/>
      <c r="F21"/>
      <c r="G21"/>
    </row>
    <row r="22" spans="1:7">
      <c r="A22" t="s">
        <v>165</v>
      </c>
      <c r="B22" t="s">
        <v>172</v>
      </c>
      <c r="D22"/>
      <c r="E22"/>
      <c r="F22"/>
      <c r="G22"/>
    </row>
    <row r="23" spans="1:7">
      <c r="A23" t="s">
        <v>166</v>
      </c>
      <c r="B23" t="s">
        <v>170</v>
      </c>
      <c r="D23"/>
      <c r="E23"/>
      <c r="F23"/>
      <c r="G23"/>
    </row>
    <row r="24" spans="1:7">
      <c r="A24" t="s">
        <v>167</v>
      </c>
      <c r="B24" t="s">
        <v>171</v>
      </c>
      <c r="D24"/>
      <c r="E24"/>
      <c r="F24"/>
      <c r="G24"/>
    </row>
    <row r="25" spans="1:7">
      <c r="A25" t="s">
        <v>111</v>
      </c>
      <c r="B25" t="s">
        <v>111</v>
      </c>
      <c r="D25"/>
      <c r="E25"/>
      <c r="F25"/>
      <c r="G25"/>
    </row>
    <row r="26" spans="1:7">
      <c r="A26" t="s">
        <v>135</v>
      </c>
      <c r="B26" t="s">
        <v>135</v>
      </c>
      <c r="D26"/>
      <c r="E26"/>
      <c r="F26"/>
      <c r="G26"/>
    </row>
    <row r="27" spans="1:7">
      <c r="A27" t="s">
        <v>137</v>
      </c>
      <c r="B27" t="s">
        <v>137</v>
      </c>
      <c r="D27"/>
      <c r="E27"/>
      <c r="F27"/>
      <c r="G27"/>
    </row>
    <row r="28" spans="1:7">
      <c r="A28" t="s">
        <v>94</v>
      </c>
      <c r="B28" t="s">
        <v>94</v>
      </c>
      <c r="D28"/>
      <c r="E28"/>
      <c r="F28"/>
      <c r="G28"/>
    </row>
    <row r="29" spans="1:7">
      <c r="A29" s="67" t="s">
        <v>133</v>
      </c>
      <c r="B29" s="67" t="s">
        <v>157</v>
      </c>
      <c r="C29" s="67" t="s">
        <v>272</v>
      </c>
      <c r="D29"/>
      <c r="E29"/>
      <c r="F29"/>
      <c r="G29"/>
    </row>
    <row r="30" spans="1:7">
      <c r="A30" s="67" t="s">
        <v>134</v>
      </c>
      <c r="B30" s="67" t="s">
        <v>409</v>
      </c>
      <c r="C30" s="67" t="s">
        <v>272</v>
      </c>
      <c r="D30"/>
      <c r="E30"/>
      <c r="F30"/>
      <c r="G30"/>
    </row>
    <row r="31" spans="1:7">
      <c r="A31" t="s">
        <v>151</v>
      </c>
      <c r="B31" t="s">
        <v>184</v>
      </c>
      <c r="D31"/>
      <c r="E31"/>
      <c r="F31"/>
      <c r="G31"/>
    </row>
    <row r="32" spans="1:7">
      <c r="A32" t="s">
        <v>115</v>
      </c>
      <c r="B32" t="s">
        <v>158</v>
      </c>
      <c r="D32"/>
      <c r="E32"/>
      <c r="F32"/>
      <c r="G32"/>
    </row>
    <row r="33" spans="1:7">
      <c r="A33" t="s">
        <v>99</v>
      </c>
      <c r="B33" t="s">
        <v>99</v>
      </c>
      <c r="D33"/>
      <c r="E33"/>
      <c r="F33"/>
      <c r="G33"/>
    </row>
    <row r="34" spans="1:7">
      <c r="A34" t="s">
        <v>101</v>
      </c>
      <c r="B34" t="s">
        <v>101</v>
      </c>
      <c r="D34"/>
      <c r="E34"/>
      <c r="F34"/>
      <c r="G34"/>
    </row>
    <row r="35" spans="1:7">
      <c r="A35" t="s">
        <v>107</v>
      </c>
      <c r="B35" t="s">
        <v>144</v>
      </c>
      <c r="D35"/>
      <c r="E35"/>
      <c r="F35"/>
      <c r="G35"/>
    </row>
    <row r="36" spans="1:7">
      <c r="A36" t="s">
        <v>130</v>
      </c>
      <c r="B36" t="s">
        <v>130</v>
      </c>
      <c r="D36"/>
      <c r="E36"/>
      <c r="F36"/>
      <c r="G36"/>
    </row>
    <row r="37" spans="1:7">
      <c r="A37" t="s">
        <v>116</v>
      </c>
      <c r="B37" t="s">
        <v>116</v>
      </c>
      <c r="D37"/>
      <c r="E37"/>
      <c r="F37"/>
      <c r="G37"/>
    </row>
    <row r="38" spans="1:7">
      <c r="A38" s="67" t="s">
        <v>118</v>
      </c>
      <c r="B38" s="67" t="s">
        <v>145</v>
      </c>
      <c r="C38" s="67"/>
      <c r="D38"/>
      <c r="E38"/>
      <c r="F38"/>
      <c r="G38"/>
    </row>
    <row r="39" spans="1:7">
      <c r="A39" t="s">
        <v>119</v>
      </c>
      <c r="B39" t="s">
        <v>152</v>
      </c>
      <c r="D39"/>
      <c r="E39"/>
      <c r="F39"/>
      <c r="G39"/>
    </row>
    <row r="40" spans="1:7">
      <c r="A40" t="s">
        <v>127</v>
      </c>
      <c r="B40" t="s">
        <v>146</v>
      </c>
      <c r="D40"/>
      <c r="E40"/>
      <c r="F40"/>
      <c r="G40"/>
    </row>
    <row r="41" spans="1:7">
      <c r="A41" t="s">
        <v>92</v>
      </c>
      <c r="B41" t="s">
        <v>92</v>
      </c>
      <c r="D41"/>
      <c r="E41"/>
      <c r="F41"/>
      <c r="G41"/>
    </row>
    <row r="42" spans="1:7">
      <c r="A42" t="s">
        <v>120</v>
      </c>
      <c r="B42" t="s">
        <v>159</v>
      </c>
      <c r="D42"/>
      <c r="E42"/>
      <c r="F42"/>
      <c r="G42"/>
    </row>
    <row r="43" spans="1:7">
      <c r="A43" t="s">
        <v>96</v>
      </c>
      <c r="B43" t="s">
        <v>147</v>
      </c>
      <c r="D43"/>
      <c r="E43"/>
      <c r="F43"/>
      <c r="G43"/>
    </row>
    <row r="44" spans="1:7">
      <c r="A44" t="s">
        <v>174</v>
      </c>
      <c r="B44" t="s">
        <v>175</v>
      </c>
      <c r="D44"/>
      <c r="E44"/>
      <c r="F44"/>
      <c r="G44"/>
    </row>
    <row r="45" spans="1:7">
      <c r="A45" t="s">
        <v>129</v>
      </c>
      <c r="B45" t="s">
        <v>129</v>
      </c>
      <c r="D45"/>
      <c r="E45"/>
      <c r="F45"/>
      <c r="G45"/>
    </row>
    <row r="46" spans="1:7">
      <c r="A46" t="s">
        <v>102</v>
      </c>
      <c r="B46" t="s">
        <v>102</v>
      </c>
      <c r="D46"/>
      <c r="E46"/>
      <c r="F46"/>
      <c r="G46"/>
    </row>
    <row r="47" spans="1:7">
      <c r="A47" t="s">
        <v>114</v>
      </c>
      <c r="B47" t="s">
        <v>114</v>
      </c>
      <c r="D47"/>
      <c r="E47"/>
      <c r="F47"/>
      <c r="G47"/>
    </row>
    <row r="48" spans="1:7">
      <c r="A48" t="s">
        <v>95</v>
      </c>
      <c r="B48" t="s">
        <v>160</v>
      </c>
      <c r="D48"/>
      <c r="E48"/>
      <c r="F48"/>
      <c r="G48"/>
    </row>
    <row r="49" spans="1:7">
      <c r="A49" t="s">
        <v>97</v>
      </c>
      <c r="B49" t="s">
        <v>97</v>
      </c>
      <c r="D49"/>
      <c r="E49"/>
      <c r="F49"/>
      <c r="G49"/>
    </row>
    <row r="50" spans="1:7">
      <c r="A50" t="s">
        <v>108</v>
      </c>
      <c r="B50" t="s">
        <v>153</v>
      </c>
      <c r="D50"/>
      <c r="E50"/>
      <c r="F50"/>
      <c r="G50"/>
    </row>
    <row r="51" spans="1:7">
      <c r="A51" t="s">
        <v>105</v>
      </c>
      <c r="B51" t="s">
        <v>154</v>
      </c>
      <c r="D51"/>
      <c r="E51"/>
      <c r="F51"/>
      <c r="G51"/>
    </row>
    <row r="52" spans="1:7">
      <c r="A52" t="s">
        <v>104</v>
      </c>
      <c r="B52" t="s">
        <v>154</v>
      </c>
      <c r="D52"/>
      <c r="E52"/>
      <c r="F52"/>
      <c r="G52"/>
    </row>
    <row r="53" spans="1:7">
      <c r="A53" t="s">
        <v>33</v>
      </c>
      <c r="B53" t="s">
        <v>33</v>
      </c>
      <c r="D53"/>
      <c r="E53"/>
      <c r="F53"/>
      <c r="G53"/>
    </row>
    <row r="54" spans="1:7">
      <c r="A54" t="s">
        <v>132</v>
      </c>
      <c r="B54" t="s">
        <v>132</v>
      </c>
      <c r="D54"/>
      <c r="E54"/>
      <c r="F54"/>
      <c r="G54"/>
    </row>
    <row r="55" spans="1:7">
      <c r="A55" t="s">
        <v>98</v>
      </c>
      <c r="B55" t="s">
        <v>173</v>
      </c>
      <c r="C55" t="s">
        <v>263</v>
      </c>
      <c r="D55"/>
      <c r="E55"/>
      <c r="F55"/>
      <c r="G55"/>
    </row>
    <row r="56" spans="1:7">
      <c r="A56" t="s">
        <v>100</v>
      </c>
      <c r="B56" t="s">
        <v>185</v>
      </c>
      <c r="D56"/>
      <c r="E56"/>
      <c r="F56"/>
      <c r="G56"/>
    </row>
    <row r="57" spans="1:7">
      <c r="A57" t="s">
        <v>93</v>
      </c>
      <c r="B57" t="s">
        <v>150</v>
      </c>
      <c r="D57"/>
      <c r="E57"/>
      <c r="F57"/>
      <c r="G57"/>
    </row>
    <row r="58" spans="1:7">
      <c r="A58" t="s">
        <v>123</v>
      </c>
      <c r="B58" t="s">
        <v>123</v>
      </c>
      <c r="D58"/>
      <c r="E58"/>
      <c r="F58"/>
      <c r="G58"/>
    </row>
    <row r="59" spans="1:7">
      <c r="A59" t="s">
        <v>136</v>
      </c>
      <c r="B59" t="s">
        <v>149</v>
      </c>
      <c r="D59"/>
      <c r="E59"/>
      <c r="F59"/>
      <c r="G59"/>
    </row>
    <row r="60" spans="1:7">
      <c r="A60" t="s">
        <v>117</v>
      </c>
      <c r="B60" t="s">
        <v>117</v>
      </c>
      <c r="D60"/>
      <c r="E60"/>
      <c r="F60"/>
      <c r="G60"/>
    </row>
    <row r="61" spans="1:7">
      <c r="A61" t="s">
        <v>109</v>
      </c>
      <c r="B61" t="s">
        <v>148</v>
      </c>
      <c r="D61"/>
      <c r="E61"/>
      <c r="F61"/>
      <c r="G61"/>
    </row>
    <row r="62" spans="1:7">
      <c r="A62" t="s">
        <v>176</v>
      </c>
      <c r="B62" t="s">
        <v>177</v>
      </c>
      <c r="D62"/>
      <c r="E62"/>
      <c r="F62"/>
      <c r="G62"/>
    </row>
    <row r="63" spans="1:7">
      <c r="A63" t="s">
        <v>178</v>
      </c>
      <c r="B63" t="s">
        <v>179</v>
      </c>
      <c r="D63"/>
      <c r="E63"/>
      <c r="F63"/>
      <c r="G63"/>
    </row>
    <row r="64" spans="1:7">
      <c r="A64" t="s">
        <v>180</v>
      </c>
      <c r="B64" t="s">
        <v>181</v>
      </c>
      <c r="D64"/>
      <c r="E64"/>
      <c r="F64"/>
      <c r="G64"/>
    </row>
    <row r="65" spans="1:7">
      <c r="A65" t="s">
        <v>182</v>
      </c>
      <c r="B65" t="s">
        <v>183</v>
      </c>
      <c r="D65"/>
      <c r="E65"/>
      <c r="F65"/>
      <c r="G65"/>
    </row>
    <row r="66" spans="1:7">
      <c r="A66" t="s">
        <v>186</v>
      </c>
      <c r="B66" t="s">
        <v>187</v>
      </c>
      <c r="D66"/>
      <c r="E66"/>
      <c r="F66"/>
      <c r="G66"/>
    </row>
    <row r="67" spans="1:7">
      <c r="A67" t="s">
        <v>189</v>
      </c>
      <c r="B67" t="s">
        <v>192</v>
      </c>
      <c r="D67"/>
      <c r="E67"/>
      <c r="F67"/>
      <c r="G67"/>
    </row>
    <row r="68" spans="1:7">
      <c r="A68" t="s">
        <v>245</v>
      </c>
      <c r="B68" t="s">
        <v>251</v>
      </c>
      <c r="D68"/>
      <c r="E68"/>
      <c r="F68"/>
      <c r="G68"/>
    </row>
    <row r="69" spans="1:7">
      <c r="A69" t="s">
        <v>264</v>
      </c>
      <c r="B69" t="s">
        <v>264</v>
      </c>
      <c r="C69" s="67" t="s">
        <v>263</v>
      </c>
      <c r="D69"/>
      <c r="E69"/>
      <c r="F69"/>
      <c r="G69"/>
    </row>
    <row r="70" spans="1:7">
      <c r="A70" t="s">
        <v>311</v>
      </c>
      <c r="B70" t="s">
        <v>313</v>
      </c>
      <c r="D70"/>
      <c r="E70"/>
      <c r="F70"/>
      <c r="G70"/>
    </row>
    <row r="71" spans="1:7">
      <c r="A71" t="s">
        <v>314</v>
      </c>
      <c r="B71" t="s">
        <v>315</v>
      </c>
      <c r="D71"/>
      <c r="E71"/>
      <c r="F71"/>
      <c r="G71"/>
    </row>
    <row r="72" spans="1:7">
      <c r="A72" t="s">
        <v>316</v>
      </c>
      <c r="B72" t="s">
        <v>317</v>
      </c>
      <c r="D72"/>
      <c r="E72"/>
      <c r="F72"/>
      <c r="G72"/>
    </row>
    <row r="73" spans="1:7">
      <c r="A73" t="s">
        <v>378</v>
      </c>
      <c r="B73" t="s">
        <v>378</v>
      </c>
    </row>
    <row r="74" spans="1:7">
      <c r="A74" t="s">
        <v>379</v>
      </c>
      <c r="B74" t="s">
        <v>380</v>
      </c>
    </row>
    <row r="75" spans="1:7">
      <c r="A75" t="s">
        <v>383</v>
      </c>
      <c r="B75" t="s">
        <v>384</v>
      </c>
    </row>
    <row r="76" spans="1:7">
      <c r="A76" t="s">
        <v>388</v>
      </c>
      <c r="B76" t="s">
        <v>389</v>
      </c>
    </row>
    <row r="77" spans="1:7">
      <c r="A77" s="69" t="s">
        <v>392</v>
      </c>
      <c r="B77" s="69" t="s">
        <v>393</v>
      </c>
    </row>
    <row r="78" spans="1:7">
      <c r="A78" s="69" t="s">
        <v>394</v>
      </c>
      <c r="B78" s="69" t="s">
        <v>395</v>
      </c>
    </row>
    <row r="79" spans="1:7">
      <c r="A79" s="69" t="s">
        <v>405</v>
      </c>
      <c r="B79" s="69" t="s">
        <v>406</v>
      </c>
    </row>
    <row r="80" spans="1:7">
      <c r="A80" s="69" t="s">
        <v>407</v>
      </c>
      <c r="B80" s="69" t="s">
        <v>408</v>
      </c>
    </row>
  </sheetData>
  <sortState ref="A1:B60">
    <sortCondition ref="B60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92D050"/>
  </sheetPr>
  <dimension ref="A1:I1018"/>
  <sheetViews>
    <sheetView zoomScale="90" zoomScaleNormal="90" workbookViewId="0">
      <selection activeCell="D23" sqref="D23"/>
    </sheetView>
  </sheetViews>
  <sheetFormatPr defaultRowHeight="14.25"/>
  <cols>
    <col min="1" max="1" width="40.125" style="22" bestFit="1" customWidth="1"/>
    <col min="2" max="2" width="23.375" style="32" customWidth="1"/>
    <col min="3" max="3" width="7.75" bestFit="1" customWidth="1"/>
    <col min="4" max="4" width="11.125" customWidth="1"/>
    <col min="5" max="5" width="24.25" bestFit="1" customWidth="1"/>
    <col min="6" max="7" width="36.625" customWidth="1"/>
    <col min="8" max="8" width="1.875" bestFit="1" customWidth="1"/>
    <col min="9" max="9" width="8.375" bestFit="1" customWidth="1"/>
  </cols>
  <sheetData>
    <row r="1" spans="1:6">
      <c r="A1" s="22" t="s">
        <v>208</v>
      </c>
      <c r="C1" t="s">
        <v>209</v>
      </c>
      <c r="E1" t="s">
        <v>214</v>
      </c>
      <c r="F1" t="s">
        <v>215</v>
      </c>
    </row>
    <row r="2" spans="1:6" s="24" customFormat="1" ht="15">
      <c r="A2" s="23" t="s">
        <v>213</v>
      </c>
      <c r="B2" s="33" t="s">
        <v>213</v>
      </c>
      <c r="C2" s="44" t="s">
        <v>210</v>
      </c>
    </row>
    <row r="3" spans="1:6" s="24" customFormat="1" ht="15">
      <c r="A3" s="23" t="s">
        <v>204</v>
      </c>
      <c r="B3" s="33" t="s">
        <v>80</v>
      </c>
      <c r="C3" s="44" t="s">
        <v>210</v>
      </c>
    </row>
    <row r="4" spans="1:6" s="26" customFormat="1" ht="15">
      <c r="A4" s="25" t="s">
        <v>51</v>
      </c>
      <c r="B4" s="34" t="s">
        <v>70</v>
      </c>
      <c r="C4" s="45" t="s">
        <v>210</v>
      </c>
    </row>
    <row r="5" spans="1:6" s="26" customFormat="1" ht="15">
      <c r="A5" s="25" t="s">
        <v>47</v>
      </c>
      <c r="B5" s="34" t="s">
        <v>70</v>
      </c>
      <c r="C5" s="45" t="s">
        <v>210</v>
      </c>
    </row>
    <row r="6" spans="1:6" s="26" customFormat="1" ht="15">
      <c r="A6" s="25" t="s">
        <v>205</v>
      </c>
      <c r="B6" s="34" t="s">
        <v>70</v>
      </c>
      <c r="C6" s="45" t="s">
        <v>210</v>
      </c>
    </row>
    <row r="7" spans="1:6" s="26" customFormat="1" ht="15">
      <c r="A7" s="25" t="s">
        <v>56</v>
      </c>
      <c r="B7" s="34" t="s">
        <v>70</v>
      </c>
      <c r="C7" s="45" t="s">
        <v>210</v>
      </c>
    </row>
    <row r="8" spans="1:6" s="27" customFormat="1">
      <c r="A8" t="s">
        <v>31</v>
      </c>
      <c r="B8" s="35" t="s">
        <v>72</v>
      </c>
      <c r="C8" s="27" t="s">
        <v>193</v>
      </c>
    </row>
    <row r="9" spans="1:6" s="24" customFormat="1">
      <c r="A9" s="102" t="s">
        <v>34</v>
      </c>
      <c r="B9" s="103" t="s">
        <v>73</v>
      </c>
      <c r="C9" s="101" t="s">
        <v>193</v>
      </c>
      <c r="D9" s="101"/>
      <c r="F9" s="38" t="s">
        <v>29</v>
      </c>
    </row>
    <row r="10" spans="1:6" s="24" customFormat="1">
      <c r="A10" s="102" t="s">
        <v>207</v>
      </c>
      <c r="B10" s="103" t="s">
        <v>73</v>
      </c>
      <c r="C10" s="101" t="s">
        <v>193</v>
      </c>
      <c r="D10" s="101"/>
      <c r="F10" s="38" t="s">
        <v>29</v>
      </c>
    </row>
    <row r="11" spans="1:6" s="24" customFormat="1">
      <c r="A11" s="102" t="s">
        <v>60</v>
      </c>
      <c r="B11" s="103" t="s">
        <v>73</v>
      </c>
      <c r="C11" s="101" t="s">
        <v>193</v>
      </c>
      <c r="D11" s="101"/>
      <c r="F11" s="38" t="s">
        <v>29</v>
      </c>
    </row>
    <row r="12" spans="1:6" s="24" customFormat="1">
      <c r="A12" s="102" t="s">
        <v>40</v>
      </c>
      <c r="B12" s="103" t="s">
        <v>73</v>
      </c>
      <c r="C12" s="101" t="s">
        <v>193</v>
      </c>
      <c r="D12" s="101"/>
      <c r="F12" s="38" t="s">
        <v>29</v>
      </c>
    </row>
    <row r="13" spans="1:6" s="24" customFormat="1">
      <c r="A13" s="102" t="s">
        <v>203</v>
      </c>
      <c r="B13" s="103" t="s">
        <v>85</v>
      </c>
      <c r="C13" s="101" t="s">
        <v>193</v>
      </c>
      <c r="D13" s="101"/>
      <c r="E13" s="40" t="s">
        <v>86</v>
      </c>
      <c r="F13" s="38" t="s">
        <v>29</v>
      </c>
    </row>
    <row r="14" spans="1:6" s="24" customFormat="1">
      <c r="A14" s="102" t="s">
        <v>39</v>
      </c>
      <c r="B14" s="103" t="s">
        <v>38</v>
      </c>
      <c r="C14" s="101" t="s">
        <v>193</v>
      </c>
      <c r="D14" s="101"/>
      <c r="F14" s="38" t="s">
        <v>29</v>
      </c>
    </row>
    <row r="15" spans="1:6" s="24" customFormat="1">
      <c r="A15" s="102" t="s">
        <v>28</v>
      </c>
      <c r="B15" s="103" t="s">
        <v>27</v>
      </c>
      <c r="C15" s="101" t="s">
        <v>193</v>
      </c>
      <c r="D15" s="101"/>
      <c r="F15" s="38" t="s">
        <v>29</v>
      </c>
    </row>
    <row r="16" spans="1:6" s="24" customFormat="1">
      <c r="A16" s="102" t="s">
        <v>202</v>
      </c>
      <c r="B16" s="103" t="s">
        <v>27</v>
      </c>
      <c r="C16" s="101" t="s">
        <v>193</v>
      </c>
      <c r="D16" s="101"/>
      <c r="F16" s="38" t="s">
        <v>29</v>
      </c>
    </row>
    <row r="17" spans="1:6" s="24" customFormat="1">
      <c r="A17" s="102" t="s">
        <v>217</v>
      </c>
      <c r="B17" s="104" t="s">
        <v>82</v>
      </c>
      <c r="C17" s="101" t="s">
        <v>193</v>
      </c>
      <c r="D17" s="101"/>
      <c r="E17" s="41" t="s">
        <v>83</v>
      </c>
      <c r="F17" s="38" t="s">
        <v>29</v>
      </c>
    </row>
    <row r="18" spans="1:6" s="24" customFormat="1">
      <c r="A18" s="105" t="s">
        <v>218</v>
      </c>
      <c r="B18" s="105" t="s">
        <v>216</v>
      </c>
      <c r="C18" s="101" t="s">
        <v>193</v>
      </c>
      <c r="D18" s="101"/>
      <c r="E18" s="42" t="s">
        <v>88</v>
      </c>
      <c r="F18" s="38" t="s">
        <v>29</v>
      </c>
    </row>
    <row r="19" spans="1:6" s="24" customFormat="1">
      <c r="A19" s="105" t="s">
        <v>218</v>
      </c>
      <c r="B19" s="105" t="s">
        <v>84</v>
      </c>
      <c r="C19" s="101" t="s">
        <v>193</v>
      </c>
      <c r="D19" s="101"/>
      <c r="E19" s="43" t="s">
        <v>89</v>
      </c>
      <c r="F19" s="38" t="s">
        <v>29</v>
      </c>
    </row>
    <row r="20" spans="1:6" s="24" customFormat="1">
      <c r="A20" s="101" t="s">
        <v>312</v>
      </c>
      <c r="B20" s="103" t="s">
        <v>27</v>
      </c>
      <c r="C20" s="101" t="s">
        <v>193</v>
      </c>
      <c r="D20" s="101"/>
      <c r="F20" s="38" t="s">
        <v>29</v>
      </c>
    </row>
    <row r="21" spans="1:6" s="24" customFormat="1">
      <c r="A21" s="101" t="s">
        <v>396</v>
      </c>
      <c r="B21" s="103" t="s">
        <v>400</v>
      </c>
      <c r="C21" s="101" t="s">
        <v>193</v>
      </c>
      <c r="D21" s="101"/>
      <c r="F21" s="38" t="s">
        <v>29</v>
      </c>
    </row>
    <row r="22" spans="1:6" s="24" customFormat="1">
      <c r="A22" s="101" t="s">
        <v>397</v>
      </c>
      <c r="B22" s="103" t="s">
        <v>411</v>
      </c>
      <c r="C22" s="101" t="s">
        <v>193</v>
      </c>
      <c r="D22" s="101"/>
      <c r="F22" s="38" t="s">
        <v>29</v>
      </c>
    </row>
    <row r="23" spans="1:6" s="24" customFormat="1">
      <c r="A23" s="102" t="s">
        <v>61</v>
      </c>
      <c r="B23" s="103" t="s">
        <v>27</v>
      </c>
      <c r="C23" s="101" t="s">
        <v>193</v>
      </c>
      <c r="D23" s="101"/>
      <c r="F23" s="38" t="s">
        <v>29</v>
      </c>
    </row>
    <row r="24" spans="1:6" s="29" customFormat="1" ht="15">
      <c r="A24" s="29" t="s">
        <v>37</v>
      </c>
      <c r="B24" s="36" t="s">
        <v>75</v>
      </c>
      <c r="C24" s="46" t="s">
        <v>210</v>
      </c>
      <c r="F24" s="39" t="s">
        <v>81</v>
      </c>
    </row>
    <row r="25" spans="1:6" s="29" customFormat="1" ht="15">
      <c r="A25" s="69" t="s">
        <v>30</v>
      </c>
      <c r="B25" s="36" t="s">
        <v>75</v>
      </c>
      <c r="C25" s="46" t="s">
        <v>210</v>
      </c>
      <c r="F25" s="39" t="s">
        <v>81</v>
      </c>
    </row>
    <row r="26" spans="1:6" s="29" customFormat="1" ht="15">
      <c r="A26" s="29" t="s">
        <v>279</v>
      </c>
      <c r="B26" s="36" t="s">
        <v>75</v>
      </c>
      <c r="C26" s="46" t="s">
        <v>210</v>
      </c>
      <c r="F26" s="39" t="s">
        <v>81</v>
      </c>
    </row>
    <row r="27" spans="1:6" s="29" customFormat="1" ht="15">
      <c r="A27" s="28" t="s">
        <v>261</v>
      </c>
      <c r="B27" s="36" t="s">
        <v>75</v>
      </c>
      <c r="C27" s="46" t="s">
        <v>210</v>
      </c>
      <c r="F27" s="39" t="s">
        <v>81</v>
      </c>
    </row>
    <row r="28" spans="1:6" s="29" customFormat="1" ht="15">
      <c r="A28" s="28" t="s">
        <v>43</v>
      </c>
      <c r="B28" s="36" t="s">
        <v>76</v>
      </c>
      <c r="C28" s="46" t="s">
        <v>210</v>
      </c>
      <c r="F28" s="39" t="s">
        <v>81</v>
      </c>
    </row>
    <row r="29" spans="1:6" s="29" customFormat="1" ht="15">
      <c r="A29" s="28" t="s">
        <v>201</v>
      </c>
      <c r="B29" s="36" t="s">
        <v>76</v>
      </c>
      <c r="C29" s="46" t="s">
        <v>210</v>
      </c>
      <c r="F29" s="39" t="s">
        <v>81</v>
      </c>
    </row>
    <row r="30" spans="1:6" s="29" customFormat="1" ht="15">
      <c r="A30" s="28" t="s">
        <v>190</v>
      </c>
      <c r="B30" s="36" t="s">
        <v>76</v>
      </c>
      <c r="C30" s="46" t="s">
        <v>210</v>
      </c>
      <c r="F30" s="39" t="s">
        <v>81</v>
      </c>
    </row>
    <row r="31" spans="1:6" s="29" customFormat="1" ht="15">
      <c r="A31" s="29" t="s">
        <v>278</v>
      </c>
      <c r="B31" s="36" t="s">
        <v>76</v>
      </c>
      <c r="C31" s="46" t="s">
        <v>210</v>
      </c>
      <c r="F31" s="39" t="s">
        <v>81</v>
      </c>
    </row>
    <row r="32" spans="1:6" s="29" customFormat="1" ht="15">
      <c r="A32" s="28" t="s">
        <v>42</v>
      </c>
      <c r="B32" s="36" t="s">
        <v>41</v>
      </c>
      <c r="C32" s="46" t="s">
        <v>210</v>
      </c>
      <c r="F32" s="39" t="s">
        <v>81</v>
      </c>
    </row>
    <row r="33" spans="1:6" s="29" customFormat="1" ht="15">
      <c r="A33" s="106" t="s">
        <v>381</v>
      </c>
      <c r="B33" s="36" t="s">
        <v>41</v>
      </c>
      <c r="C33" s="46" t="s">
        <v>210</v>
      </c>
      <c r="F33" s="39" t="s">
        <v>81</v>
      </c>
    </row>
    <row r="34" spans="1:6" s="29" customFormat="1" ht="15">
      <c r="A34" s="106" t="s">
        <v>398</v>
      </c>
      <c r="B34" s="36" t="s">
        <v>401</v>
      </c>
      <c r="C34" s="46" t="s">
        <v>210</v>
      </c>
      <c r="F34" s="39" t="s">
        <v>81</v>
      </c>
    </row>
    <row r="35" spans="1:6" s="29" customFormat="1" ht="15">
      <c r="A35" s="106" t="s">
        <v>399</v>
      </c>
      <c r="B35" s="36" t="s">
        <v>402</v>
      </c>
      <c r="C35" s="46" t="s">
        <v>210</v>
      </c>
      <c r="F35" s="39" t="s">
        <v>81</v>
      </c>
    </row>
    <row r="36" spans="1:6" s="29" customFormat="1" ht="15">
      <c r="A36" s="28" t="s">
        <v>206</v>
      </c>
      <c r="B36" s="36" t="s">
        <v>41</v>
      </c>
      <c r="C36" s="46" t="s">
        <v>210</v>
      </c>
      <c r="F36" s="39" t="s">
        <v>81</v>
      </c>
    </row>
    <row r="37" spans="1:6" s="31" customFormat="1">
      <c r="A37" s="30" t="s">
        <v>45</v>
      </c>
      <c r="B37" s="37" t="s">
        <v>44</v>
      </c>
      <c r="C37" s="31" t="s">
        <v>193</v>
      </c>
    </row>
    <row r="38" spans="1:6" s="31" customFormat="1" ht="15">
      <c r="A38" s="30" t="s">
        <v>32</v>
      </c>
      <c r="B38" s="37" t="s">
        <v>44</v>
      </c>
      <c r="C38" s="47" t="s">
        <v>210</v>
      </c>
    </row>
    <row r="39" spans="1:6" s="31" customFormat="1" ht="15">
      <c r="A39" s="30" t="s">
        <v>65</v>
      </c>
      <c r="B39" s="37" t="s">
        <v>44</v>
      </c>
      <c r="C39" s="47" t="s">
        <v>210</v>
      </c>
    </row>
    <row r="40" spans="1:6" s="31" customFormat="1" ht="15">
      <c r="A40" s="30" t="s">
        <v>36</v>
      </c>
      <c r="B40" s="37" t="s">
        <v>77</v>
      </c>
      <c r="C40" s="47" t="s">
        <v>210</v>
      </c>
    </row>
    <row r="41" spans="1:6" s="24" customFormat="1" ht="15">
      <c r="A41" s="23" t="s">
        <v>35</v>
      </c>
      <c r="B41" s="33" t="s">
        <v>79</v>
      </c>
      <c r="C41" s="44" t="s">
        <v>210</v>
      </c>
    </row>
    <row r="42" spans="1:6" s="24" customFormat="1" ht="15">
      <c r="A42" s="23" t="s">
        <v>212</v>
      </c>
      <c r="B42" s="33" t="s">
        <v>78</v>
      </c>
      <c r="C42" s="44" t="s">
        <v>210</v>
      </c>
    </row>
    <row r="43" spans="1:6" s="31" customFormat="1">
      <c r="A43" s="30"/>
      <c r="B43" s="37" t="s">
        <v>211</v>
      </c>
      <c r="C43" s="31" t="s">
        <v>191</v>
      </c>
    </row>
    <row r="44" spans="1:6">
      <c r="A44" s="69" t="s">
        <v>30</v>
      </c>
    </row>
    <row r="46" spans="1:6">
      <c r="A46"/>
    </row>
    <row r="82" spans="6:9">
      <c r="F82" t="s">
        <v>194</v>
      </c>
      <c r="G82" t="s">
        <v>34</v>
      </c>
      <c r="H82">
        <v>0</v>
      </c>
      <c r="I82" t="s">
        <v>195</v>
      </c>
    </row>
    <row r="86" spans="6:9">
      <c r="F86" t="s">
        <v>196</v>
      </c>
    </row>
    <row r="88" spans="6:9">
      <c r="F88" t="s">
        <v>196</v>
      </c>
    </row>
    <row r="89" spans="6:9">
      <c r="F89" t="s">
        <v>196</v>
      </c>
    </row>
    <row r="91" spans="6:9">
      <c r="F91" t="s">
        <v>196</v>
      </c>
    </row>
    <row r="92" spans="6:9">
      <c r="F92" t="s">
        <v>196</v>
      </c>
    </row>
    <row r="94" spans="6:9">
      <c r="F94" t="s">
        <v>196</v>
      </c>
    </row>
    <row r="95" spans="6:9">
      <c r="F95" t="s">
        <v>196</v>
      </c>
    </row>
    <row r="117" spans="6:6">
      <c r="F117" t="s">
        <v>196</v>
      </c>
    </row>
    <row r="119" spans="6:6">
      <c r="F119" t="s">
        <v>196</v>
      </c>
    </row>
    <row r="120" spans="6:6">
      <c r="F120" t="s">
        <v>196</v>
      </c>
    </row>
    <row r="125" spans="6:6">
      <c r="F125" t="s">
        <v>196</v>
      </c>
    </row>
    <row r="126" spans="6:6">
      <c r="F126" t="s">
        <v>196</v>
      </c>
    </row>
    <row r="127" spans="6:6">
      <c r="F127" t="s">
        <v>196</v>
      </c>
    </row>
    <row r="128" spans="6:6">
      <c r="F128" t="s">
        <v>196</v>
      </c>
    </row>
    <row r="129" spans="6:6">
      <c r="F129" t="s">
        <v>196</v>
      </c>
    </row>
    <row r="130" spans="6:6">
      <c r="F130" t="s">
        <v>196</v>
      </c>
    </row>
    <row r="132" spans="6:6">
      <c r="F132" t="s">
        <v>196</v>
      </c>
    </row>
    <row r="139" spans="6:6">
      <c r="F139" t="s">
        <v>196</v>
      </c>
    </row>
    <row r="140" spans="6:6">
      <c r="F140" t="s">
        <v>196</v>
      </c>
    </row>
    <row r="144" spans="6:6">
      <c r="F144" t="s">
        <v>196</v>
      </c>
    </row>
    <row r="145" spans="6:6">
      <c r="F145" t="s">
        <v>196</v>
      </c>
    </row>
    <row r="149" spans="6:6">
      <c r="F149" t="s">
        <v>196</v>
      </c>
    </row>
    <row r="152" spans="6:6">
      <c r="F152" t="s">
        <v>197</v>
      </c>
    </row>
    <row r="154" spans="6:6">
      <c r="F154" t="s">
        <v>196</v>
      </c>
    </row>
    <row r="156" spans="6:6">
      <c r="F156" t="s">
        <v>197</v>
      </c>
    </row>
    <row r="160" spans="6:6">
      <c r="F160" t="s">
        <v>197</v>
      </c>
    </row>
    <row r="163" spans="6:6">
      <c r="F163" t="s">
        <v>196</v>
      </c>
    </row>
    <row r="168" spans="6:6">
      <c r="F168" t="s">
        <v>196</v>
      </c>
    </row>
    <row r="169" spans="6:6">
      <c r="F169" t="s">
        <v>197</v>
      </c>
    </row>
    <row r="170" spans="6:6">
      <c r="F170" t="s">
        <v>197</v>
      </c>
    </row>
    <row r="171" spans="6:6">
      <c r="F171" t="s">
        <v>197</v>
      </c>
    </row>
    <row r="172" spans="6:6">
      <c r="F172" t="s">
        <v>197</v>
      </c>
    </row>
    <row r="173" spans="6:6">
      <c r="F173" t="s">
        <v>197</v>
      </c>
    </row>
    <row r="175" spans="6:6">
      <c r="F175" t="s">
        <v>198</v>
      </c>
    </row>
    <row r="176" spans="6:6">
      <c r="F176" t="s">
        <v>198</v>
      </c>
    </row>
    <row r="177" spans="6:6">
      <c r="F177" t="s">
        <v>198</v>
      </c>
    </row>
    <row r="178" spans="6:6">
      <c r="F178" t="s">
        <v>198</v>
      </c>
    </row>
    <row r="179" spans="6:6">
      <c r="F179" t="s">
        <v>197</v>
      </c>
    </row>
    <row r="180" spans="6:6">
      <c r="F180" t="s">
        <v>197</v>
      </c>
    </row>
    <row r="181" spans="6:6">
      <c r="F181" t="s">
        <v>197</v>
      </c>
    </row>
    <row r="185" spans="6:6">
      <c r="F185" t="s">
        <v>197</v>
      </c>
    </row>
    <row r="187" spans="6:6">
      <c r="F187" t="s">
        <v>197</v>
      </c>
    </row>
    <row r="188" spans="6:6">
      <c r="F188" t="s">
        <v>197</v>
      </c>
    </row>
    <row r="189" spans="6:6">
      <c r="F189" t="s">
        <v>197</v>
      </c>
    </row>
    <row r="190" spans="6:6">
      <c r="F190" t="s">
        <v>197</v>
      </c>
    </row>
    <row r="191" spans="6:6">
      <c r="F191" t="s">
        <v>197</v>
      </c>
    </row>
    <row r="192" spans="6:6">
      <c r="F192" t="s">
        <v>197</v>
      </c>
    </row>
    <row r="195" spans="6:6">
      <c r="F195" t="s">
        <v>199</v>
      </c>
    </row>
    <row r="197" spans="6:6">
      <c r="F197" t="s">
        <v>200</v>
      </c>
    </row>
    <row r="200" spans="6:6">
      <c r="F200" t="s">
        <v>200</v>
      </c>
    </row>
    <row r="201" spans="6:6">
      <c r="F201" t="s">
        <v>196</v>
      </c>
    </row>
    <row r="202" spans="6:6">
      <c r="F202" t="s">
        <v>196</v>
      </c>
    </row>
    <row r="205" spans="6:6">
      <c r="F205" t="s">
        <v>196</v>
      </c>
    </row>
    <row r="208" spans="6:6">
      <c r="F208" t="s">
        <v>196</v>
      </c>
    </row>
    <row r="212" spans="6:6">
      <c r="F212" t="s">
        <v>197</v>
      </c>
    </row>
    <row r="213" spans="6:6">
      <c r="F213" t="s">
        <v>197</v>
      </c>
    </row>
    <row r="214" spans="6:6">
      <c r="F214" t="s">
        <v>197</v>
      </c>
    </row>
    <row r="215" spans="6:6">
      <c r="F215" t="s">
        <v>197</v>
      </c>
    </row>
    <row r="216" spans="6:6">
      <c r="F216" t="s">
        <v>197</v>
      </c>
    </row>
    <row r="217" spans="6:6">
      <c r="F217" t="s">
        <v>197</v>
      </c>
    </row>
    <row r="219" spans="6:6">
      <c r="F219" t="s">
        <v>197</v>
      </c>
    </row>
    <row r="220" spans="6:6">
      <c r="F220" t="s">
        <v>198</v>
      </c>
    </row>
    <row r="221" spans="6:6">
      <c r="F221" t="s">
        <v>196</v>
      </c>
    </row>
    <row r="222" spans="6:6">
      <c r="F222" t="s">
        <v>196</v>
      </c>
    </row>
    <row r="224" spans="6:6">
      <c r="F224" t="s">
        <v>196</v>
      </c>
    </row>
    <row r="232" spans="6:6">
      <c r="F232" t="s">
        <v>196</v>
      </c>
    </row>
    <row r="233" spans="6:6">
      <c r="F233" t="s">
        <v>196</v>
      </c>
    </row>
    <row r="234" spans="6:6">
      <c r="F234" t="s">
        <v>196</v>
      </c>
    </row>
    <row r="236" spans="6:6">
      <c r="F236" t="s">
        <v>196</v>
      </c>
    </row>
    <row r="238" spans="6:6">
      <c r="F238" t="s">
        <v>196</v>
      </c>
    </row>
    <row r="242" spans="6:6">
      <c r="F242" t="s">
        <v>198</v>
      </c>
    </row>
    <row r="243" spans="6:6">
      <c r="F243" t="s">
        <v>198</v>
      </c>
    </row>
    <row r="244" spans="6:6">
      <c r="F244" t="s">
        <v>198</v>
      </c>
    </row>
    <row r="245" spans="6:6">
      <c r="F245" t="s">
        <v>198</v>
      </c>
    </row>
    <row r="246" spans="6:6">
      <c r="F246" t="s">
        <v>197</v>
      </c>
    </row>
    <row r="247" spans="6:6">
      <c r="F247" t="s">
        <v>197</v>
      </c>
    </row>
    <row r="248" spans="6:6">
      <c r="F248" t="s">
        <v>197</v>
      </c>
    </row>
    <row r="249" spans="6:6">
      <c r="F249" t="s">
        <v>197</v>
      </c>
    </row>
    <row r="253" spans="6:6">
      <c r="F253" t="s">
        <v>198</v>
      </c>
    </row>
    <row r="254" spans="6:6">
      <c r="F254" t="s">
        <v>198</v>
      </c>
    </row>
    <row r="255" spans="6:6">
      <c r="F255" t="s">
        <v>196</v>
      </c>
    </row>
    <row r="256" spans="6:6">
      <c r="F256" t="s">
        <v>196</v>
      </c>
    </row>
    <row r="258" spans="6:6">
      <c r="F258" t="s">
        <v>196</v>
      </c>
    </row>
    <row r="260" spans="6:6">
      <c r="F260" t="s">
        <v>196</v>
      </c>
    </row>
    <row r="261" spans="6:6">
      <c r="F261" t="s">
        <v>196</v>
      </c>
    </row>
    <row r="265" spans="6:6">
      <c r="F265" t="s">
        <v>198</v>
      </c>
    </row>
    <row r="266" spans="6:6">
      <c r="F266" t="s">
        <v>198</v>
      </c>
    </row>
    <row r="268" spans="6:6">
      <c r="F268" t="s">
        <v>198</v>
      </c>
    </row>
    <row r="269" spans="6:6">
      <c r="F269" t="s">
        <v>198</v>
      </c>
    </row>
    <row r="270" spans="6:6">
      <c r="F270" t="s">
        <v>196</v>
      </c>
    </row>
    <row r="312" spans="6:6">
      <c r="F312" t="s">
        <v>196</v>
      </c>
    </row>
    <row r="313" spans="6:6">
      <c r="F313" t="s">
        <v>196</v>
      </c>
    </row>
    <row r="316" spans="6:6">
      <c r="F316" t="s">
        <v>197</v>
      </c>
    </row>
    <row r="318" spans="6:6">
      <c r="F318" t="s">
        <v>197</v>
      </c>
    </row>
    <row r="340" spans="6:6">
      <c r="F340" t="s">
        <v>197</v>
      </c>
    </row>
    <row r="353" spans="6:6">
      <c r="F353" t="s">
        <v>197</v>
      </c>
    </row>
    <row r="358" spans="6:6">
      <c r="F358" t="s">
        <v>197</v>
      </c>
    </row>
    <row r="360" spans="6:6">
      <c r="F360" t="s">
        <v>197</v>
      </c>
    </row>
    <row r="367" spans="6:6">
      <c r="F367" t="s">
        <v>198</v>
      </c>
    </row>
    <row r="368" spans="6:6">
      <c r="F368" t="s">
        <v>198</v>
      </c>
    </row>
    <row r="369" spans="6:6">
      <c r="F369" t="s">
        <v>198</v>
      </c>
    </row>
    <row r="370" spans="6:6">
      <c r="F370" t="s">
        <v>198</v>
      </c>
    </row>
    <row r="372" spans="6:6">
      <c r="F372" t="s">
        <v>198</v>
      </c>
    </row>
    <row r="373" spans="6:6">
      <c r="F373" t="s">
        <v>198</v>
      </c>
    </row>
    <row r="374" spans="6:6">
      <c r="F374" t="s">
        <v>198</v>
      </c>
    </row>
    <row r="375" spans="6:6">
      <c r="F375" t="s">
        <v>198</v>
      </c>
    </row>
    <row r="376" spans="6:6">
      <c r="F376" t="s">
        <v>198</v>
      </c>
    </row>
    <row r="377" spans="6:6">
      <c r="F377" t="s">
        <v>198</v>
      </c>
    </row>
    <row r="378" spans="6:6">
      <c r="F378" t="s">
        <v>198</v>
      </c>
    </row>
    <row r="379" spans="6:6">
      <c r="F379" t="s">
        <v>198</v>
      </c>
    </row>
    <row r="381" spans="6:6">
      <c r="F381" t="s">
        <v>198</v>
      </c>
    </row>
    <row r="382" spans="6:6">
      <c r="F382" t="s">
        <v>198</v>
      </c>
    </row>
    <row r="383" spans="6:6">
      <c r="F383" t="s">
        <v>198</v>
      </c>
    </row>
    <row r="384" spans="6:6">
      <c r="F384" t="s">
        <v>198</v>
      </c>
    </row>
    <row r="385" spans="6:6">
      <c r="F385" t="s">
        <v>198</v>
      </c>
    </row>
    <row r="387" spans="6:6">
      <c r="F387" t="s">
        <v>196</v>
      </c>
    </row>
    <row r="388" spans="6:6">
      <c r="F388" t="s">
        <v>196</v>
      </c>
    </row>
    <row r="390" spans="6:6">
      <c r="F390" t="s">
        <v>196</v>
      </c>
    </row>
    <row r="391" spans="6:6">
      <c r="F391" t="s">
        <v>196</v>
      </c>
    </row>
    <row r="392" spans="6:6">
      <c r="F392" t="s">
        <v>196</v>
      </c>
    </row>
    <row r="409" spans="6:6">
      <c r="F409" t="s">
        <v>197</v>
      </c>
    </row>
    <row r="410" spans="6:6">
      <c r="F410" t="s">
        <v>197</v>
      </c>
    </row>
    <row r="411" spans="6:6">
      <c r="F411" t="s">
        <v>197</v>
      </c>
    </row>
    <row r="412" spans="6:6">
      <c r="F412" t="s">
        <v>197</v>
      </c>
    </row>
    <row r="413" spans="6:6">
      <c r="F413" t="s">
        <v>197</v>
      </c>
    </row>
    <row r="415" spans="6:6">
      <c r="F415" t="s">
        <v>196</v>
      </c>
    </row>
    <row r="417" spans="6:6">
      <c r="F417" t="s">
        <v>197</v>
      </c>
    </row>
    <row r="418" spans="6:6">
      <c r="F418" t="s">
        <v>197</v>
      </c>
    </row>
    <row r="420" spans="6:6">
      <c r="F420" t="s">
        <v>197</v>
      </c>
    </row>
    <row r="421" spans="6:6">
      <c r="F421" t="s">
        <v>197</v>
      </c>
    </row>
    <row r="422" spans="6:6">
      <c r="F422" t="s">
        <v>197</v>
      </c>
    </row>
    <row r="425" spans="6:6">
      <c r="F425" t="s">
        <v>197</v>
      </c>
    </row>
    <row r="426" spans="6:6">
      <c r="F426" t="s">
        <v>197</v>
      </c>
    </row>
    <row r="427" spans="6:6">
      <c r="F427" t="s">
        <v>197</v>
      </c>
    </row>
    <row r="429" spans="6:6">
      <c r="F429" t="s">
        <v>196</v>
      </c>
    </row>
    <row r="430" spans="6:6">
      <c r="F430" t="s">
        <v>196</v>
      </c>
    </row>
    <row r="432" spans="6:6">
      <c r="F432" t="s">
        <v>197</v>
      </c>
    </row>
    <row r="433" spans="6:6">
      <c r="F433" t="s">
        <v>197</v>
      </c>
    </row>
    <row r="435" spans="6:6">
      <c r="F435" t="s">
        <v>196</v>
      </c>
    </row>
    <row r="437" spans="6:6">
      <c r="F437" t="s">
        <v>196</v>
      </c>
    </row>
    <row r="439" spans="6:6">
      <c r="F439" t="s">
        <v>196</v>
      </c>
    </row>
    <row r="441" spans="6:6">
      <c r="F441" t="s">
        <v>197</v>
      </c>
    </row>
    <row r="445" spans="6:6">
      <c r="F445" t="s">
        <v>196</v>
      </c>
    </row>
    <row r="448" spans="6:6">
      <c r="F448" t="s">
        <v>196</v>
      </c>
    </row>
    <row r="449" spans="6:6">
      <c r="F449" t="s">
        <v>196</v>
      </c>
    </row>
    <row r="451" spans="6:6">
      <c r="F451" t="s">
        <v>197</v>
      </c>
    </row>
    <row r="452" spans="6:6">
      <c r="F452" t="s">
        <v>196</v>
      </c>
    </row>
    <row r="453" spans="6:6">
      <c r="F453" t="s">
        <v>196</v>
      </c>
    </row>
    <row r="454" spans="6:6">
      <c r="F454" t="s">
        <v>196</v>
      </c>
    </row>
    <row r="456" spans="6:6">
      <c r="F456" t="s">
        <v>196</v>
      </c>
    </row>
    <row r="458" spans="6:6">
      <c r="F458" t="s">
        <v>196</v>
      </c>
    </row>
    <row r="460" spans="6:6">
      <c r="F460" t="s">
        <v>196</v>
      </c>
    </row>
    <row r="462" spans="6:6">
      <c r="F462" t="s">
        <v>196</v>
      </c>
    </row>
    <row r="464" spans="6:6">
      <c r="F464" t="s">
        <v>196</v>
      </c>
    </row>
    <row r="466" spans="6:6">
      <c r="F466" t="s">
        <v>196</v>
      </c>
    </row>
    <row r="469" spans="6:6">
      <c r="F469" t="s">
        <v>197</v>
      </c>
    </row>
    <row r="470" spans="6:6">
      <c r="F470" t="s">
        <v>197</v>
      </c>
    </row>
    <row r="471" spans="6:6">
      <c r="F471" t="s">
        <v>197</v>
      </c>
    </row>
    <row r="477" spans="6:6">
      <c r="F477" t="s">
        <v>197</v>
      </c>
    </row>
    <row r="479" spans="6:6">
      <c r="F479" t="s">
        <v>196</v>
      </c>
    </row>
    <row r="481" spans="6:6">
      <c r="F481" t="s">
        <v>196</v>
      </c>
    </row>
    <row r="483" spans="6:6">
      <c r="F483" t="s">
        <v>196</v>
      </c>
    </row>
    <row r="486" spans="6:6">
      <c r="F486" t="s">
        <v>197</v>
      </c>
    </row>
    <row r="487" spans="6:6">
      <c r="F487" t="s">
        <v>197</v>
      </c>
    </row>
    <row r="489" spans="6:6">
      <c r="F489" t="s">
        <v>197</v>
      </c>
    </row>
    <row r="490" spans="6:6">
      <c r="F490" t="s">
        <v>197</v>
      </c>
    </row>
    <row r="493" spans="6:6">
      <c r="F493" t="s">
        <v>196</v>
      </c>
    </row>
    <row r="495" spans="6:6">
      <c r="F495" t="s">
        <v>197</v>
      </c>
    </row>
    <row r="496" spans="6:6">
      <c r="F496" t="s">
        <v>197</v>
      </c>
    </row>
    <row r="498" spans="6:6">
      <c r="F498" t="s">
        <v>196</v>
      </c>
    </row>
    <row r="501" spans="6:6">
      <c r="F501" t="s">
        <v>196</v>
      </c>
    </row>
    <row r="503" spans="6:6">
      <c r="F503" t="s">
        <v>196</v>
      </c>
    </row>
    <row r="505" spans="6:6">
      <c r="F505" t="s">
        <v>196</v>
      </c>
    </row>
    <row r="507" spans="6:6">
      <c r="F507" t="s">
        <v>196</v>
      </c>
    </row>
    <row r="510" spans="6:6">
      <c r="F510" t="s">
        <v>197</v>
      </c>
    </row>
    <row r="511" spans="6:6">
      <c r="F511" t="s">
        <v>197</v>
      </c>
    </row>
    <row r="512" spans="6:6">
      <c r="F512" t="s">
        <v>197</v>
      </c>
    </row>
    <row r="515" spans="6:6">
      <c r="F515" t="s">
        <v>197</v>
      </c>
    </row>
    <row r="516" spans="6:6">
      <c r="F516" t="s">
        <v>197</v>
      </c>
    </row>
    <row r="518" spans="6:6">
      <c r="F518" t="s">
        <v>197</v>
      </c>
    </row>
    <row r="519" spans="6:6">
      <c r="F519" t="s">
        <v>197</v>
      </c>
    </row>
    <row r="520" spans="6:6">
      <c r="F520" t="s">
        <v>197</v>
      </c>
    </row>
    <row r="522" spans="6:6">
      <c r="F522" t="s">
        <v>197</v>
      </c>
    </row>
    <row r="523" spans="6:6">
      <c r="F523" t="s">
        <v>197</v>
      </c>
    </row>
    <row r="524" spans="6:6">
      <c r="F524" t="s">
        <v>197</v>
      </c>
    </row>
    <row r="525" spans="6:6">
      <c r="F525" t="s">
        <v>197</v>
      </c>
    </row>
    <row r="526" spans="6:6">
      <c r="F526" t="s">
        <v>197</v>
      </c>
    </row>
    <row r="527" spans="6:6">
      <c r="F527" t="s">
        <v>197</v>
      </c>
    </row>
    <row r="530" spans="6:6">
      <c r="F530" t="s">
        <v>197</v>
      </c>
    </row>
    <row r="531" spans="6:6">
      <c r="F531" t="s">
        <v>197</v>
      </c>
    </row>
    <row r="534" spans="6:6">
      <c r="F534" t="s">
        <v>196</v>
      </c>
    </row>
    <row r="536" spans="6:6">
      <c r="F536" t="s">
        <v>196</v>
      </c>
    </row>
    <row r="538" spans="6:6">
      <c r="F538" t="s">
        <v>196</v>
      </c>
    </row>
    <row r="540" spans="6:6">
      <c r="F540" t="s">
        <v>196</v>
      </c>
    </row>
    <row r="542" spans="6:6">
      <c r="F542" t="s">
        <v>196</v>
      </c>
    </row>
    <row r="545" spans="6:6">
      <c r="F545" t="s">
        <v>196</v>
      </c>
    </row>
    <row r="547" spans="6:6">
      <c r="F547" t="s">
        <v>196</v>
      </c>
    </row>
    <row r="548" spans="6:6">
      <c r="F548" t="s">
        <v>196</v>
      </c>
    </row>
    <row r="551" spans="6:6">
      <c r="F551" t="s">
        <v>196</v>
      </c>
    </row>
    <row r="553" spans="6:6">
      <c r="F553" t="s">
        <v>196</v>
      </c>
    </row>
    <row r="554" spans="6:6">
      <c r="F554" t="s">
        <v>196</v>
      </c>
    </row>
    <row r="555" spans="6:6">
      <c r="F555" t="s">
        <v>196</v>
      </c>
    </row>
    <row r="557" spans="6:6">
      <c r="F557" t="s">
        <v>196</v>
      </c>
    </row>
    <row r="571" spans="6:6">
      <c r="F571" t="s">
        <v>196</v>
      </c>
    </row>
    <row r="576" spans="6:6">
      <c r="F576" t="s">
        <v>197</v>
      </c>
    </row>
    <row r="577" spans="6:6">
      <c r="F577" t="s">
        <v>197</v>
      </c>
    </row>
    <row r="578" spans="6:6">
      <c r="F578" t="s">
        <v>197</v>
      </c>
    </row>
    <row r="579" spans="6:6">
      <c r="F579" t="s">
        <v>197</v>
      </c>
    </row>
    <row r="581" spans="6:6">
      <c r="F581" t="s">
        <v>196</v>
      </c>
    </row>
    <row r="592" spans="6:6">
      <c r="F592" t="s">
        <v>196</v>
      </c>
    </row>
    <row r="594" spans="6:6">
      <c r="F594" t="s">
        <v>196</v>
      </c>
    </row>
    <row r="596" spans="6:6">
      <c r="F596" t="s">
        <v>196</v>
      </c>
    </row>
    <row r="605" spans="6:6">
      <c r="F605" t="s">
        <v>197</v>
      </c>
    </row>
    <row r="606" spans="6:6">
      <c r="F606" t="s">
        <v>197</v>
      </c>
    </row>
    <row r="607" spans="6:6">
      <c r="F607" t="s">
        <v>197</v>
      </c>
    </row>
    <row r="609" spans="6:6">
      <c r="F609" t="s">
        <v>196</v>
      </c>
    </row>
    <row r="612" spans="6:6">
      <c r="F612" t="s">
        <v>197</v>
      </c>
    </row>
    <row r="613" spans="6:6">
      <c r="F613" t="s">
        <v>197</v>
      </c>
    </row>
    <row r="614" spans="6:6">
      <c r="F614" t="s">
        <v>197</v>
      </c>
    </row>
    <row r="616" spans="6:6">
      <c r="F616" t="s">
        <v>196</v>
      </c>
    </row>
    <row r="618" spans="6:6">
      <c r="F618" t="s">
        <v>196</v>
      </c>
    </row>
    <row r="620" spans="6:6">
      <c r="F620" t="s">
        <v>196</v>
      </c>
    </row>
    <row r="622" spans="6:6">
      <c r="F622" t="s">
        <v>196</v>
      </c>
    </row>
    <row r="624" spans="6:6">
      <c r="F624" t="s">
        <v>196</v>
      </c>
    </row>
    <row r="626" spans="6:6">
      <c r="F626" t="s">
        <v>196</v>
      </c>
    </row>
    <row r="628" spans="6:6">
      <c r="F628" t="s">
        <v>197</v>
      </c>
    </row>
    <row r="629" spans="6:6">
      <c r="F629" t="s">
        <v>197</v>
      </c>
    </row>
    <row r="630" spans="6:6">
      <c r="F630" t="s">
        <v>197</v>
      </c>
    </row>
    <row r="631" spans="6:6">
      <c r="F631" t="s">
        <v>197</v>
      </c>
    </row>
    <row r="632" spans="6:6">
      <c r="F632" t="s">
        <v>197</v>
      </c>
    </row>
    <row r="633" spans="6:6">
      <c r="F633" t="s">
        <v>197</v>
      </c>
    </row>
    <row r="634" spans="6:6">
      <c r="F634" t="s">
        <v>197</v>
      </c>
    </row>
    <row r="635" spans="6:6">
      <c r="F635" t="s">
        <v>197</v>
      </c>
    </row>
    <row r="637" spans="6:6">
      <c r="F637" t="s">
        <v>197</v>
      </c>
    </row>
    <row r="638" spans="6:6">
      <c r="F638" t="s">
        <v>197</v>
      </c>
    </row>
    <row r="639" spans="6:6">
      <c r="F639" t="s">
        <v>197</v>
      </c>
    </row>
    <row r="641" spans="6:6">
      <c r="F641" t="s">
        <v>196</v>
      </c>
    </row>
    <row r="646" spans="6:6">
      <c r="F646" t="s">
        <v>196</v>
      </c>
    </row>
    <row r="648" spans="6:6">
      <c r="F648" t="s">
        <v>196</v>
      </c>
    </row>
    <row r="650" spans="6:6">
      <c r="F650" t="s">
        <v>196</v>
      </c>
    </row>
    <row r="653" spans="6:6">
      <c r="F653" t="s">
        <v>196</v>
      </c>
    </row>
    <row r="657" spans="6:6">
      <c r="F657" t="s">
        <v>196</v>
      </c>
    </row>
    <row r="659" spans="6:6">
      <c r="F659" t="s">
        <v>197</v>
      </c>
    </row>
    <row r="660" spans="6:6">
      <c r="F660" t="s">
        <v>197</v>
      </c>
    </row>
    <row r="661" spans="6:6">
      <c r="F661" t="s">
        <v>197</v>
      </c>
    </row>
    <row r="662" spans="6:6">
      <c r="F662" t="s">
        <v>197</v>
      </c>
    </row>
    <row r="663" spans="6:6">
      <c r="F663" t="s">
        <v>197</v>
      </c>
    </row>
    <row r="664" spans="6:6">
      <c r="F664" t="s">
        <v>197</v>
      </c>
    </row>
    <row r="665" spans="6:6">
      <c r="F665" t="s">
        <v>197</v>
      </c>
    </row>
    <row r="666" spans="6:6">
      <c r="F666" t="s">
        <v>197</v>
      </c>
    </row>
    <row r="667" spans="6:6">
      <c r="F667" t="s">
        <v>197</v>
      </c>
    </row>
    <row r="668" spans="6:6">
      <c r="F668" t="s">
        <v>197</v>
      </c>
    </row>
    <row r="669" spans="6:6">
      <c r="F669" t="s">
        <v>197</v>
      </c>
    </row>
    <row r="670" spans="6:6">
      <c r="F670" t="s">
        <v>197</v>
      </c>
    </row>
    <row r="671" spans="6:6">
      <c r="F671" t="s">
        <v>197</v>
      </c>
    </row>
    <row r="672" spans="6:6">
      <c r="F672" t="s">
        <v>197</v>
      </c>
    </row>
    <row r="673" spans="6:6">
      <c r="F673" t="s">
        <v>197</v>
      </c>
    </row>
    <row r="674" spans="6:6">
      <c r="F674" t="s">
        <v>197</v>
      </c>
    </row>
    <row r="675" spans="6:6">
      <c r="F675" t="s">
        <v>197</v>
      </c>
    </row>
    <row r="677" spans="6:6">
      <c r="F677" t="s">
        <v>197</v>
      </c>
    </row>
    <row r="682" spans="6:6">
      <c r="F682" t="s">
        <v>197</v>
      </c>
    </row>
    <row r="684" spans="6:6">
      <c r="F684" t="s">
        <v>197</v>
      </c>
    </row>
    <row r="685" spans="6:6">
      <c r="F685" t="s">
        <v>197</v>
      </c>
    </row>
    <row r="686" spans="6:6">
      <c r="F686" t="s">
        <v>197</v>
      </c>
    </row>
    <row r="688" spans="6:6">
      <c r="F688" t="s">
        <v>196</v>
      </c>
    </row>
    <row r="689" spans="6:6">
      <c r="F689" t="s">
        <v>196</v>
      </c>
    </row>
    <row r="690" spans="6:6">
      <c r="F690" t="s">
        <v>196</v>
      </c>
    </row>
    <row r="695" spans="6:6">
      <c r="F695" t="s">
        <v>196</v>
      </c>
    </row>
    <row r="696" spans="6:6">
      <c r="F696" t="s">
        <v>196</v>
      </c>
    </row>
    <row r="701" spans="6:6">
      <c r="F701" t="s">
        <v>196</v>
      </c>
    </row>
    <row r="702" spans="6:6">
      <c r="F702" t="s">
        <v>196</v>
      </c>
    </row>
    <row r="706" spans="6:6">
      <c r="F706" t="s">
        <v>196</v>
      </c>
    </row>
    <row r="708" spans="6:6">
      <c r="F708" t="s">
        <v>196</v>
      </c>
    </row>
    <row r="710" spans="6:6">
      <c r="F710" t="s">
        <v>196</v>
      </c>
    </row>
    <row r="713" spans="6:6">
      <c r="F713" t="s">
        <v>196</v>
      </c>
    </row>
    <row r="715" spans="6:6">
      <c r="F715" t="s">
        <v>196</v>
      </c>
    </row>
    <row r="717" spans="6:6">
      <c r="F717" t="s">
        <v>196</v>
      </c>
    </row>
    <row r="719" spans="6:6">
      <c r="F719" t="s">
        <v>196</v>
      </c>
    </row>
    <row r="726" spans="6:6">
      <c r="F726" t="s">
        <v>196</v>
      </c>
    </row>
    <row r="740" spans="6:6">
      <c r="F740" t="s">
        <v>198</v>
      </c>
    </row>
    <row r="741" spans="6:6">
      <c r="F741" t="s">
        <v>198</v>
      </c>
    </row>
    <row r="742" spans="6:6">
      <c r="F742" t="s">
        <v>198</v>
      </c>
    </row>
    <row r="745" spans="6:6">
      <c r="F745" t="s">
        <v>196</v>
      </c>
    </row>
    <row r="747" spans="6:6">
      <c r="F747" t="s">
        <v>197</v>
      </c>
    </row>
    <row r="756" spans="6:6">
      <c r="F756" t="s">
        <v>196</v>
      </c>
    </row>
    <row r="758" spans="6:6">
      <c r="F758" t="s">
        <v>196</v>
      </c>
    </row>
    <row r="759" spans="6:6">
      <c r="F759" t="s">
        <v>196</v>
      </c>
    </row>
    <row r="760" spans="6:6">
      <c r="F760" t="s">
        <v>196</v>
      </c>
    </row>
    <row r="762" spans="6:6">
      <c r="F762" t="s">
        <v>196</v>
      </c>
    </row>
    <row r="763" spans="6:6">
      <c r="F763" t="s">
        <v>196</v>
      </c>
    </row>
    <row r="764" spans="6:6">
      <c r="F764" t="s">
        <v>196</v>
      </c>
    </row>
    <row r="765" spans="6:6">
      <c r="F765" t="s">
        <v>196</v>
      </c>
    </row>
    <row r="766" spans="6:6">
      <c r="F766" t="s">
        <v>196</v>
      </c>
    </row>
    <row r="767" spans="6:6">
      <c r="F767" t="s">
        <v>196</v>
      </c>
    </row>
    <row r="768" spans="6:6">
      <c r="F768" t="s">
        <v>196</v>
      </c>
    </row>
    <row r="770" spans="6:6">
      <c r="F770" t="s">
        <v>196</v>
      </c>
    </row>
    <row r="774" spans="6:6">
      <c r="F774" t="s">
        <v>196</v>
      </c>
    </row>
    <row r="776" spans="6:6">
      <c r="F776" t="s">
        <v>196</v>
      </c>
    </row>
    <row r="778" spans="6:6">
      <c r="F778" t="s">
        <v>196</v>
      </c>
    </row>
    <row r="780" spans="6:6">
      <c r="F780" t="s">
        <v>196</v>
      </c>
    </row>
    <row r="782" spans="6:6">
      <c r="F782" t="s">
        <v>196</v>
      </c>
    </row>
    <row r="784" spans="6:6">
      <c r="F784" t="s">
        <v>196</v>
      </c>
    </row>
    <row r="787" spans="6:6">
      <c r="F787" t="s">
        <v>196</v>
      </c>
    </row>
    <row r="788" spans="6:6">
      <c r="F788" t="s">
        <v>196</v>
      </c>
    </row>
    <row r="789" spans="6:6">
      <c r="F789" t="s">
        <v>196</v>
      </c>
    </row>
    <row r="791" spans="6:6">
      <c r="F791" t="s">
        <v>196</v>
      </c>
    </row>
    <row r="793" spans="6:6">
      <c r="F793" t="s">
        <v>197</v>
      </c>
    </row>
    <row r="796" spans="6:6">
      <c r="F796" t="s">
        <v>197</v>
      </c>
    </row>
    <row r="798" spans="6:6">
      <c r="F798" t="s">
        <v>196</v>
      </c>
    </row>
    <row r="802" spans="6:6">
      <c r="F802" t="s">
        <v>198</v>
      </c>
    </row>
    <row r="805" spans="6:6">
      <c r="F805" t="s">
        <v>196</v>
      </c>
    </row>
    <row r="807" spans="6:6">
      <c r="F807" t="s">
        <v>196</v>
      </c>
    </row>
    <row r="809" spans="6:6">
      <c r="F809" t="s">
        <v>196</v>
      </c>
    </row>
    <row r="810" spans="6:6">
      <c r="F810" t="s">
        <v>196</v>
      </c>
    </row>
    <row r="812" spans="6:6">
      <c r="F812" t="s">
        <v>196</v>
      </c>
    </row>
    <row r="814" spans="6:6">
      <c r="F814" t="s">
        <v>196</v>
      </c>
    </row>
    <row r="816" spans="6:6">
      <c r="F816" t="s">
        <v>196</v>
      </c>
    </row>
    <row r="818" spans="6:6">
      <c r="F818" t="s">
        <v>196</v>
      </c>
    </row>
    <row r="821" spans="6:6">
      <c r="F821" t="s">
        <v>196</v>
      </c>
    </row>
    <row r="823" spans="6:6">
      <c r="F823" t="s">
        <v>197</v>
      </c>
    </row>
    <row r="824" spans="6:6">
      <c r="F824" t="s">
        <v>197</v>
      </c>
    </row>
    <row r="825" spans="6:6">
      <c r="F825" t="s">
        <v>197</v>
      </c>
    </row>
    <row r="826" spans="6:6">
      <c r="F826" t="s">
        <v>197</v>
      </c>
    </row>
    <row r="827" spans="6:6">
      <c r="F827" t="s">
        <v>197</v>
      </c>
    </row>
    <row r="828" spans="6:6">
      <c r="F828" t="s">
        <v>197</v>
      </c>
    </row>
    <row r="829" spans="6:6">
      <c r="F829" t="s">
        <v>197</v>
      </c>
    </row>
    <row r="830" spans="6:6">
      <c r="F830" t="s">
        <v>197</v>
      </c>
    </row>
    <row r="831" spans="6:6">
      <c r="F831" t="s">
        <v>197</v>
      </c>
    </row>
    <row r="832" spans="6:6">
      <c r="F832" t="s">
        <v>197</v>
      </c>
    </row>
    <row r="833" spans="6:6">
      <c r="F833" t="s">
        <v>197</v>
      </c>
    </row>
    <row r="847" spans="6:6">
      <c r="F847" t="s">
        <v>196</v>
      </c>
    </row>
    <row r="849" spans="6:6">
      <c r="F849" t="s">
        <v>196</v>
      </c>
    </row>
    <row r="852" spans="6:6">
      <c r="F852" t="s">
        <v>196</v>
      </c>
    </row>
    <row r="854" spans="6:6">
      <c r="F854" t="s">
        <v>196</v>
      </c>
    </row>
    <row r="856" spans="6:6">
      <c r="F856" t="s">
        <v>196</v>
      </c>
    </row>
    <row r="858" spans="6:6">
      <c r="F858" t="s">
        <v>196</v>
      </c>
    </row>
    <row r="860" spans="6:6">
      <c r="F860" t="s">
        <v>196</v>
      </c>
    </row>
    <row r="862" spans="6:6">
      <c r="F862" t="s">
        <v>198</v>
      </c>
    </row>
    <row r="863" spans="6:6">
      <c r="F863" t="s">
        <v>198</v>
      </c>
    </row>
    <row r="865" spans="6:6">
      <c r="F865" t="s">
        <v>198</v>
      </c>
    </row>
    <row r="867" spans="6:6">
      <c r="F867" t="s">
        <v>198</v>
      </c>
    </row>
    <row r="868" spans="6:6">
      <c r="F868" t="s">
        <v>198</v>
      </c>
    </row>
    <row r="869" spans="6:6">
      <c r="F869" t="s">
        <v>198</v>
      </c>
    </row>
    <row r="870" spans="6:6">
      <c r="F870" t="s">
        <v>198</v>
      </c>
    </row>
    <row r="871" spans="6:6">
      <c r="F871" t="s">
        <v>198</v>
      </c>
    </row>
    <row r="872" spans="6:6">
      <c r="F872" t="s">
        <v>198</v>
      </c>
    </row>
    <row r="873" spans="6:6">
      <c r="F873" t="s">
        <v>196</v>
      </c>
    </row>
    <row r="878" spans="6:6">
      <c r="F878" t="s">
        <v>196</v>
      </c>
    </row>
    <row r="883" spans="6:6">
      <c r="F883" t="s">
        <v>196</v>
      </c>
    </row>
    <row r="886" spans="6:6">
      <c r="F886" t="s">
        <v>196</v>
      </c>
    </row>
    <row r="887" spans="6:6">
      <c r="F887" t="s">
        <v>196</v>
      </c>
    </row>
    <row r="889" spans="6:6">
      <c r="F889" t="s">
        <v>196</v>
      </c>
    </row>
    <row r="891" spans="6:6">
      <c r="F891" t="s">
        <v>197</v>
      </c>
    </row>
    <row r="892" spans="6:6">
      <c r="F892" t="s">
        <v>197</v>
      </c>
    </row>
    <row r="896" spans="6:6">
      <c r="F896" t="s">
        <v>196</v>
      </c>
    </row>
    <row r="898" spans="6:6">
      <c r="F898" t="s">
        <v>196</v>
      </c>
    </row>
    <row r="899" spans="6:6">
      <c r="F899" t="s">
        <v>196</v>
      </c>
    </row>
    <row r="900" spans="6:6">
      <c r="F900" t="s">
        <v>196</v>
      </c>
    </row>
    <row r="901" spans="6:6">
      <c r="F901" t="s">
        <v>196</v>
      </c>
    </row>
    <row r="903" spans="6:6">
      <c r="F903" t="s">
        <v>196</v>
      </c>
    </row>
    <row r="910" spans="6:6">
      <c r="F910" t="s">
        <v>196</v>
      </c>
    </row>
    <row r="922" spans="6:6">
      <c r="F922" t="s">
        <v>197</v>
      </c>
    </row>
    <row r="923" spans="6:6">
      <c r="F923" t="s">
        <v>197</v>
      </c>
    </row>
    <row r="925" spans="6:6">
      <c r="F925" t="s">
        <v>196</v>
      </c>
    </row>
    <row r="927" spans="6:6">
      <c r="F927" t="s">
        <v>196</v>
      </c>
    </row>
    <row r="929" spans="6:6">
      <c r="F929" t="s">
        <v>196</v>
      </c>
    </row>
    <row r="931" spans="6:6">
      <c r="F931" t="s">
        <v>197</v>
      </c>
    </row>
    <row r="933" spans="6:6">
      <c r="F933" t="s">
        <v>197</v>
      </c>
    </row>
    <row r="934" spans="6:6">
      <c r="F934" t="s">
        <v>197</v>
      </c>
    </row>
    <row r="936" spans="6:6">
      <c r="F936" t="s">
        <v>196</v>
      </c>
    </row>
    <row r="938" spans="6:6">
      <c r="F938" t="s">
        <v>196</v>
      </c>
    </row>
    <row r="941" spans="6:6">
      <c r="F941" t="s">
        <v>196</v>
      </c>
    </row>
    <row r="943" spans="6:6">
      <c r="F943" t="s">
        <v>196</v>
      </c>
    </row>
    <row r="946" spans="6:6">
      <c r="F946" t="s">
        <v>197</v>
      </c>
    </row>
    <row r="947" spans="6:6">
      <c r="F947" t="s">
        <v>197</v>
      </c>
    </row>
    <row r="949" spans="6:6">
      <c r="F949" t="s">
        <v>196</v>
      </c>
    </row>
    <row r="951" spans="6:6">
      <c r="F951" t="s">
        <v>196</v>
      </c>
    </row>
    <row r="952" spans="6:6">
      <c r="F952" t="s">
        <v>196</v>
      </c>
    </row>
    <row r="954" spans="6:6">
      <c r="F954" t="s">
        <v>196</v>
      </c>
    </row>
    <row r="957" spans="6:6">
      <c r="F957" t="s">
        <v>197</v>
      </c>
    </row>
    <row r="958" spans="6:6">
      <c r="F958" t="s">
        <v>197</v>
      </c>
    </row>
    <row r="960" spans="6:6">
      <c r="F960" t="s">
        <v>196</v>
      </c>
    </row>
    <row r="962" spans="6:6">
      <c r="F962" t="s">
        <v>196</v>
      </c>
    </row>
    <row r="964" spans="6:6">
      <c r="F964" t="s">
        <v>196</v>
      </c>
    </row>
    <row r="966" spans="6:6">
      <c r="F966" t="s">
        <v>196</v>
      </c>
    </row>
    <row r="968" spans="6:6">
      <c r="F968" t="s">
        <v>197</v>
      </c>
    </row>
    <row r="969" spans="6:6">
      <c r="F969" t="s">
        <v>197</v>
      </c>
    </row>
    <row r="972" spans="6:6">
      <c r="F972" t="s">
        <v>196</v>
      </c>
    </row>
    <row r="974" spans="6:6">
      <c r="F974" t="s">
        <v>196</v>
      </c>
    </row>
    <row r="976" spans="6:6">
      <c r="F976" t="s">
        <v>196</v>
      </c>
    </row>
    <row r="979" spans="6:6">
      <c r="F979" t="s">
        <v>196</v>
      </c>
    </row>
    <row r="981" spans="6:6">
      <c r="F981" t="s">
        <v>196</v>
      </c>
    </row>
    <row r="983" spans="6:6">
      <c r="F983" t="s">
        <v>196</v>
      </c>
    </row>
    <row r="987" spans="6:6">
      <c r="F987" t="s">
        <v>197</v>
      </c>
    </row>
    <row r="988" spans="6:6">
      <c r="F988" t="s">
        <v>197</v>
      </c>
    </row>
    <row r="991" spans="6:6">
      <c r="F991" t="s">
        <v>196</v>
      </c>
    </row>
    <row r="994" spans="6:6">
      <c r="F994" t="s">
        <v>196</v>
      </c>
    </row>
    <row r="996" spans="6:6">
      <c r="F996" t="s">
        <v>196</v>
      </c>
    </row>
    <row r="998" spans="6:6">
      <c r="F998" t="s">
        <v>196</v>
      </c>
    </row>
    <row r="1000" spans="6:6">
      <c r="F1000" t="s">
        <v>196</v>
      </c>
    </row>
    <row r="1002" spans="6:6">
      <c r="F1002" t="s">
        <v>196</v>
      </c>
    </row>
    <row r="1004" spans="6:6">
      <c r="F1004" t="s">
        <v>196</v>
      </c>
    </row>
    <row r="1006" spans="6:6">
      <c r="F1006" t="s">
        <v>196</v>
      </c>
    </row>
    <row r="1008" spans="6:6">
      <c r="F1008" t="s">
        <v>196</v>
      </c>
    </row>
    <row r="1010" spans="6:6">
      <c r="F1010" t="s">
        <v>197</v>
      </c>
    </row>
    <row r="1014" spans="6:6">
      <c r="F1014" t="s">
        <v>196</v>
      </c>
    </row>
    <row r="1015" spans="6:6">
      <c r="F1015" t="s">
        <v>196</v>
      </c>
    </row>
    <row r="1018" spans="6:6">
      <c r="F1018" t="s">
        <v>196</v>
      </c>
    </row>
  </sheetData>
  <sortState ref="A2:C33">
    <sortCondition ref="A2"/>
  </sortState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AT38"/>
  <sheetViews>
    <sheetView zoomScale="90" zoomScaleNormal="90" workbookViewId="0">
      <selection activeCell="A38" sqref="A38"/>
    </sheetView>
  </sheetViews>
  <sheetFormatPr defaultRowHeight="14.25" customHeight="1"/>
  <cols>
    <col min="1" max="1" width="34.25" customWidth="1"/>
    <col min="2" max="2" width="23.75" customWidth="1"/>
    <col min="3" max="3" width="39.625" customWidth="1"/>
    <col min="4" max="4" width="6.875" customWidth="1"/>
    <col min="5" max="5" width="5.125" customWidth="1"/>
    <col min="6" max="6" width="11" customWidth="1"/>
    <col min="7" max="7" width="13.375" customWidth="1"/>
    <col min="8" max="8" width="16" customWidth="1"/>
    <col min="9" max="9" width="22.25" bestFit="1" customWidth="1"/>
    <col min="10" max="11" width="42.625" bestFit="1" customWidth="1"/>
    <col min="12" max="12" width="14.375" customWidth="1"/>
    <col min="13" max="13" width="8.75" bestFit="1" customWidth="1"/>
    <col min="14" max="14" width="24.25" bestFit="1" customWidth="1"/>
    <col min="15" max="15" width="16.25" bestFit="1" customWidth="1"/>
    <col min="16" max="16" width="20.25" bestFit="1" customWidth="1"/>
    <col min="17" max="17" width="13.875" bestFit="1" customWidth="1"/>
    <col min="18" max="18" width="14.75" bestFit="1" customWidth="1"/>
    <col min="19" max="19" width="13" bestFit="1" customWidth="1"/>
    <col min="20" max="20" width="13.375" bestFit="1" customWidth="1"/>
    <col min="21" max="21" width="15.875" bestFit="1" customWidth="1"/>
    <col min="22" max="22" width="27.25" bestFit="1" customWidth="1"/>
    <col min="23" max="23" width="5.875" bestFit="1" customWidth="1"/>
    <col min="24" max="24" width="24.375" bestFit="1" customWidth="1"/>
    <col min="25" max="25" width="11.25" bestFit="1" customWidth="1"/>
    <col min="26" max="26" width="15.875" bestFit="1" customWidth="1"/>
    <col min="28" max="28" width="12.625" bestFit="1" customWidth="1"/>
    <col min="29" max="29" width="24.625" bestFit="1" customWidth="1"/>
    <col min="30" max="30" width="8.875" bestFit="1" customWidth="1"/>
    <col min="31" max="31" width="27.25" bestFit="1" customWidth="1"/>
    <col min="32" max="32" width="9.375" bestFit="1" customWidth="1"/>
    <col min="33" max="33" width="22.125" bestFit="1" customWidth="1"/>
    <col min="34" max="34" width="18.25" bestFit="1" customWidth="1"/>
    <col min="35" max="35" width="18.125" bestFit="1" customWidth="1"/>
    <col min="36" max="36" width="2.5" bestFit="1" customWidth="1"/>
    <col min="37" max="37" width="4.25" bestFit="1" customWidth="1"/>
    <col min="38" max="38" width="3.375" bestFit="1" customWidth="1"/>
    <col min="39" max="39" width="4.875" bestFit="1" customWidth="1"/>
    <col min="40" max="40" width="3.25" bestFit="1" customWidth="1"/>
    <col min="41" max="41" width="14.125" bestFit="1" customWidth="1"/>
    <col min="42" max="42" width="12.5" bestFit="1" customWidth="1"/>
    <col min="43" max="43" width="14" bestFit="1" customWidth="1"/>
    <col min="44" max="44" width="10.875" bestFit="1" customWidth="1"/>
    <col min="45" max="45" width="12.375" bestFit="1" customWidth="1"/>
    <col min="46" max="46" width="8.375" bestFit="1" customWidth="1"/>
  </cols>
  <sheetData>
    <row r="1" spans="1:46" ht="14.25" customHeight="1" thickBot="1">
      <c r="A1" s="64" t="s">
        <v>351</v>
      </c>
      <c r="B1" s="62" t="s">
        <v>203</v>
      </c>
      <c r="C1" s="60"/>
      <c r="H1" s="16"/>
      <c r="I1" s="18"/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46" ht="14.25" customHeight="1" thickBot="1">
      <c r="A2" s="61"/>
      <c r="B2" s="62"/>
      <c r="C2" s="60">
        <v>20180833</v>
      </c>
      <c r="E2" s="14"/>
      <c r="F2" s="14"/>
      <c r="G2" s="14"/>
      <c r="H2" s="14"/>
      <c r="T2" s="15"/>
      <c r="AA2" t="s">
        <v>270</v>
      </c>
      <c r="AB2">
        <v>20180833</v>
      </c>
      <c r="AC2">
        <v>4912</v>
      </c>
      <c r="AD2">
        <v>0</v>
      </c>
      <c r="AE2" t="s">
        <v>203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35</v>
      </c>
      <c r="AR2" t="s">
        <v>280</v>
      </c>
      <c r="AS2">
        <v>2</v>
      </c>
      <c r="AT2">
        <v>0</v>
      </c>
    </row>
    <row r="3" spans="1:46" ht="14.25" customHeight="1">
      <c r="A3" s="52"/>
      <c r="B3" s="57"/>
      <c r="C3" s="53"/>
      <c r="J3" t="s">
        <v>343</v>
      </c>
    </row>
    <row r="4" spans="1:46" ht="14.25" customHeight="1">
      <c r="A4" s="52"/>
      <c r="B4" s="57"/>
      <c r="C4" s="53"/>
      <c r="J4" t="s">
        <v>343</v>
      </c>
    </row>
    <row r="5" spans="1:46" ht="14.25" customHeight="1">
      <c r="A5" s="52"/>
      <c r="B5" s="58"/>
      <c r="C5" s="53"/>
      <c r="J5" t="s">
        <v>343</v>
      </c>
    </row>
    <row r="6" spans="1:46" ht="14.25" customHeight="1">
      <c r="A6" s="52"/>
      <c r="B6" s="58"/>
      <c r="C6" s="54"/>
      <c r="J6" t="s">
        <v>343</v>
      </c>
    </row>
    <row r="7" spans="1:46" ht="14.25" customHeight="1">
      <c r="A7" s="52"/>
      <c r="B7" s="58"/>
      <c r="C7" s="54"/>
      <c r="J7" t="s">
        <v>343</v>
      </c>
    </row>
    <row r="8" spans="1:46" ht="14.25" customHeight="1">
      <c r="A8" s="52"/>
      <c r="B8" s="58"/>
      <c r="C8" s="54"/>
      <c r="J8" t="s">
        <v>343</v>
      </c>
    </row>
    <row r="9" spans="1:46" ht="14.25" customHeight="1">
      <c r="A9" s="52"/>
      <c r="B9" s="58"/>
      <c r="C9" s="54"/>
      <c r="J9" t="s">
        <v>343</v>
      </c>
    </row>
    <row r="10" spans="1:46" ht="14.25" customHeight="1">
      <c r="A10" s="52"/>
      <c r="B10" s="63"/>
      <c r="C10" s="54"/>
      <c r="J10" t="s">
        <v>343</v>
      </c>
    </row>
    <row r="11" spans="1:46" ht="14.25" customHeight="1">
      <c r="A11" s="52"/>
      <c r="B11" s="58"/>
      <c r="C11" s="54"/>
      <c r="J11" t="s">
        <v>343</v>
      </c>
    </row>
    <row r="12" spans="1:46" ht="14.25" customHeight="1">
      <c r="A12" s="52"/>
      <c r="B12" s="58"/>
      <c r="C12" s="54"/>
      <c r="E12" s="14"/>
      <c r="I12" s="51" t="s">
        <v>323</v>
      </c>
      <c r="J12" s="48" t="s">
        <v>319</v>
      </c>
      <c r="T12" s="15"/>
    </row>
    <row r="13" spans="1:46" ht="14.25" customHeight="1">
      <c r="A13" s="52"/>
      <c r="B13" s="58"/>
      <c r="C13" s="54"/>
      <c r="E13" s="14"/>
      <c r="I13" s="51" t="s">
        <v>324</v>
      </c>
      <c r="J13" s="48">
        <v>20180833</v>
      </c>
      <c r="T13" s="15"/>
    </row>
    <row r="14" spans="1:46" ht="14.25" customHeight="1">
      <c r="A14" s="52"/>
      <c r="B14" s="58"/>
      <c r="C14" s="54"/>
      <c r="E14" s="14"/>
      <c r="F14" s="14"/>
      <c r="I14" s="51" t="s">
        <v>246</v>
      </c>
      <c r="J14" s="65"/>
      <c r="T14" s="15"/>
    </row>
    <row r="15" spans="1:46" ht="14.25" customHeight="1">
      <c r="A15" s="52"/>
      <c r="B15" s="58"/>
      <c r="C15" s="54"/>
      <c r="E15" s="14"/>
      <c r="I15" s="51" t="s">
        <v>325</v>
      </c>
      <c r="J15" s="48"/>
      <c r="T15" s="15"/>
    </row>
    <row r="16" spans="1:46" ht="14.25" customHeight="1">
      <c r="A16" s="52"/>
      <c r="B16" s="58"/>
      <c r="C16" s="54"/>
      <c r="I16" s="51" t="s">
        <v>326</v>
      </c>
      <c r="J16" s="48" t="s">
        <v>203</v>
      </c>
      <c r="T16" s="15"/>
    </row>
    <row r="17" spans="1:20" ht="14.25" customHeight="1">
      <c r="A17" s="52"/>
      <c r="B17" s="58"/>
      <c r="C17" s="54"/>
      <c r="I17" s="51" t="s">
        <v>327</v>
      </c>
      <c r="J17" s="65"/>
      <c r="T17" s="15"/>
    </row>
    <row r="18" spans="1:20" ht="14.25" customHeight="1">
      <c r="A18" s="52"/>
      <c r="B18" s="58"/>
      <c r="C18" s="54"/>
      <c r="I18" s="51" t="s">
        <v>328</v>
      </c>
      <c r="J18" s="48" t="s">
        <v>85</v>
      </c>
      <c r="T18" s="15"/>
    </row>
    <row r="19" spans="1:20" ht="18" customHeight="1">
      <c r="A19" s="52"/>
      <c r="B19" s="58"/>
      <c r="C19" s="54"/>
      <c r="I19" s="51" t="s">
        <v>329</v>
      </c>
      <c r="J19" s="48">
        <v>0</v>
      </c>
      <c r="T19" s="15"/>
    </row>
    <row r="20" spans="1:20" ht="14.25" customHeight="1">
      <c r="A20" s="52"/>
      <c r="B20" s="58"/>
      <c r="C20" s="54"/>
      <c r="I20" s="51" t="s">
        <v>330</v>
      </c>
      <c r="J20" s="48"/>
      <c r="T20" s="15"/>
    </row>
    <row r="21" spans="1:20" ht="14.25" customHeight="1" thickBot="1">
      <c r="A21" s="55"/>
      <c r="B21" s="59"/>
      <c r="C21" s="56"/>
      <c r="I21" s="51" t="s">
        <v>331</v>
      </c>
      <c r="J21" s="48"/>
      <c r="T21" s="15"/>
    </row>
    <row r="22" spans="1:20" ht="14.25" customHeight="1">
      <c r="C22" s="49"/>
      <c r="G22" s="14"/>
      <c r="H22" s="14"/>
      <c r="I22" s="51" t="s">
        <v>332</v>
      </c>
      <c r="J22" s="48" t="s">
        <v>344</v>
      </c>
      <c r="T22" s="15"/>
    </row>
    <row r="23" spans="1:20" ht="13.5" customHeight="1">
      <c r="C23" s="49"/>
      <c r="G23" s="14"/>
      <c r="H23" s="14"/>
      <c r="I23" s="51" t="s">
        <v>333</v>
      </c>
      <c r="J23" s="48"/>
      <c r="T23" s="15"/>
    </row>
    <row r="24" spans="1:20" ht="14.25" customHeight="1">
      <c r="C24" s="49"/>
      <c r="I24" s="51" t="s">
        <v>320</v>
      </c>
      <c r="J24" s="48" t="s">
        <v>320</v>
      </c>
      <c r="T24" s="15"/>
    </row>
    <row r="25" spans="1:20" ht="14.25" customHeight="1">
      <c r="C25" s="49"/>
      <c r="I25" s="51" t="s">
        <v>334</v>
      </c>
      <c r="J25" s="48"/>
      <c r="T25" s="15"/>
    </row>
    <row r="26" spans="1:20" ht="14.25" customHeight="1">
      <c r="C26" s="49"/>
      <c r="I26" s="51" t="s">
        <v>335</v>
      </c>
      <c r="J26" s="48" t="s">
        <v>345</v>
      </c>
      <c r="T26" s="15"/>
    </row>
    <row r="27" spans="1:20" ht="14.25" customHeight="1">
      <c r="C27" s="49"/>
      <c r="I27" s="51" t="s">
        <v>336</v>
      </c>
      <c r="J27" s="48" t="s">
        <v>193</v>
      </c>
      <c r="T27" s="15"/>
    </row>
    <row r="28" spans="1:20" ht="14.25" customHeight="1">
      <c r="C28" s="49"/>
      <c r="I28" s="51" t="s">
        <v>337</v>
      </c>
      <c r="J28" s="48" t="s">
        <v>346</v>
      </c>
      <c r="T28" s="15"/>
    </row>
    <row r="29" spans="1:20" ht="14.25" customHeight="1">
      <c r="C29" s="49"/>
      <c r="I29" s="51" t="s">
        <v>338</v>
      </c>
      <c r="J29" s="48" t="s">
        <v>347</v>
      </c>
      <c r="T29" s="15"/>
    </row>
    <row r="30" spans="1:20" ht="14.25" customHeight="1">
      <c r="C30" s="49"/>
      <c r="I30" s="51" t="s">
        <v>321</v>
      </c>
      <c r="J30" s="48" t="s">
        <v>352</v>
      </c>
      <c r="T30" s="15"/>
    </row>
    <row r="31" spans="1:20" ht="14.25" customHeight="1">
      <c r="C31" s="49"/>
      <c r="E31" s="14"/>
      <c r="F31" s="14"/>
      <c r="I31" s="51" t="s">
        <v>339</v>
      </c>
      <c r="J31" s="48" t="s">
        <v>270</v>
      </c>
      <c r="T31" s="15"/>
    </row>
    <row r="32" spans="1:20" ht="14.25" customHeight="1">
      <c r="E32" s="14"/>
      <c r="F32" s="14"/>
      <c r="I32" s="51" t="s">
        <v>340</v>
      </c>
      <c r="J32" s="48" t="s">
        <v>322</v>
      </c>
      <c r="T32" s="15"/>
    </row>
    <row r="33" spans="5:20" ht="14.25" customHeight="1">
      <c r="E33" s="14"/>
      <c r="F33" s="14"/>
      <c r="I33" s="51" t="s">
        <v>341</v>
      </c>
      <c r="J33" s="50">
        <v>43444</v>
      </c>
      <c r="T33" s="15"/>
    </row>
    <row r="34" spans="5:20" ht="14.25" customHeight="1">
      <c r="E34" s="14"/>
      <c r="F34" s="14"/>
      <c r="J34" s="14"/>
      <c r="T34" s="15"/>
    </row>
    <row r="35" spans="5:20" ht="14.25" customHeight="1">
      <c r="E35" s="14"/>
      <c r="F35" s="14"/>
      <c r="T35" s="15"/>
    </row>
    <row r="36" spans="5:20" ht="14.25" customHeight="1">
      <c r="T36" s="15"/>
    </row>
    <row r="37" spans="5:20" ht="14.25" customHeight="1">
      <c r="T37" s="15"/>
    </row>
    <row r="38" spans="5:20" ht="14.25" customHeight="1">
      <c r="T38" s="15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0" r:id="rId4" name="CommandButton8">
          <controlPr autoLine="0" r:id="rId5">
            <anchor moveWithCells="1">
              <from>
                <xdr:col>2</xdr:col>
                <xdr:colOff>1114425</xdr:colOff>
                <xdr:row>28</xdr:row>
                <xdr:rowOff>0</xdr:rowOff>
              </from>
              <to>
                <xdr:col>2</xdr:col>
                <xdr:colOff>2733675</xdr:colOff>
                <xdr:row>29</xdr:row>
                <xdr:rowOff>123825</xdr:rowOff>
              </to>
            </anchor>
          </controlPr>
        </control>
      </mc:Choice>
      <mc:Fallback>
        <control shapeId="2060" r:id="rId4" name="CommandButton8"/>
      </mc:Fallback>
    </mc:AlternateContent>
    <mc:AlternateContent xmlns:mc="http://schemas.openxmlformats.org/markup-compatibility/2006">
      <mc:Choice Requires="x14">
        <control shapeId="2059" r:id="rId6" name="CommandButton10">
          <controlPr autoLine="0" r:id="rId7">
            <anchor moveWithCells="1">
              <from>
                <xdr:col>1</xdr:col>
                <xdr:colOff>1524000</xdr:colOff>
                <xdr:row>28</xdr:row>
                <xdr:rowOff>0</xdr:rowOff>
              </from>
              <to>
                <xdr:col>2</xdr:col>
                <xdr:colOff>904875</xdr:colOff>
                <xdr:row>29</xdr:row>
                <xdr:rowOff>123825</xdr:rowOff>
              </to>
            </anchor>
          </controlPr>
        </control>
      </mc:Choice>
      <mc:Fallback>
        <control shapeId="2059" r:id="rId6" name="CommandButton10"/>
      </mc:Fallback>
    </mc:AlternateContent>
    <mc:AlternateContent xmlns:mc="http://schemas.openxmlformats.org/markup-compatibility/2006">
      <mc:Choice Requires="x14">
        <control shapeId="2056" r:id="rId8" name="CommandButton7">
          <controlPr defaultSize="0" autoLine="0" r:id="rId9">
            <anchor moveWithCells="1">
              <from>
                <xdr:col>1</xdr:col>
                <xdr:colOff>1238250</xdr:colOff>
                <xdr:row>10</xdr:row>
                <xdr:rowOff>66675</xdr:rowOff>
              </from>
              <to>
                <xdr:col>2</xdr:col>
                <xdr:colOff>1266825</xdr:colOff>
                <xdr:row>13</xdr:row>
                <xdr:rowOff>76200</xdr:rowOff>
              </to>
            </anchor>
          </controlPr>
        </control>
      </mc:Choice>
      <mc:Fallback>
        <control shapeId="2056" r:id="rId8" name="CommandButton7"/>
      </mc:Fallback>
    </mc:AlternateContent>
    <mc:AlternateContent xmlns:mc="http://schemas.openxmlformats.org/markup-compatibility/2006">
      <mc:Choice Requires="x14">
        <control shapeId="2052" r:id="rId10" name="CommandButton4">
          <controlPr autoLine="0" r:id="rId11">
            <anchor moveWithCells="1">
              <from>
                <xdr:col>1</xdr:col>
                <xdr:colOff>1114425</xdr:colOff>
                <xdr:row>14</xdr:row>
                <xdr:rowOff>28575</xdr:rowOff>
              </from>
              <to>
                <xdr:col>2</xdr:col>
                <xdr:colOff>1152525</xdr:colOff>
                <xdr:row>21</xdr:row>
                <xdr:rowOff>142875</xdr:rowOff>
              </to>
            </anchor>
          </controlPr>
        </control>
      </mc:Choice>
      <mc:Fallback>
        <control shapeId="2052" r:id="rId10" name="CommandButton4"/>
      </mc:Fallback>
    </mc:AlternateContent>
    <mc:AlternateContent xmlns:mc="http://schemas.openxmlformats.org/markup-compatibility/2006">
      <mc:Choice Requires="x14">
        <control shapeId="2049" r:id="rId12" name="CommandButton1">
          <controlPr autoLine="0" autoPict="0" r:id="rId13">
            <anchor moveWithCells="1">
              <from>
                <xdr:col>0</xdr:col>
                <xdr:colOff>152400</xdr:colOff>
                <xdr:row>6</xdr:row>
                <xdr:rowOff>57150</xdr:rowOff>
              </from>
              <to>
                <xdr:col>1</xdr:col>
                <xdr:colOff>1143000</xdr:colOff>
                <xdr:row>14</xdr:row>
                <xdr:rowOff>95250</xdr:rowOff>
              </to>
            </anchor>
          </controlPr>
        </control>
      </mc:Choice>
      <mc:Fallback>
        <control shapeId="2049" r:id="rId12" name="CommandButton1"/>
      </mc:Fallback>
    </mc:AlternateContent>
    <mc:AlternateContent xmlns:mc="http://schemas.openxmlformats.org/markup-compatibility/2006">
      <mc:Choice Requires="x14">
        <control shapeId="2050" r:id="rId14" name="CommandButton2">
          <controlPr defaultSize="0" autoLine="0" r:id="rId15">
            <anchor moveWithCells="1">
              <from>
                <xdr:col>1</xdr:col>
                <xdr:colOff>1238250</xdr:colOff>
                <xdr:row>6</xdr:row>
                <xdr:rowOff>171450</xdr:rowOff>
              </from>
              <to>
                <xdr:col>2</xdr:col>
                <xdr:colOff>295275</xdr:colOff>
                <xdr:row>10</xdr:row>
                <xdr:rowOff>171450</xdr:rowOff>
              </to>
            </anchor>
          </controlPr>
        </control>
      </mc:Choice>
      <mc:Fallback>
        <control shapeId="2050" r:id="rId14" name="CommandButton2"/>
      </mc:Fallback>
    </mc:AlternateContent>
    <mc:AlternateContent xmlns:mc="http://schemas.openxmlformats.org/markup-compatibility/2006">
      <mc:Choice Requires="x14">
        <control shapeId="2051" r:id="rId16" name="CommandButton3">
          <controlPr autoLine="0" r:id="rId17">
            <anchor moveWithCells="1">
              <from>
                <xdr:col>2</xdr:col>
                <xdr:colOff>1323975</xdr:colOff>
                <xdr:row>9</xdr:row>
                <xdr:rowOff>66675</xdr:rowOff>
              </from>
              <to>
                <xdr:col>6</xdr:col>
                <xdr:colOff>19050</xdr:colOff>
                <xdr:row>15</xdr:row>
                <xdr:rowOff>171450</xdr:rowOff>
              </to>
            </anchor>
          </controlPr>
        </control>
      </mc:Choice>
      <mc:Fallback>
        <control shapeId="2051" r:id="rId16" name="CommandButton3"/>
      </mc:Fallback>
    </mc:AlternateContent>
    <mc:AlternateContent xmlns:mc="http://schemas.openxmlformats.org/markup-compatibility/2006">
      <mc:Choice Requires="x14">
        <control shapeId="2053" r:id="rId18" name="CommandButton5">
          <controlPr autoLine="0" r:id="rId19">
            <anchor moveWithCells="1">
              <from>
                <xdr:col>0</xdr:col>
                <xdr:colOff>1800225</xdr:colOff>
                <xdr:row>24</xdr:row>
                <xdr:rowOff>57150</xdr:rowOff>
              </from>
              <to>
                <xdr:col>1</xdr:col>
                <xdr:colOff>1162050</xdr:colOff>
                <xdr:row>26</xdr:row>
                <xdr:rowOff>0</xdr:rowOff>
              </to>
            </anchor>
          </controlPr>
        </control>
      </mc:Choice>
      <mc:Fallback>
        <control shapeId="2053" r:id="rId18" name="CommandButton5"/>
      </mc:Fallback>
    </mc:AlternateContent>
    <mc:AlternateContent xmlns:mc="http://schemas.openxmlformats.org/markup-compatibility/2006">
      <mc:Choice Requires="x14">
        <control shapeId="2054" r:id="rId20" name="CommandButton6">
          <controlPr autoLine="0" r:id="rId21">
            <anchor moveWithCells="1">
              <from>
                <xdr:col>1</xdr:col>
                <xdr:colOff>1581150</xdr:colOff>
                <xdr:row>24</xdr:row>
                <xdr:rowOff>28575</xdr:rowOff>
              </from>
              <to>
                <xdr:col>2</xdr:col>
                <xdr:colOff>1457325</xdr:colOff>
                <xdr:row>25</xdr:row>
                <xdr:rowOff>152400</xdr:rowOff>
              </to>
            </anchor>
          </controlPr>
        </control>
      </mc:Choice>
      <mc:Fallback>
        <control shapeId="2054" r:id="rId20" name="CommandButton6"/>
      </mc:Fallback>
    </mc:AlternateContent>
    <mc:AlternateContent xmlns:mc="http://schemas.openxmlformats.org/markup-compatibility/2006">
      <mc:Choice Requires="x14">
        <control shapeId="2058" r:id="rId22" name="CommandButton9">
          <controlPr autoLine="0" r:id="rId23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1</xdr:col>
                <xdr:colOff>1343025</xdr:colOff>
                <xdr:row>29</xdr:row>
                <xdr:rowOff>123825</xdr:rowOff>
              </to>
            </anchor>
          </controlPr>
        </control>
      </mc:Choice>
      <mc:Fallback>
        <control shapeId="2058" r:id="rId22" name="CommandButton9"/>
      </mc:Fallback>
    </mc:AlternateContent>
    <mc:AlternateContent xmlns:mc="http://schemas.openxmlformats.org/markup-compatibility/2006">
      <mc:Choice Requires="x14">
        <control shapeId="2063" r:id="rId24" name="CommandButton11">
          <controlPr disabled="1" autoLine="0" r:id="rId25">
            <anchor moveWithCells="1">
              <from>
                <xdr:col>2</xdr:col>
                <xdr:colOff>1323975</xdr:colOff>
                <xdr:row>6</xdr:row>
                <xdr:rowOff>142875</xdr:rowOff>
              </from>
              <to>
                <xdr:col>2</xdr:col>
                <xdr:colOff>2762250</xdr:colOff>
                <xdr:row>8</xdr:row>
                <xdr:rowOff>85725</xdr:rowOff>
              </to>
            </anchor>
          </controlPr>
        </control>
      </mc:Choice>
      <mc:Fallback>
        <control shapeId="2063" r:id="rId24" name="CommandButton11"/>
      </mc:Fallback>
    </mc:AlternateContent>
    <mc:AlternateContent xmlns:mc="http://schemas.openxmlformats.org/markup-compatibility/2006">
      <mc:Choice Requires="x14">
        <control shapeId="2064" r:id="rId26" name="CommandButton12">
          <controlPr autoLine="0" r:id="rId27">
            <anchor moveWithCells="1">
              <from>
                <xdr:col>6</xdr:col>
                <xdr:colOff>19050</xdr:colOff>
                <xdr:row>31</xdr:row>
                <xdr:rowOff>9525</xdr:rowOff>
              </from>
              <to>
                <xdr:col>7</xdr:col>
                <xdr:colOff>1028700</xdr:colOff>
                <xdr:row>32</xdr:row>
                <xdr:rowOff>142875</xdr:rowOff>
              </to>
            </anchor>
          </controlPr>
        </control>
      </mc:Choice>
      <mc:Fallback>
        <control shapeId="2064" r:id="rId26" name="CommandButton1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E6"/>
  <sheetViews>
    <sheetView workbookViewId="0">
      <selection activeCell="H20" sqref="H20"/>
    </sheetView>
  </sheetViews>
  <sheetFormatPr defaultRowHeight="14.25"/>
  <cols>
    <col min="1" max="1" width="33.625" customWidth="1"/>
    <col min="4" max="4" width="12.5" customWidth="1"/>
  </cols>
  <sheetData>
    <row r="1" spans="1:5">
      <c r="A1" t="s">
        <v>276</v>
      </c>
      <c r="B1" t="s">
        <v>255</v>
      </c>
      <c r="C1" t="s">
        <v>256</v>
      </c>
      <c r="D1" t="s">
        <v>274</v>
      </c>
      <c r="E1" t="s">
        <v>273</v>
      </c>
    </row>
    <row r="2" spans="1:5">
      <c r="A2" t="s">
        <v>252</v>
      </c>
      <c r="B2" t="s">
        <v>193</v>
      </c>
      <c r="C2" t="s">
        <v>210</v>
      </c>
      <c r="D2" t="s">
        <v>257</v>
      </c>
      <c r="E2" t="s">
        <v>193</v>
      </c>
    </row>
    <row r="3" spans="1:5">
      <c r="A3" t="s">
        <v>253</v>
      </c>
      <c r="B3" t="s">
        <v>193</v>
      </c>
      <c r="C3" t="s">
        <v>193</v>
      </c>
      <c r="D3" t="s">
        <v>257</v>
      </c>
      <c r="E3" t="s">
        <v>210</v>
      </c>
    </row>
    <row r="4" spans="1:5">
      <c r="A4" t="s">
        <v>254</v>
      </c>
      <c r="B4" t="s">
        <v>193</v>
      </c>
      <c r="C4" t="s">
        <v>193</v>
      </c>
      <c r="D4" t="s">
        <v>257</v>
      </c>
      <c r="E4" t="s">
        <v>210</v>
      </c>
    </row>
    <row r="5" spans="1:5">
      <c r="A5" t="s">
        <v>277</v>
      </c>
      <c r="B5" t="s">
        <v>193</v>
      </c>
      <c r="C5" t="s">
        <v>193</v>
      </c>
      <c r="D5" t="s">
        <v>257</v>
      </c>
      <c r="E5" t="s">
        <v>210</v>
      </c>
    </row>
    <row r="6" spans="1:5">
      <c r="A6" t="s">
        <v>309</v>
      </c>
      <c r="B6" t="s">
        <v>210</v>
      </c>
      <c r="C6" t="s">
        <v>210</v>
      </c>
      <c r="D6" t="s">
        <v>310</v>
      </c>
      <c r="E6" t="s">
        <v>210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D43"/>
  <sheetViews>
    <sheetView zoomScale="90" zoomScaleNormal="90" workbookViewId="0">
      <selection activeCell="C10" sqref="C10:C11"/>
    </sheetView>
  </sheetViews>
  <sheetFormatPr defaultRowHeight="14.25"/>
  <cols>
    <col min="1" max="1" width="40.625" bestFit="1" customWidth="1"/>
    <col min="2" max="2" width="27.375" customWidth="1"/>
    <col min="3" max="3" width="40.25" customWidth="1"/>
    <col min="4" max="4" width="26.25" customWidth="1"/>
  </cols>
  <sheetData>
    <row r="1" spans="1:4">
      <c r="A1" t="s">
        <v>57</v>
      </c>
      <c r="B1" t="s">
        <v>80</v>
      </c>
    </row>
    <row r="2" spans="1:4">
      <c r="A2" t="s">
        <v>51</v>
      </c>
      <c r="B2" t="s">
        <v>70</v>
      </c>
    </row>
    <row r="3" spans="1:4">
      <c r="A3" t="s">
        <v>53</v>
      </c>
      <c r="B3" t="s">
        <v>70</v>
      </c>
    </row>
    <row r="4" spans="1:4">
      <c r="A4" t="s">
        <v>47</v>
      </c>
      <c r="B4" t="s">
        <v>70</v>
      </c>
    </row>
    <row r="5" spans="1:4">
      <c r="A5" t="s">
        <v>69</v>
      </c>
      <c r="B5" t="s">
        <v>70</v>
      </c>
    </row>
    <row r="6" spans="1:4">
      <c r="A6" t="s">
        <v>48</v>
      </c>
      <c r="B6" t="s">
        <v>70</v>
      </c>
    </row>
    <row r="7" spans="1:4">
      <c r="A7" t="s">
        <v>63</v>
      </c>
      <c r="B7" t="s">
        <v>70</v>
      </c>
    </row>
    <row r="8" spans="1:4">
      <c r="A8" t="s">
        <v>56</v>
      </c>
      <c r="B8" t="s">
        <v>70</v>
      </c>
    </row>
    <row r="9" spans="1:4">
      <c r="A9" t="s">
        <v>67</v>
      </c>
      <c r="B9" t="s">
        <v>71</v>
      </c>
    </row>
    <row r="10" spans="1:4">
      <c r="A10" t="s">
        <v>46</v>
      </c>
      <c r="B10" t="s">
        <v>71</v>
      </c>
    </row>
    <row r="11" spans="1:4">
      <c r="A11" t="s">
        <v>64</v>
      </c>
      <c r="B11" t="s">
        <v>71</v>
      </c>
    </row>
    <row r="12" spans="1:4">
      <c r="A12" t="s">
        <v>68</v>
      </c>
      <c r="B12" t="s">
        <v>71</v>
      </c>
    </row>
    <row r="13" spans="1:4">
      <c r="A13" t="s">
        <v>58</v>
      </c>
      <c r="B13" t="s">
        <v>72</v>
      </c>
      <c r="D13" t="s">
        <v>91</v>
      </c>
    </row>
    <row r="14" spans="1:4">
      <c r="A14" t="s">
        <v>58</v>
      </c>
      <c r="B14" t="s">
        <v>72</v>
      </c>
      <c r="D14" t="s">
        <v>91</v>
      </c>
    </row>
    <row r="15" spans="1:4">
      <c r="A15" t="s">
        <v>31</v>
      </c>
      <c r="B15" t="s">
        <v>72</v>
      </c>
      <c r="D15" t="s">
        <v>91</v>
      </c>
    </row>
    <row r="16" spans="1:4">
      <c r="A16" t="s">
        <v>34</v>
      </c>
      <c r="B16" t="s">
        <v>73</v>
      </c>
      <c r="C16" t="s">
        <v>29</v>
      </c>
      <c r="D16" t="s">
        <v>91</v>
      </c>
    </row>
    <row r="17" spans="1:4">
      <c r="A17" t="s">
        <v>62</v>
      </c>
      <c r="B17" t="s">
        <v>73</v>
      </c>
      <c r="C17" t="s">
        <v>29</v>
      </c>
      <c r="D17" t="s">
        <v>91</v>
      </c>
    </row>
    <row r="18" spans="1:4">
      <c r="A18" t="s">
        <v>60</v>
      </c>
      <c r="B18" t="s">
        <v>73</v>
      </c>
      <c r="C18" t="s">
        <v>29</v>
      </c>
      <c r="D18" t="s">
        <v>91</v>
      </c>
    </row>
    <row r="19" spans="1:4">
      <c r="A19" t="s">
        <v>40</v>
      </c>
      <c r="B19" t="s">
        <v>73</v>
      </c>
      <c r="C19" t="s">
        <v>29</v>
      </c>
      <c r="D19" t="s">
        <v>91</v>
      </c>
    </row>
    <row r="20" spans="1:4">
      <c r="A20" t="s">
        <v>59</v>
      </c>
      <c r="B20" t="s">
        <v>74</v>
      </c>
      <c r="D20" t="s">
        <v>91</v>
      </c>
    </row>
    <row r="21" spans="1:4">
      <c r="A21" t="s">
        <v>39</v>
      </c>
      <c r="B21" t="s">
        <v>38</v>
      </c>
      <c r="C21" t="s">
        <v>29</v>
      </c>
      <c r="D21" t="s">
        <v>91</v>
      </c>
    </row>
    <row r="22" spans="1:4">
      <c r="A22" t="s">
        <v>39</v>
      </c>
      <c r="B22" t="s">
        <v>38</v>
      </c>
      <c r="C22" t="s">
        <v>29</v>
      </c>
      <c r="D22" t="s">
        <v>91</v>
      </c>
    </row>
    <row r="23" spans="1:4">
      <c r="A23" t="s">
        <v>55</v>
      </c>
      <c r="B23" t="s">
        <v>27</v>
      </c>
      <c r="C23" t="s">
        <v>29</v>
      </c>
      <c r="D23" t="s">
        <v>91</v>
      </c>
    </row>
    <row r="24" spans="1:4">
      <c r="A24" t="s">
        <v>28</v>
      </c>
      <c r="B24" t="s">
        <v>27</v>
      </c>
      <c r="C24" t="s">
        <v>29</v>
      </c>
      <c r="D24" t="s">
        <v>91</v>
      </c>
    </row>
    <row r="25" spans="1:4">
      <c r="A25" t="s">
        <v>61</v>
      </c>
      <c r="B25" t="s">
        <v>27</v>
      </c>
      <c r="C25" t="s">
        <v>29</v>
      </c>
      <c r="D25" t="s">
        <v>91</v>
      </c>
    </row>
    <row r="26" spans="1:4">
      <c r="A26" t="s">
        <v>37</v>
      </c>
      <c r="B26" t="s">
        <v>75</v>
      </c>
      <c r="C26" t="s">
        <v>81</v>
      </c>
    </row>
    <row r="27" spans="1:4">
      <c r="A27" t="s">
        <v>30</v>
      </c>
      <c r="B27" t="s">
        <v>75</v>
      </c>
      <c r="C27" t="s">
        <v>81</v>
      </c>
    </row>
    <row r="28" spans="1:4">
      <c r="A28" t="s">
        <v>52</v>
      </c>
      <c r="B28" t="s">
        <v>75</v>
      </c>
      <c r="C28" t="s">
        <v>81</v>
      </c>
    </row>
    <row r="29" spans="1:4">
      <c r="A29" t="s">
        <v>43</v>
      </c>
      <c r="B29" t="s">
        <v>76</v>
      </c>
      <c r="C29" t="s">
        <v>81</v>
      </c>
    </row>
    <row r="30" spans="1:4">
      <c r="A30" t="s">
        <v>66</v>
      </c>
      <c r="B30" t="s">
        <v>76</v>
      </c>
      <c r="C30" t="s">
        <v>81</v>
      </c>
    </row>
    <row r="31" spans="1:4">
      <c r="A31" t="s">
        <v>42</v>
      </c>
      <c r="B31" t="s">
        <v>41</v>
      </c>
      <c r="C31" t="s">
        <v>81</v>
      </c>
    </row>
    <row r="32" spans="1:4">
      <c r="A32" t="s">
        <v>45</v>
      </c>
      <c r="B32" t="s">
        <v>44</v>
      </c>
    </row>
    <row r="33" spans="1:4">
      <c r="A33" t="s">
        <v>32</v>
      </c>
      <c r="B33" t="s">
        <v>44</v>
      </c>
    </row>
    <row r="34" spans="1:4">
      <c r="A34" t="s">
        <v>65</v>
      </c>
      <c r="B34" t="s">
        <v>44</v>
      </c>
    </row>
    <row r="35" spans="1:4">
      <c r="A35" t="s">
        <v>50</v>
      </c>
      <c r="B35" t="s">
        <v>44</v>
      </c>
    </row>
    <row r="36" spans="1:4">
      <c r="A36" t="s">
        <v>36</v>
      </c>
      <c r="B36" t="s">
        <v>77</v>
      </c>
    </row>
    <row r="37" spans="1:4">
      <c r="A37" t="s">
        <v>35</v>
      </c>
      <c r="B37" t="s">
        <v>79</v>
      </c>
      <c r="D37" t="s">
        <v>90</v>
      </c>
    </row>
    <row r="38" spans="1:4">
      <c r="A38" t="s">
        <v>49</v>
      </c>
      <c r="B38" t="s">
        <v>78</v>
      </c>
    </row>
    <row r="39" spans="1:4">
      <c r="A39" t="s">
        <v>54</v>
      </c>
      <c r="B39" t="s">
        <v>78</v>
      </c>
    </row>
    <row r="40" spans="1:4">
      <c r="A40" t="s">
        <v>82</v>
      </c>
      <c r="B40" t="s">
        <v>82</v>
      </c>
      <c r="C40" t="s">
        <v>83</v>
      </c>
      <c r="D40" t="s">
        <v>91</v>
      </c>
    </row>
    <row r="41" spans="1:4">
      <c r="A41" t="s">
        <v>84</v>
      </c>
      <c r="B41" t="s">
        <v>84</v>
      </c>
      <c r="C41" t="s">
        <v>89</v>
      </c>
      <c r="D41" t="s">
        <v>91</v>
      </c>
    </row>
    <row r="42" spans="1:4">
      <c r="A42" t="s">
        <v>85</v>
      </c>
      <c r="B42" t="s">
        <v>85</v>
      </c>
      <c r="C42" t="s">
        <v>86</v>
      </c>
      <c r="D42" t="s">
        <v>91</v>
      </c>
    </row>
    <row r="43" spans="1:4">
      <c r="A43" t="s">
        <v>87</v>
      </c>
      <c r="B43" t="s">
        <v>87</v>
      </c>
      <c r="C43" t="s">
        <v>88</v>
      </c>
      <c r="D43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BS31"/>
  <sheetViews>
    <sheetView topLeftCell="Z1" workbookViewId="0">
      <selection activeCell="Z17" sqref="A17:XFD18"/>
    </sheetView>
  </sheetViews>
  <sheetFormatPr defaultRowHeight="14.25"/>
  <sheetData>
    <row r="1" spans="1:71">
      <c r="A1" t="s">
        <v>219</v>
      </c>
      <c r="B1" t="s">
        <v>220</v>
      </c>
      <c r="C1" t="s">
        <v>221</v>
      </c>
      <c r="D1" t="s">
        <v>222</v>
      </c>
      <c r="E1" t="s">
        <v>223</v>
      </c>
      <c r="F1" t="s">
        <v>224</v>
      </c>
      <c r="G1" t="s">
        <v>225</v>
      </c>
      <c r="H1" t="s">
        <v>226</v>
      </c>
      <c r="I1" t="s">
        <v>227</v>
      </c>
      <c r="J1" t="s">
        <v>228</v>
      </c>
      <c r="K1" t="s">
        <v>229</v>
      </c>
      <c r="L1" t="s">
        <v>230</v>
      </c>
      <c r="M1" t="s">
        <v>231</v>
      </c>
      <c r="N1" t="s">
        <v>232</v>
      </c>
      <c r="O1" t="s">
        <v>233</v>
      </c>
      <c r="P1" t="s">
        <v>234</v>
      </c>
      <c r="Q1" t="s">
        <v>235</v>
      </c>
      <c r="R1" t="s">
        <v>236</v>
      </c>
      <c r="S1" t="s">
        <v>237</v>
      </c>
      <c r="T1" t="s">
        <v>238</v>
      </c>
      <c r="U1" t="s">
        <v>239</v>
      </c>
      <c r="V1" t="s">
        <v>240</v>
      </c>
      <c r="W1" t="s">
        <v>241</v>
      </c>
      <c r="X1" t="s">
        <v>242</v>
      </c>
      <c r="Y1" t="s">
        <v>243</v>
      </c>
      <c r="Z1" t="s">
        <v>244</v>
      </c>
      <c r="AA1" t="s">
        <v>7</v>
      </c>
      <c r="AB1" t="s">
        <v>8</v>
      </c>
      <c r="AC1" t="s">
        <v>9</v>
      </c>
      <c r="AD1" t="s">
        <v>10</v>
      </c>
      <c r="AE1" t="s">
        <v>11</v>
      </c>
      <c r="AF1" t="s">
        <v>12</v>
      </c>
      <c r="AG1" t="s">
        <v>13</v>
      </c>
      <c r="AH1" t="s">
        <v>14</v>
      </c>
      <c r="AI1" t="s">
        <v>15</v>
      </c>
      <c r="AJ1" t="s">
        <v>16</v>
      </c>
      <c r="AK1" t="s">
        <v>17</v>
      </c>
      <c r="AL1" t="s">
        <v>18</v>
      </c>
      <c r="AM1" t="s">
        <v>19</v>
      </c>
      <c r="AN1" t="s">
        <v>20</v>
      </c>
      <c r="AO1" t="s">
        <v>21</v>
      </c>
      <c r="AP1" t="s">
        <v>22</v>
      </c>
      <c r="AQ1" t="s">
        <v>23</v>
      </c>
      <c r="AR1" t="s">
        <v>24</v>
      </c>
      <c r="AS1" t="s">
        <v>25</v>
      </c>
      <c r="AT1" t="s">
        <v>26</v>
      </c>
    </row>
    <row r="2" spans="1:71">
      <c r="A2" t="s">
        <v>265</v>
      </c>
      <c r="B2" t="s">
        <v>264</v>
      </c>
      <c r="E2" s="14">
        <v>43047</v>
      </c>
      <c r="F2" s="14">
        <v>43131</v>
      </c>
      <c r="G2" s="14">
        <v>43047</v>
      </c>
      <c r="H2" s="14">
        <v>43047</v>
      </c>
      <c r="I2">
        <v>20170797</v>
      </c>
      <c r="J2" t="s">
        <v>266</v>
      </c>
      <c r="K2" t="s">
        <v>246</v>
      </c>
      <c r="L2" t="s">
        <v>247</v>
      </c>
      <c r="M2" t="s">
        <v>260</v>
      </c>
      <c r="N2" t="s">
        <v>38</v>
      </c>
      <c r="O2" t="s">
        <v>248</v>
      </c>
      <c r="P2" t="s">
        <v>267</v>
      </c>
      <c r="R2" t="s">
        <v>188</v>
      </c>
      <c r="S2" t="s">
        <v>249</v>
      </c>
      <c r="T2" t="s">
        <v>275</v>
      </c>
      <c r="U2" t="s">
        <v>249</v>
      </c>
      <c r="V2" t="s">
        <v>188</v>
      </c>
      <c r="W2" t="s">
        <v>250</v>
      </c>
      <c r="X2" t="s">
        <v>268</v>
      </c>
      <c r="Y2" t="s">
        <v>269</v>
      </c>
      <c r="Z2">
        <v>29833</v>
      </c>
      <c r="AA2" t="s">
        <v>270</v>
      </c>
      <c r="AB2">
        <v>20170797</v>
      </c>
      <c r="AC2" t="s">
        <v>271</v>
      </c>
      <c r="AD2">
        <v>0</v>
      </c>
      <c r="AE2" t="s">
        <v>39</v>
      </c>
      <c r="AF2">
        <v>0</v>
      </c>
      <c r="AG2">
        <v>1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45</v>
      </c>
      <c r="AR2" s="14">
        <v>2958465</v>
      </c>
      <c r="AS2" t="s">
        <v>188</v>
      </c>
      <c r="AT2">
        <v>0</v>
      </c>
    </row>
    <row r="5" spans="1:71">
      <c r="Z5" t="s">
        <v>219</v>
      </c>
      <c r="AA5" t="s">
        <v>220</v>
      </c>
      <c r="AB5" t="s">
        <v>221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 t="s">
        <v>227</v>
      </c>
      <c r="AI5" t="s">
        <v>228</v>
      </c>
      <c r="AJ5" t="s">
        <v>229</v>
      </c>
      <c r="AK5" t="s">
        <v>230</v>
      </c>
      <c r="AL5" t="s">
        <v>231</v>
      </c>
      <c r="AM5" t="s">
        <v>232</v>
      </c>
      <c r="AN5" t="s">
        <v>233</v>
      </c>
      <c r="AO5" t="s">
        <v>234</v>
      </c>
      <c r="AP5" t="s">
        <v>235</v>
      </c>
      <c r="AQ5" t="s">
        <v>236</v>
      </c>
      <c r="AR5" t="s">
        <v>237</v>
      </c>
      <c r="AS5" t="s">
        <v>238</v>
      </c>
      <c r="AT5" t="s">
        <v>239</v>
      </c>
      <c r="AU5" t="s">
        <v>240</v>
      </c>
      <c r="AV5" t="s">
        <v>241</v>
      </c>
      <c r="AW5" t="s">
        <v>242</v>
      </c>
      <c r="AX5" t="s">
        <v>243</v>
      </c>
      <c r="AY5" t="s">
        <v>244</v>
      </c>
      <c r="AZ5" t="s">
        <v>7</v>
      </c>
      <c r="BA5" t="s">
        <v>8</v>
      </c>
      <c r="BB5" t="s">
        <v>9</v>
      </c>
      <c r="BC5" t="s">
        <v>10</v>
      </c>
      <c r="BD5" t="s">
        <v>11</v>
      </c>
      <c r="BE5" t="s">
        <v>12</v>
      </c>
      <c r="BF5" t="s">
        <v>13</v>
      </c>
      <c r="BG5" t="s">
        <v>14</v>
      </c>
      <c r="BH5" t="s">
        <v>15</v>
      </c>
      <c r="BI5" t="s">
        <v>16</v>
      </c>
      <c r="BJ5" t="s">
        <v>17</v>
      </c>
      <c r="BK5" t="s">
        <v>18</v>
      </c>
      <c r="BL5" t="s">
        <v>19</v>
      </c>
      <c r="BM5" t="s">
        <v>20</v>
      </c>
      <c r="BN5" t="s">
        <v>21</v>
      </c>
      <c r="BO5" t="s">
        <v>22</v>
      </c>
      <c r="BP5" t="s">
        <v>23</v>
      </c>
      <c r="BQ5" t="s">
        <v>24</v>
      </c>
      <c r="BR5" t="s">
        <v>25</v>
      </c>
      <c r="BS5" t="s">
        <v>26</v>
      </c>
    </row>
    <row r="6" spans="1:71">
      <c r="Z6" t="s">
        <v>281</v>
      </c>
      <c r="AA6" t="s">
        <v>245</v>
      </c>
      <c r="AD6" s="14">
        <v>43319</v>
      </c>
      <c r="AE6" s="14">
        <v>43465</v>
      </c>
      <c r="AF6" s="14">
        <v>43319</v>
      </c>
      <c r="AG6" s="14">
        <v>43319</v>
      </c>
      <c r="AH6" t="s">
        <v>282</v>
      </c>
      <c r="AJ6" t="s">
        <v>246</v>
      </c>
      <c r="AK6" t="s">
        <v>247</v>
      </c>
      <c r="AL6" t="s">
        <v>283</v>
      </c>
      <c r="AM6" t="s">
        <v>284</v>
      </c>
      <c r="AN6" t="s">
        <v>248</v>
      </c>
      <c r="AO6" t="s">
        <v>285</v>
      </c>
      <c r="AQ6">
        <v>1</v>
      </c>
      <c r="AR6" t="s">
        <v>249</v>
      </c>
      <c r="AS6">
        <v>4350</v>
      </c>
      <c r="AT6" t="s">
        <v>249</v>
      </c>
      <c r="AU6">
        <v>1</v>
      </c>
      <c r="AV6" t="s">
        <v>250</v>
      </c>
      <c r="AW6" t="s">
        <v>286</v>
      </c>
      <c r="AY6">
        <v>32278</v>
      </c>
      <c r="AZ6" t="s">
        <v>287</v>
      </c>
      <c r="BA6">
        <v>20180723</v>
      </c>
      <c r="BB6">
        <v>4350</v>
      </c>
      <c r="BC6">
        <v>0</v>
      </c>
      <c r="BD6" t="s">
        <v>34</v>
      </c>
      <c r="BE6">
        <v>0</v>
      </c>
      <c r="BF6">
        <v>1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32</v>
      </c>
      <c r="BQ6" s="14">
        <v>2958465</v>
      </c>
      <c r="BR6">
        <v>1</v>
      </c>
      <c r="BS6">
        <v>0</v>
      </c>
    </row>
    <row r="8" spans="1:71">
      <c r="Z8" t="s">
        <v>219</v>
      </c>
      <c r="AA8" t="s">
        <v>220</v>
      </c>
      <c r="AB8" t="s">
        <v>221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 t="s">
        <v>227</v>
      </c>
      <c r="AI8" t="s">
        <v>228</v>
      </c>
      <c r="AJ8" t="s">
        <v>229</v>
      </c>
      <c r="AK8" t="s">
        <v>230</v>
      </c>
      <c r="AL8" t="s">
        <v>231</v>
      </c>
      <c r="AM8" t="s">
        <v>232</v>
      </c>
      <c r="AN8" t="s">
        <v>233</v>
      </c>
      <c r="AO8" t="s">
        <v>234</v>
      </c>
      <c r="AP8" t="s">
        <v>235</v>
      </c>
      <c r="AQ8" t="s">
        <v>236</v>
      </c>
      <c r="AR8" t="s">
        <v>237</v>
      </c>
      <c r="AS8" t="s">
        <v>238</v>
      </c>
      <c r="AT8" t="s">
        <v>239</v>
      </c>
      <c r="AU8" t="s">
        <v>240</v>
      </c>
      <c r="AV8" t="s">
        <v>241</v>
      </c>
      <c r="AW8" t="s">
        <v>242</v>
      </c>
      <c r="AX8" t="s">
        <v>243</v>
      </c>
      <c r="AY8" t="s">
        <v>244</v>
      </c>
      <c r="AZ8" t="s">
        <v>7</v>
      </c>
      <c r="BA8" t="s">
        <v>8</v>
      </c>
      <c r="BB8" t="s">
        <v>9</v>
      </c>
      <c r="BC8" t="s">
        <v>10</v>
      </c>
      <c r="BD8" t="s">
        <v>11</v>
      </c>
      <c r="BE8" t="s">
        <v>12</v>
      </c>
      <c r="BF8" t="s">
        <v>13</v>
      </c>
      <c r="BG8" t="s">
        <v>14</v>
      </c>
      <c r="BH8" t="s">
        <v>15</v>
      </c>
      <c r="BI8" t="s">
        <v>16</v>
      </c>
      <c r="BJ8" t="s">
        <v>17</v>
      </c>
      <c r="BK8" t="s">
        <v>18</v>
      </c>
      <c r="BL8" t="s">
        <v>19</v>
      </c>
      <c r="BM8" t="s">
        <v>20</v>
      </c>
      <c r="BN8" t="s">
        <v>21</v>
      </c>
      <c r="BO8" t="s">
        <v>22</v>
      </c>
      <c r="BP8" t="s">
        <v>23</v>
      </c>
      <c r="BQ8" t="s">
        <v>24</v>
      </c>
      <c r="BR8" t="s">
        <v>25</v>
      </c>
      <c r="BS8" t="s">
        <v>26</v>
      </c>
    </row>
    <row r="9" spans="1:71">
      <c r="Z9" t="s">
        <v>288</v>
      </c>
      <c r="AA9" t="s">
        <v>105</v>
      </c>
      <c r="AB9" t="s">
        <v>104</v>
      </c>
      <c r="AD9" s="14">
        <v>43213</v>
      </c>
      <c r="AE9" s="14">
        <v>43234</v>
      </c>
      <c r="AF9" s="14">
        <v>43213</v>
      </c>
      <c r="AG9" s="14">
        <v>43213</v>
      </c>
      <c r="AH9">
        <v>20180377</v>
      </c>
      <c r="AI9" t="s">
        <v>289</v>
      </c>
      <c r="AJ9" t="s">
        <v>246</v>
      </c>
      <c r="AK9" t="s">
        <v>247</v>
      </c>
      <c r="AL9" t="s">
        <v>290</v>
      </c>
      <c r="AM9" t="s">
        <v>291</v>
      </c>
      <c r="AN9" t="s">
        <v>248</v>
      </c>
      <c r="AO9" t="s">
        <v>267</v>
      </c>
      <c r="AQ9">
        <v>1</v>
      </c>
      <c r="AR9" t="s">
        <v>249</v>
      </c>
      <c r="AS9">
        <v>2456</v>
      </c>
      <c r="AT9" t="s">
        <v>249</v>
      </c>
      <c r="AU9">
        <v>0</v>
      </c>
      <c r="AV9" t="s">
        <v>250</v>
      </c>
      <c r="AW9" t="s">
        <v>268</v>
      </c>
      <c r="AX9" t="s">
        <v>292</v>
      </c>
      <c r="AY9">
        <v>31562</v>
      </c>
      <c r="AZ9" t="s">
        <v>270</v>
      </c>
      <c r="BA9">
        <v>20180377</v>
      </c>
      <c r="BB9">
        <v>2456</v>
      </c>
      <c r="BC9">
        <v>0</v>
      </c>
      <c r="BD9" t="s">
        <v>31</v>
      </c>
      <c r="BE9">
        <v>0</v>
      </c>
      <c r="BF9">
        <v>1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17</v>
      </c>
      <c r="BQ9" s="14">
        <v>2958465</v>
      </c>
      <c r="BR9">
        <v>1</v>
      </c>
      <c r="BS9">
        <v>0</v>
      </c>
    </row>
    <row r="13" spans="1:71">
      <c r="Z13" t="s">
        <v>219</v>
      </c>
      <c r="AA13" t="s">
        <v>220</v>
      </c>
      <c r="AB13" t="s">
        <v>221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 t="s">
        <v>227</v>
      </c>
      <c r="AI13" t="s">
        <v>228</v>
      </c>
      <c r="AJ13" t="s">
        <v>229</v>
      </c>
      <c r="AK13" t="s">
        <v>230</v>
      </c>
      <c r="AL13" t="s">
        <v>231</v>
      </c>
      <c r="AM13" t="s">
        <v>232</v>
      </c>
      <c r="AN13" t="s">
        <v>233</v>
      </c>
      <c r="AO13" t="s">
        <v>234</v>
      </c>
      <c r="AP13" t="s">
        <v>235</v>
      </c>
      <c r="AQ13" t="s">
        <v>236</v>
      </c>
      <c r="AR13" t="s">
        <v>237</v>
      </c>
      <c r="AS13" t="s">
        <v>238</v>
      </c>
      <c r="AT13" t="s">
        <v>239</v>
      </c>
      <c r="AU13" t="s">
        <v>240</v>
      </c>
      <c r="AV13" t="s">
        <v>241</v>
      </c>
      <c r="AW13" t="s">
        <v>242</v>
      </c>
      <c r="AX13" t="s">
        <v>243</v>
      </c>
      <c r="AY13" t="s">
        <v>244</v>
      </c>
      <c r="AZ13" t="s">
        <v>7</v>
      </c>
      <c r="BA13" t="s">
        <v>8</v>
      </c>
      <c r="BB13" t="s">
        <v>9</v>
      </c>
      <c r="BC13" t="s">
        <v>10</v>
      </c>
      <c r="BD13" t="s">
        <v>11</v>
      </c>
      <c r="BE13" t="s">
        <v>12</v>
      </c>
      <c r="BF13" t="s">
        <v>13</v>
      </c>
      <c r="BG13" t="s">
        <v>14</v>
      </c>
      <c r="BH13" t="s">
        <v>15</v>
      </c>
      <c r="BI13" t="s">
        <v>16</v>
      </c>
      <c r="BJ13" t="s">
        <v>17</v>
      </c>
      <c r="BK13" t="s">
        <v>18</v>
      </c>
      <c r="BL13" t="s">
        <v>19</v>
      </c>
      <c r="BM13" t="s">
        <v>20</v>
      </c>
      <c r="BN13" t="s">
        <v>21</v>
      </c>
      <c r="BO13" t="s">
        <v>22</v>
      </c>
      <c r="BP13" t="s">
        <v>23</v>
      </c>
      <c r="BQ13" t="s">
        <v>24</v>
      </c>
      <c r="BR13" t="s">
        <v>25</v>
      </c>
      <c r="BS13" t="s">
        <v>26</v>
      </c>
    </row>
    <row r="14" spans="1:71">
      <c r="Z14" t="s">
        <v>293</v>
      </c>
      <c r="AA14" t="s">
        <v>98</v>
      </c>
      <c r="AD14" s="14">
        <v>43321</v>
      </c>
      <c r="AE14" s="14">
        <v>43343</v>
      </c>
      <c r="AF14" s="14">
        <v>43321</v>
      </c>
      <c r="AG14" s="14">
        <v>43321</v>
      </c>
      <c r="AH14">
        <v>20180730</v>
      </c>
      <c r="AI14" t="s">
        <v>294</v>
      </c>
      <c r="AJ14" t="s">
        <v>246</v>
      </c>
      <c r="AK14" t="s">
        <v>247</v>
      </c>
      <c r="AL14" t="s">
        <v>260</v>
      </c>
      <c r="AM14" t="s">
        <v>295</v>
      </c>
      <c r="AN14" t="s">
        <v>248</v>
      </c>
      <c r="AO14" t="s">
        <v>285</v>
      </c>
      <c r="AQ14">
        <v>4</v>
      </c>
      <c r="AR14" t="s">
        <v>249</v>
      </c>
      <c r="AS14">
        <v>1869</v>
      </c>
      <c r="AT14" t="s">
        <v>249</v>
      </c>
      <c r="AU14">
        <v>4</v>
      </c>
      <c r="AV14" t="s">
        <v>250</v>
      </c>
      <c r="AW14" t="s">
        <v>286</v>
      </c>
      <c r="AY14">
        <v>32289</v>
      </c>
      <c r="AZ14" t="s">
        <v>296</v>
      </c>
      <c r="BA14">
        <v>20180730</v>
      </c>
      <c r="BB14">
        <v>7476</v>
      </c>
      <c r="BC14">
        <v>0</v>
      </c>
      <c r="BD14" t="s">
        <v>261</v>
      </c>
      <c r="BE14">
        <v>0</v>
      </c>
      <c r="BF14">
        <v>1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32</v>
      </c>
      <c r="BQ14" s="14">
        <v>2958465</v>
      </c>
      <c r="BR14">
        <v>4</v>
      </c>
      <c r="BS14">
        <v>0</v>
      </c>
    </row>
    <row r="17" spans="26:71">
      <c r="Z17" t="s">
        <v>219</v>
      </c>
      <c r="AA17" t="s">
        <v>220</v>
      </c>
      <c r="AB17" t="s">
        <v>221</v>
      </c>
      <c r="AC17" t="s">
        <v>222</v>
      </c>
      <c r="AD17" t="s">
        <v>223</v>
      </c>
      <c r="AE17" t="s">
        <v>224</v>
      </c>
      <c r="AF17" t="s">
        <v>225</v>
      </c>
      <c r="AG17" t="s">
        <v>226</v>
      </c>
      <c r="AH17" t="s">
        <v>227</v>
      </c>
      <c r="AI17" t="s">
        <v>228</v>
      </c>
      <c r="AJ17" t="s">
        <v>229</v>
      </c>
      <c r="AK17" t="s">
        <v>230</v>
      </c>
      <c r="AL17" t="s">
        <v>231</v>
      </c>
      <c r="AM17" t="s">
        <v>232</v>
      </c>
      <c r="AN17" t="s">
        <v>233</v>
      </c>
      <c r="AO17" t="s">
        <v>234</v>
      </c>
      <c r="AP17" t="s">
        <v>235</v>
      </c>
      <c r="AQ17" t="s">
        <v>236</v>
      </c>
      <c r="AR17" t="s">
        <v>237</v>
      </c>
      <c r="AS17" t="s">
        <v>238</v>
      </c>
      <c r="AT17" t="s">
        <v>239</v>
      </c>
      <c r="AU17" t="s">
        <v>240</v>
      </c>
      <c r="AV17" t="s">
        <v>241</v>
      </c>
      <c r="AW17" t="s">
        <v>242</v>
      </c>
      <c r="AX17" t="s">
        <v>243</v>
      </c>
      <c r="AY17" t="s">
        <v>244</v>
      </c>
      <c r="AZ17" t="s">
        <v>7</v>
      </c>
      <c r="BA17" t="s">
        <v>8</v>
      </c>
      <c r="BB17" t="s">
        <v>9</v>
      </c>
      <c r="BC17" t="s">
        <v>10</v>
      </c>
      <c r="BD17" t="s">
        <v>11</v>
      </c>
      <c r="BE17" t="s">
        <v>12</v>
      </c>
      <c r="BF17" t="s">
        <v>13</v>
      </c>
      <c r="BG17" t="s">
        <v>14</v>
      </c>
      <c r="BH17" t="s">
        <v>15</v>
      </c>
      <c r="BI17" t="s">
        <v>16</v>
      </c>
      <c r="BJ17" t="s">
        <v>17</v>
      </c>
      <c r="BK17" t="s">
        <v>18</v>
      </c>
      <c r="BL17" t="s">
        <v>19</v>
      </c>
      <c r="BM17" t="s">
        <v>20</v>
      </c>
      <c r="BN17" t="s">
        <v>21</v>
      </c>
      <c r="BO17" t="s">
        <v>22</v>
      </c>
      <c r="BP17" t="s">
        <v>23</v>
      </c>
      <c r="BQ17" t="s">
        <v>24</v>
      </c>
      <c r="BR17" t="s">
        <v>25</v>
      </c>
      <c r="BS17" t="s">
        <v>26</v>
      </c>
    </row>
    <row r="18" spans="26:71">
      <c r="Z18" t="s">
        <v>265</v>
      </c>
      <c r="AA18" t="s">
        <v>264</v>
      </c>
      <c r="AD18" s="14">
        <v>43047</v>
      </c>
      <c r="AE18" s="14">
        <v>43131</v>
      </c>
      <c r="AF18" s="14">
        <v>43047</v>
      </c>
      <c r="AG18" s="14">
        <v>43047</v>
      </c>
      <c r="AH18">
        <v>20170797</v>
      </c>
      <c r="AI18" t="s">
        <v>266</v>
      </c>
      <c r="AJ18" t="s">
        <v>246</v>
      </c>
      <c r="AK18" t="s">
        <v>247</v>
      </c>
      <c r="AL18" t="s">
        <v>260</v>
      </c>
      <c r="AM18" t="s">
        <v>38</v>
      </c>
      <c r="AN18" t="s">
        <v>248</v>
      </c>
      <c r="AO18" t="s">
        <v>267</v>
      </c>
      <c r="AQ18">
        <v>1</v>
      </c>
      <c r="AR18" t="s">
        <v>249</v>
      </c>
      <c r="AS18">
        <v>2656</v>
      </c>
      <c r="AT18" t="s">
        <v>249</v>
      </c>
      <c r="AU18">
        <v>1</v>
      </c>
      <c r="AV18" t="s">
        <v>250</v>
      </c>
      <c r="AW18" t="s">
        <v>268</v>
      </c>
      <c r="AX18" t="s">
        <v>269</v>
      </c>
      <c r="AY18">
        <v>29833</v>
      </c>
      <c r="AZ18" t="s">
        <v>270</v>
      </c>
      <c r="BA18">
        <v>20170797</v>
      </c>
      <c r="BB18">
        <v>2656</v>
      </c>
      <c r="BC18">
        <v>0</v>
      </c>
      <c r="BD18" t="s">
        <v>39</v>
      </c>
      <c r="BE18">
        <v>0</v>
      </c>
      <c r="BF18">
        <v>1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45</v>
      </c>
      <c r="BQ18" s="14">
        <v>2958465</v>
      </c>
      <c r="BR18">
        <v>1</v>
      </c>
      <c r="BS18">
        <v>0</v>
      </c>
    </row>
    <row r="21" spans="26:71">
      <c r="Z21" t="s">
        <v>219</v>
      </c>
      <c r="AA21" t="s">
        <v>220</v>
      </c>
      <c r="AB21" t="s">
        <v>221</v>
      </c>
      <c r="AC21" t="s">
        <v>222</v>
      </c>
      <c r="AD21" t="s">
        <v>223</v>
      </c>
      <c r="AE21" t="s">
        <v>224</v>
      </c>
      <c r="AF21" t="s">
        <v>225</v>
      </c>
      <c r="AG21" t="s">
        <v>226</v>
      </c>
      <c r="AH21" t="s">
        <v>227</v>
      </c>
      <c r="AI21" t="s">
        <v>228</v>
      </c>
      <c r="AJ21" t="s">
        <v>229</v>
      </c>
      <c r="AK21" t="s">
        <v>230</v>
      </c>
      <c r="AL21" t="s">
        <v>231</v>
      </c>
      <c r="AM21" t="s">
        <v>232</v>
      </c>
      <c r="AN21" t="s">
        <v>233</v>
      </c>
      <c r="AO21" t="s">
        <v>234</v>
      </c>
      <c r="AP21" t="s">
        <v>235</v>
      </c>
      <c r="AQ21" t="s">
        <v>236</v>
      </c>
      <c r="AR21" t="s">
        <v>237</v>
      </c>
      <c r="AS21" t="s">
        <v>238</v>
      </c>
      <c r="AT21" t="s">
        <v>239</v>
      </c>
      <c r="AU21" t="s">
        <v>240</v>
      </c>
      <c r="AV21" t="s">
        <v>241</v>
      </c>
      <c r="AW21" t="s">
        <v>242</v>
      </c>
      <c r="AX21" t="s">
        <v>243</v>
      </c>
      <c r="AY21" t="s">
        <v>244</v>
      </c>
      <c r="AZ21" t="s">
        <v>7</v>
      </c>
      <c r="BA21" t="s">
        <v>8</v>
      </c>
      <c r="BB21" t="s">
        <v>9</v>
      </c>
      <c r="BC21" t="s">
        <v>10</v>
      </c>
      <c r="BD21" t="s">
        <v>11</v>
      </c>
      <c r="BE21" t="s">
        <v>12</v>
      </c>
      <c r="BF21" t="s">
        <v>13</v>
      </c>
      <c r="BG21" t="s">
        <v>14</v>
      </c>
      <c r="BH21" t="s">
        <v>15</v>
      </c>
      <c r="BI21" t="s">
        <v>16</v>
      </c>
      <c r="BJ21" t="s">
        <v>17</v>
      </c>
      <c r="BK21" t="s">
        <v>18</v>
      </c>
      <c r="BL21" t="s">
        <v>19</v>
      </c>
      <c r="BM21" t="s">
        <v>20</v>
      </c>
      <c r="BN21" t="s">
        <v>21</v>
      </c>
      <c r="BO21" t="s">
        <v>22</v>
      </c>
      <c r="BP21" t="s">
        <v>23</v>
      </c>
      <c r="BQ21" t="s">
        <v>24</v>
      </c>
      <c r="BR21" t="s">
        <v>25</v>
      </c>
      <c r="BS21" t="s">
        <v>26</v>
      </c>
    </row>
    <row r="22" spans="26:71">
      <c r="Z22" t="s">
        <v>297</v>
      </c>
      <c r="AA22" t="s">
        <v>133</v>
      </c>
      <c r="AB22" t="s">
        <v>298</v>
      </c>
      <c r="AD22" s="14">
        <v>43343</v>
      </c>
      <c r="AE22" s="14">
        <v>43388</v>
      </c>
      <c r="AF22" s="14">
        <v>43343</v>
      </c>
      <c r="AG22" s="14">
        <v>43343</v>
      </c>
      <c r="AH22">
        <v>20180833</v>
      </c>
      <c r="AI22" t="s">
        <v>299</v>
      </c>
      <c r="AJ22" t="s">
        <v>246</v>
      </c>
      <c r="AK22" t="s">
        <v>247</v>
      </c>
      <c r="AL22" t="s">
        <v>283</v>
      </c>
      <c r="AM22" t="s">
        <v>300</v>
      </c>
      <c r="AN22" t="s">
        <v>248</v>
      </c>
      <c r="AO22" t="s">
        <v>301</v>
      </c>
      <c r="AQ22">
        <v>2</v>
      </c>
      <c r="AR22" t="s">
        <v>302</v>
      </c>
      <c r="AS22">
        <v>2456</v>
      </c>
      <c r="AT22" t="s">
        <v>302</v>
      </c>
      <c r="AU22">
        <v>0</v>
      </c>
      <c r="AV22" t="s">
        <v>250</v>
      </c>
      <c r="AW22" t="s">
        <v>286</v>
      </c>
      <c r="AY22">
        <v>32591</v>
      </c>
      <c r="AZ22" t="s">
        <v>270</v>
      </c>
      <c r="BA22">
        <v>20180833</v>
      </c>
      <c r="BB22">
        <v>4912</v>
      </c>
      <c r="BC22">
        <v>0</v>
      </c>
      <c r="BD22" t="s">
        <v>203</v>
      </c>
      <c r="BE22">
        <v>0</v>
      </c>
      <c r="BF22">
        <v>1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35</v>
      </c>
      <c r="BQ22" s="14">
        <v>2958465</v>
      </c>
      <c r="BR22">
        <v>2</v>
      </c>
      <c r="BS22">
        <v>0</v>
      </c>
    </row>
    <row r="25" spans="26:71">
      <c r="Z25" t="s">
        <v>219</v>
      </c>
      <c r="AA25" t="s">
        <v>220</v>
      </c>
      <c r="AB25" t="s">
        <v>221</v>
      </c>
      <c r="AC25" t="s">
        <v>222</v>
      </c>
      <c r="AD25" t="s">
        <v>223</v>
      </c>
      <c r="AE25" t="s">
        <v>224</v>
      </c>
      <c r="AF25" t="s">
        <v>225</v>
      </c>
      <c r="AG25" t="s">
        <v>226</v>
      </c>
      <c r="AH25" t="s">
        <v>227</v>
      </c>
      <c r="AI25" t="s">
        <v>228</v>
      </c>
      <c r="AJ25" t="s">
        <v>229</v>
      </c>
      <c r="AK25" t="s">
        <v>230</v>
      </c>
      <c r="AL25" t="s">
        <v>231</v>
      </c>
      <c r="AM25" t="s">
        <v>232</v>
      </c>
      <c r="AN25" t="s">
        <v>233</v>
      </c>
      <c r="AO25" t="s">
        <v>234</v>
      </c>
      <c r="AP25" t="s">
        <v>235</v>
      </c>
      <c r="AQ25" t="s">
        <v>236</v>
      </c>
      <c r="AR25" t="s">
        <v>237</v>
      </c>
      <c r="AS25" t="s">
        <v>238</v>
      </c>
      <c r="AT25" t="s">
        <v>239</v>
      </c>
      <c r="AU25" t="s">
        <v>240</v>
      </c>
      <c r="AV25" t="s">
        <v>241</v>
      </c>
      <c r="AW25" t="s">
        <v>242</v>
      </c>
      <c r="AX25" t="s">
        <v>243</v>
      </c>
      <c r="AY25" t="s">
        <v>244</v>
      </c>
      <c r="AZ25" t="s">
        <v>7</v>
      </c>
      <c r="BA25" t="s">
        <v>8</v>
      </c>
      <c r="BB25" t="s">
        <v>9</v>
      </c>
      <c r="BC25" t="s">
        <v>10</v>
      </c>
      <c r="BD25" t="s">
        <v>11</v>
      </c>
      <c r="BE25" t="s">
        <v>12</v>
      </c>
      <c r="BF25" t="s">
        <v>13</v>
      </c>
      <c r="BG25" t="s">
        <v>14</v>
      </c>
      <c r="BH25" t="s">
        <v>15</v>
      </c>
      <c r="BI25" t="s">
        <v>16</v>
      </c>
      <c r="BJ25" t="s">
        <v>17</v>
      </c>
      <c r="BK25" t="s">
        <v>18</v>
      </c>
      <c r="BL25" t="s">
        <v>19</v>
      </c>
      <c r="BM25" t="s">
        <v>20</v>
      </c>
      <c r="BN25" t="s">
        <v>21</v>
      </c>
      <c r="BO25" t="s">
        <v>22</v>
      </c>
      <c r="BP25" t="s">
        <v>23</v>
      </c>
      <c r="BQ25" t="s">
        <v>24</v>
      </c>
      <c r="BR25" t="s">
        <v>25</v>
      </c>
      <c r="BS25" t="s">
        <v>26</v>
      </c>
    </row>
    <row r="26" spans="26:71">
      <c r="Z26" t="s">
        <v>303</v>
      </c>
      <c r="AA26" t="s">
        <v>138</v>
      </c>
      <c r="AD26" s="14">
        <v>43319</v>
      </c>
      <c r="AE26" s="14">
        <v>43404</v>
      </c>
      <c r="AF26" s="14">
        <v>43319</v>
      </c>
      <c r="AG26" s="14">
        <v>43319</v>
      </c>
      <c r="AH26" t="s">
        <v>304</v>
      </c>
      <c r="AI26" t="s">
        <v>305</v>
      </c>
      <c r="AJ26" t="s">
        <v>246</v>
      </c>
      <c r="AK26" t="s">
        <v>247</v>
      </c>
      <c r="AL26" t="s">
        <v>257</v>
      </c>
      <c r="AM26" t="s">
        <v>306</v>
      </c>
      <c r="AN26" t="s">
        <v>248</v>
      </c>
      <c r="AO26" t="s">
        <v>307</v>
      </c>
      <c r="AQ26">
        <v>2</v>
      </c>
      <c r="AR26" t="s">
        <v>249</v>
      </c>
      <c r="AS26">
        <v>8836</v>
      </c>
      <c r="AT26" t="s">
        <v>249</v>
      </c>
      <c r="AU26">
        <v>0</v>
      </c>
      <c r="AV26" t="s">
        <v>250</v>
      </c>
      <c r="AW26" t="s">
        <v>286</v>
      </c>
      <c r="AY26">
        <v>32283</v>
      </c>
      <c r="AZ26" t="s">
        <v>308</v>
      </c>
      <c r="BA26">
        <v>20180728</v>
      </c>
      <c r="BB26">
        <v>17672</v>
      </c>
      <c r="BC26">
        <v>0</v>
      </c>
      <c r="BD26" t="s">
        <v>35</v>
      </c>
      <c r="BE26">
        <v>0</v>
      </c>
      <c r="BF26">
        <v>1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32</v>
      </c>
      <c r="BQ26" s="14">
        <v>2958465</v>
      </c>
      <c r="BR26">
        <v>2</v>
      </c>
      <c r="BS26">
        <v>0</v>
      </c>
    </row>
    <row r="29" spans="26:71">
      <c r="Z29" t="s">
        <v>377</v>
      </c>
    </row>
    <row r="30" spans="26:71">
      <c r="Z30" t="s">
        <v>219</v>
      </c>
      <c r="AA30" t="s">
        <v>220</v>
      </c>
      <c r="AB30" t="s">
        <v>221</v>
      </c>
      <c r="AC30" t="s">
        <v>222</v>
      </c>
      <c r="AD30" t="s">
        <v>223</v>
      </c>
      <c r="AE30" t="s">
        <v>224</v>
      </c>
      <c r="AF30" t="s">
        <v>225</v>
      </c>
      <c r="AG30" t="s">
        <v>226</v>
      </c>
      <c r="AH30" t="s">
        <v>227</v>
      </c>
      <c r="AI30" t="s">
        <v>228</v>
      </c>
      <c r="AJ30" t="s">
        <v>229</v>
      </c>
      <c r="AK30" t="s">
        <v>230</v>
      </c>
      <c r="AL30" t="s">
        <v>231</v>
      </c>
      <c r="AM30" t="s">
        <v>232</v>
      </c>
      <c r="AN30" t="s">
        <v>233</v>
      </c>
      <c r="AO30" t="s">
        <v>234</v>
      </c>
      <c r="AP30" t="s">
        <v>235</v>
      </c>
      <c r="AQ30" t="s">
        <v>236</v>
      </c>
      <c r="AR30" t="s">
        <v>237</v>
      </c>
      <c r="AS30" t="s">
        <v>238</v>
      </c>
      <c r="AT30" t="s">
        <v>239</v>
      </c>
      <c r="AU30" t="s">
        <v>240</v>
      </c>
      <c r="AV30" t="s">
        <v>241</v>
      </c>
      <c r="AW30" t="s">
        <v>242</v>
      </c>
      <c r="AX30" t="s">
        <v>243</v>
      </c>
      <c r="AY30" t="s">
        <v>244</v>
      </c>
      <c r="AZ30" t="s">
        <v>7</v>
      </c>
      <c r="BA30" t="s">
        <v>8</v>
      </c>
      <c r="BB30" t="s">
        <v>9</v>
      </c>
      <c r="BC30" t="s">
        <v>10</v>
      </c>
      <c r="BD30" t="s">
        <v>11</v>
      </c>
      <c r="BE30" t="s">
        <v>12</v>
      </c>
      <c r="BF30" t="s">
        <v>13</v>
      </c>
      <c r="BG30" t="s">
        <v>14</v>
      </c>
      <c r="BH30" t="s">
        <v>15</v>
      </c>
      <c r="BI30" t="s">
        <v>16</v>
      </c>
      <c r="BJ30" t="s">
        <v>17</v>
      </c>
      <c r="BK30" t="s">
        <v>18</v>
      </c>
      <c r="BL30" t="s">
        <v>19</v>
      </c>
      <c r="BM30" t="s">
        <v>20</v>
      </c>
      <c r="BN30" t="s">
        <v>21</v>
      </c>
      <c r="BO30" t="s">
        <v>22</v>
      </c>
      <c r="BP30" t="s">
        <v>23</v>
      </c>
      <c r="BQ30" t="s">
        <v>24</v>
      </c>
      <c r="BR30" t="s">
        <v>25</v>
      </c>
      <c r="BS30" t="s">
        <v>26</v>
      </c>
    </row>
    <row r="31" spans="26:71">
      <c r="Z31" t="s">
        <v>365</v>
      </c>
      <c r="AA31" t="s">
        <v>366</v>
      </c>
      <c r="AD31" s="14">
        <v>42753</v>
      </c>
      <c r="AE31" s="14">
        <v>42784</v>
      </c>
      <c r="AF31" s="14">
        <v>42753</v>
      </c>
      <c r="AG31" s="14">
        <v>42784</v>
      </c>
      <c r="AJ31" t="s">
        <v>367</v>
      </c>
      <c r="AK31" t="s">
        <v>368</v>
      </c>
      <c r="AL31" t="s">
        <v>283</v>
      </c>
      <c r="AM31" t="s">
        <v>369</v>
      </c>
      <c r="AN31" t="s">
        <v>370</v>
      </c>
      <c r="AO31" t="s">
        <v>301</v>
      </c>
      <c r="AQ31" t="s">
        <v>371</v>
      </c>
      <c r="AR31" t="s">
        <v>249</v>
      </c>
      <c r="AS31" t="s">
        <v>372</v>
      </c>
      <c r="AT31" t="s">
        <v>249</v>
      </c>
      <c r="AU31" t="s">
        <v>373</v>
      </c>
      <c r="AV31" t="s">
        <v>250</v>
      </c>
      <c r="AW31" t="s">
        <v>374</v>
      </c>
      <c r="AY31">
        <v>27178</v>
      </c>
      <c r="AZ31" t="s">
        <v>375</v>
      </c>
      <c r="BA31">
        <v>0</v>
      </c>
      <c r="BB31" t="s">
        <v>373</v>
      </c>
      <c r="BC31">
        <v>0</v>
      </c>
      <c r="BD31" t="s">
        <v>376</v>
      </c>
      <c r="BE31">
        <v>0</v>
      </c>
      <c r="BF31">
        <v>1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7</v>
      </c>
      <c r="BQ31" s="14">
        <v>2958465</v>
      </c>
      <c r="BR31" t="s">
        <v>373</v>
      </c>
      <c r="BS3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537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8</vt:i4>
      </vt:variant>
    </vt:vector>
  </HeadingPairs>
  <TitlesOfParts>
    <vt:vector size="8" baseType="lpstr">
      <vt:lpstr>DOS</vt:lpstr>
      <vt:lpstr>Blad2</vt:lpstr>
      <vt:lpstr>dealerlijst</vt:lpstr>
      <vt:lpstr>labeltext</vt:lpstr>
      <vt:lpstr>Blad1</vt:lpstr>
      <vt:lpstr>usb-matrix</vt:lpstr>
      <vt:lpstr>matrix</vt:lpstr>
      <vt:lpstr>unit testers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revision>2474</cp:revision>
  <cp:lastPrinted>2019-02-13T16:30:53Z</cp:lastPrinted>
  <dcterms:created xsi:type="dcterms:W3CDTF">2015-05-12T13:25:44Z</dcterms:created>
  <dcterms:modified xsi:type="dcterms:W3CDTF">2019-02-13T16:34:04Z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