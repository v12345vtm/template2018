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<sst xmlns="http://schemas.openxmlformats.org/spreadsheetml/2006/main" count="36431" uniqueCount="16689">
  <si>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</si>
  <si>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</si>
  <si>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</si>
  <si>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</si>
  <si>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</si>
  <si>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</si>
  <si>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</si>
  <si>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</si>
  <si>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</si>
  <si>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</si>
  <si>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</si>
  <si>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</si>
  <si>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</si>
  <si>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</si>
  <si>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</si>
  <si>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</si>
  <si>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</si>
  <si>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</si>
  <si>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</si>
  <si>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</si>
  <si>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</si>
  <si>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</si>
  <si>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</si>
  <si>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</si>
  <si>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</si>
  <si>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</si>
  <si>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</si>
  <si>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</si>
  <si>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</si>
  <si>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</si>
  <si>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</si>
  <si>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</si>
  <si>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</si>
  <si>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</si>
  <si>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</si>
  <si>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</si>
  <si>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</si>
  <si>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</si>
  <si>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</si>
  <si>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</si>
  <si>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</si>
  <si>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</si>
  <si>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</si>
  <si>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</si>
  <si>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</si>
  <si>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</si>
  <si>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</si>
  <si>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</si>
  <si>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</si>
  <si>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</si>
  <si>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</si>
  <si>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</si>
  <si>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</si>
  <si>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</si>
  <si>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</si>
  <si>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</si>
  <si>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</si>
  <si>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</si>
  <si>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</si>
  <si>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</si>
  <si>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</si>
  <si>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</si>
  <si>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</si>
  <si>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</si>
  <si>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</si>
  <si>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</si>
  <si>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</si>
  <si>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</si>
  <si>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</si>
  <si>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</si>
  <si>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</si>
  <si>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</si>
  <si>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</si>
  <si>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</si>
  <si>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</si>
  <si>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</si>
  <si>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</si>
  <si>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</si>
  <si>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</si>
  <si>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</si>
  <si>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</si>
  <si>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</si>
  <si>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</si>
  <si>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</si>
  <si>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</si>
  <si>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</si>
  <si>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</si>
  <si>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</si>
  <si>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</si>
  <si>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</si>
  <si>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</si>
  <si>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</si>
  <si>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</si>
  <si>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</si>
  <si>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</si>
  <si>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</si>
  <si>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</si>
  <si>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</si>
  <si>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</si>
  <si>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</si>
  <si>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</si>
  <si>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</si>
  <si>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</si>
  <si>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</si>
  <si>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</si>
  <si>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</si>
  <si>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</si>
  <si>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</si>
  <si>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</si>
  <si>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</si>
  <si>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</si>
  <si>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</si>
  <si>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</si>
  <si>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</si>
  <si>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</si>
  <si>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</si>
  <si>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</si>
  <si>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</si>
  <si>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</si>
  <si>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</si>
  <si>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</si>
  <si>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</si>
  <si>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</si>
  <si>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</si>
  <si>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</si>
  <si>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</si>
  <si>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</si>
  <si>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</si>
  <si>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</si>
  <si>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</si>
  <si>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</si>
  <si>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</si>
  <si>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</si>
  <si>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</si>
  <si>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</si>
  <si>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</si>
  <si>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</si>
  <si>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</si>
  <si>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</si>
  <si>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</si>
  <si>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</si>
  <si>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</si>
  <si>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</si>
  <si>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</si>
  <si>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</si>
  <si>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</si>
  <si>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</si>
  <si>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</si>
  <si>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</si>
  <si>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</si>
  <si>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</si>
  <si>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</si>
  <si>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</si>
  <si>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</si>
  <si>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</si>
  <si>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</si>
  <si>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</si>
  <si>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</si>
  <si>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</si>
  <si>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</si>
  <si>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</si>
  <si>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</si>
  <si>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</si>
  <si>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</si>
  <si>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</si>
  <si>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</si>
  <si>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</si>
  <si>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</si>
  <si>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</si>
  <si>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</si>
  <si>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</si>
  <si>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</si>
  <si>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</si>
  <si>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</si>
  <si>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</si>
  <si>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</si>
  <si>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</si>
  <si>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</si>
  <si>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</si>
  <si>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</si>
  <si>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</si>
  <si>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</si>
  <si>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</si>
  <si>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</si>
  <si>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</si>
  <si>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</si>
  <si>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</si>
  <si>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</si>
  <si>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</si>
  <si>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</si>
  <si>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</si>
  <si>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</si>
  <si>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</si>
  <si>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</si>
  <si>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</si>
  <si>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</si>
  <si>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</si>
  <si>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</si>
  <si>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</si>
  <si>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</si>
  <si>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</si>
  <si>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</si>
  <si>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</si>
  <si>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</si>
  <si>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</si>
  <si>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</si>
  <si>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</si>
  <si>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</si>
  <si>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</si>
  <si>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</si>
  <si>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</si>
  <si>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</si>
  <si>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</si>
  <si>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</si>
  <si>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</si>
  <si>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</si>
  <si>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</si>
  <si>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</si>
  <si>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</si>
  <si>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</si>
  <si>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</si>
  <si>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</si>
  <si>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</si>
  <si>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</si>
  <si>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</si>
  <si>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</si>
  <si>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</si>
  <si>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</si>
  <si>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</si>
  <si>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</si>
  <si>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</si>
  <si>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</si>
  <si>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</si>
  <si>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</si>
  <si>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</si>
  <si>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</si>
  <si>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</si>
  <si>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</si>
  <si>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</si>
  <si>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</si>
  <si>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</si>
  <si>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</si>
  <si>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</si>
  <si>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</si>
  <si>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</si>
  <si>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</si>
  <si>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</si>
  <si>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</si>
  <si>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</si>
  <si>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</si>
  <si>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</si>
  <si>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</si>
  <si>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</si>
  <si>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</si>
  <si>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</si>
  <si>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</si>
  <si>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</si>
  <si>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</si>
  <si>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</si>
  <si>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</si>
  <si>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</si>
  <si>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</si>
  <si>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</si>
  <si>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</si>
  <si>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</si>
  <si>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</si>
  <si>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</si>
  <si>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</si>
  <si>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</si>
  <si>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</si>
  <si>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</si>
  <si>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</si>
  <si>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</si>
  <si>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</si>
  <si>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</si>
  <si>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</si>
  <si>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</si>
  <si>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</si>
  <si>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</si>
  <si>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</si>
  <si>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</si>
  <si>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</si>
  <si>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</si>
  <si>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</si>
  <si>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</si>
  <si>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</si>
  <si>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</si>
  <si>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</si>
  <si>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</si>
  <si>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</si>
  <si>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</si>
  <si>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</si>
  <si>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</si>
  <si>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</si>
  <si>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</si>
  <si>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</si>
  <si>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</si>
  <si>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</si>
  <si>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</si>
  <si>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</si>
  <si>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</si>
  <si>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</si>
  <si>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</si>
  <si>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</si>
  <si>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</si>
  <si>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</si>
  <si>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</si>
  <si>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</si>
  <si>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</si>
  <si>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</si>
  <si>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</si>
  <si>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</si>
  <si>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</si>
  <si>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</si>
  <si>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</si>
  <si>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</si>
  <si>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</si>
  <si>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</si>
  <si>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</si>
  <si>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</si>
  <si>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</si>
  <si>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</si>
  <si>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</si>
  <si>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</si>
  <si>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</si>
  <si>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</si>
  <si>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</si>
  <si>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</si>
  <si>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</si>
  <si>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</si>
  <si>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</si>
  <si>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</si>
  <si>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</si>
  <si>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</si>
  <si>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</si>
  <si>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</si>
  <si>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</si>
  <si>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</si>
  <si>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</si>
  <si>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</si>
  <si>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</si>
  <si>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</si>
  <si>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</si>
  <si>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</si>
  <si>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</si>
  <si>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</si>
  <si>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</si>
  <si>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</si>
  <si>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</si>
  <si>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</si>
  <si>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</si>
  <si>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</si>
  <si>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</si>
  <si>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</si>
  <si>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</si>
  <si>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</si>
  <si>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</si>
  <si>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</si>
  <si>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</si>
  <si>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</si>
  <si>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</si>
  <si>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</si>
  <si>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</si>
  <si>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</si>
  <si>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</si>
  <si>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</si>
  <si>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</si>
  <si>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</si>
  <si>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</si>
  <si>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</si>
  <si>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</si>
  <si>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</si>
  <si>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</si>
  <si>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</si>
  <si>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</si>
  <si>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</si>
  <si>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</si>
  <si>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</si>
  <si>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</si>
  <si>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</si>
  <si>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</si>
  <si>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</si>
  <si>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</si>
  <si>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</si>
  <si>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</si>
  <si>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</si>
  <si>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</si>
  <si>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</si>
  <si>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</si>
  <si>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</si>
  <si>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</si>
  <si>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</si>
  <si>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</si>
  <si>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</si>
  <si>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</si>
  <si>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</si>
  <si>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</si>
  <si>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</si>
  <si>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</si>
  <si>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</si>
  <si>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</si>
  <si>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</si>
  <si>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</si>
  <si>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</si>
  <si>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</si>
  <si>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</si>
  <si>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</si>
  <si>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</si>
  <si>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</si>
  <si>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</si>
  <si>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</si>
  <si>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</si>
  <si>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</si>
  <si>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</si>
  <si>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</si>
  <si>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</si>
  <si>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</si>
  <si>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</si>
  <si>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</si>
  <si>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</si>
  <si>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</si>
  <si>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</si>
  <si>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</si>
  <si>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</si>
  <si>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</si>
  <si>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</si>
  <si>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</si>
  <si>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</si>
  <si>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</si>
  <si>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</si>
  <si>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</si>
  <si>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</si>
  <si>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</si>
  <si>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</si>
  <si>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</si>
  <si>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</si>
  <si>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</si>
  <si>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</si>
  <si>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</si>
  <si>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</si>
  <si>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</si>
  <si>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</si>
  <si>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</si>
  <si>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</si>
  <si>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</si>
  <si>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</si>
  <si>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</si>
  <si>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</si>
  <si>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</si>
  <si>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</si>
  <si>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</si>
  <si>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</si>
  <si>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</si>
  <si>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</si>
  <si>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</si>
  <si>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</si>
  <si>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</si>
  <si>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</si>
  <si>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</si>
  <si>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</si>
  <si>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</si>
  <si>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</si>
  <si>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</si>
  <si>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</si>
  <si>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</si>
  <si>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</si>
  <si>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</si>
  <si>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</si>
  <si>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</si>
  <si>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</si>
  <si>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</si>
  <si>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</si>
  <si>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</si>
  <si>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</si>
  <si>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</si>
  <si>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</si>
  <si>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</si>
  <si>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</si>
  <si>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</si>
  <si>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</si>
  <si>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</si>
  <si>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</si>
  <si>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</si>
  <si>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</si>
  <si>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</si>
  <si>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</si>
  <si>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</si>
  <si>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</si>
  <si>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</si>
  <si>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</si>
  <si>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</si>
  <si>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</si>
  <si>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</si>
  <si>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</si>
  <si>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</si>
  <si>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</si>
  <si>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</si>
  <si>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</si>
  <si>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</si>
  <si>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</si>
  <si>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</si>
  <si>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</si>
  <si>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</si>
  <si>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</si>
  <si>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</si>
  <si>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</si>
  <si>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</si>
  <si>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</si>
  <si>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</si>
  <si>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</si>
  <si>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</si>
  <si>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</si>
  <si>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</si>
  <si>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</si>
  <si>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</si>
  <si>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</si>
  <si>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</si>
  <si>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</si>
  <si>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</si>
  <si>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</si>
  <si>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</si>
  <si>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</si>
  <si>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</si>
  <si>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</si>
  <si>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</si>
  <si>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</si>
  <si>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</si>
  <si>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</si>
  <si>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</si>
  <si>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</si>
  <si>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</si>
  <si>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</si>
  <si>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</si>
  <si>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</si>
  <si>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</si>
  <si>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</si>
  <si>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</si>
  <si>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</si>
  <si>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</si>
  <si>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</si>
  <si>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</si>
  <si>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</si>
  <si>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</si>
  <si>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</si>
  <si>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</si>
  <si>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</si>
  <si>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</si>
  <si>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</si>
  <si>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</si>
  <si>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</si>
  <si>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</si>
  <si>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</si>
  <si>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</si>
  <si>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</si>
  <si>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</si>
  <si>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</si>
  <si>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</si>
  <si>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</si>
  <si>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</si>
  <si>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</si>
  <si>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</si>
  <si>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</si>
  <si>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</si>
  <si>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</si>
  <si>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</si>
  <si>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</si>
  <si>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</si>
  <si>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</si>
  <si>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</si>
  <si>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</si>
  <si>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</si>
  <si>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</si>
  <si>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</si>
  <si>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</si>
  <si>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</si>
  <si>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</si>
  <si>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</si>
  <si>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</si>
  <si>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</si>
  <si>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</si>
  <si>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</si>
  <si>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</si>
  <si>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</si>
  <si>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</si>
  <si>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</si>
  <si>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</si>
  <si>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</si>
  <si>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</si>
  <si>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</si>
  <si>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</si>
  <si>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</si>
  <si>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</si>
  <si>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</si>
  <si>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</si>
  <si>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</si>
  <si>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</si>
  <si>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</si>
  <si>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</si>
  <si>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</si>
  <si>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</si>
  <si>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</si>
  <si>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</si>
  <si>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</si>
  <si>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</si>
  <si>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</si>
  <si>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</si>
  <si>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</si>
  <si>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</si>
  <si>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</si>
  <si>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</si>
  <si>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</si>
  <si>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</si>
  <si>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</si>
  <si>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</si>
  <si>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</si>
  <si>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</si>
  <si>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</si>
  <si>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</si>
  <si>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</si>
  <si>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</si>
  <si>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</si>
  <si>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</si>
  <si>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</si>
  <si>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</si>
  <si>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</si>
  <si>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</si>
  <si>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</si>
  <si>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</si>
  <si>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</si>
  <si>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</si>
  <si>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</si>
  <si>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</si>
  <si>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</si>
  <si>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</si>
  <si>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</si>
  <si>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</si>
  <si>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</si>
  <si>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</si>
  <si>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</si>
  <si>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</si>
  <si>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</si>
  <si>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</si>
  <si>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</si>
  <si>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</si>
  <si>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</si>
  <si>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</si>
  <si>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</si>
  <si>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</si>
  <si>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</si>
  <si>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</si>
  <si>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</si>
  <si>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</si>
  <si>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</si>
  <si>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</si>
  <si>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</si>
  <si>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</si>
  <si>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</si>
  <si>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</si>
  <si>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</si>
  <si>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</si>
  <si>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</si>
  <si>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</si>
  <si>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</si>
  <si>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</si>
  <si>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</si>
  <si>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</si>
  <si>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</si>
  <si>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</si>
  <si>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</si>
  <si>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</si>
  <si>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</si>
  <si>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</si>
  <si>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</si>
  <si>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</si>
  <si>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</si>
  <si>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</si>
  <si>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</si>
  <si>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</si>
  <si>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</si>
  <si>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</si>
  <si>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</si>
  <si>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</si>
  <si>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</si>
  <si>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</si>
  <si>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</si>
  <si>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</si>
  <si>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</si>
  <si>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</si>
  <si>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</si>
  <si>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</si>
  <si>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</si>
  <si>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</si>
  <si>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</si>
  <si>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</si>
  <si>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</si>
  <si>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</si>
  <si>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</si>
  <si>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</si>
  <si>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</si>
  <si>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</si>
  <si>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</si>
  <si>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</si>
  <si>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</si>
  <si>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</si>
  <si>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</si>
  <si>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</si>
  <si>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</si>
  <si>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</si>
  <si>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</si>
  <si>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</si>
  <si>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</si>
  <si>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</si>
  <si>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</si>
  <si>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</si>
  <si>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</si>
  <si>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</si>
  <si>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</si>
  <si>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</si>
  <si>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</si>
  <si>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</si>
  <si>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</si>
  <si>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</si>
  <si>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</si>
  <si>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</si>
  <si>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</si>
  <si>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</si>
  <si>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</si>
  <si>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</si>
  <si>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</si>
  <si>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</si>
  <si>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</si>
  <si>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</si>
  <si>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</si>
  <si>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</si>
  <si>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</si>
  <si>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</si>
  <si>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</si>
  <si>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</si>
  <si>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</si>
  <si>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</si>
  <si>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</si>
  <si>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</si>
  <si>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</si>
  <si>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</si>
  <si>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</si>
  <si>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</si>
  <si>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</si>
  <si>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</si>
  <si>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</si>
  <si>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</si>
  <si>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</si>
  <si>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</si>
  <si>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</si>
  <si>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</si>
  <si>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</si>
  <si>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</si>
  <si>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</si>
  <si>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</si>
  <si>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</si>
  <si>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</si>
  <si>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</si>
  <si>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</si>
  <si>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</si>
  <si>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</si>
  <si>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</si>
  <si>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</si>
  <si>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</si>
  <si>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</si>
  <si>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</si>
  <si>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</si>
  <si>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</si>
  <si>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</si>
  <si>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</si>
  <si>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</si>
  <si>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</si>
  <si>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</si>
  <si>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</si>
  <si>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</si>
  <si>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</si>
  <si>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</si>
  <si>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</si>
  <si>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</si>
  <si>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</si>
  <si>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</si>
  <si>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</si>
  <si>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</si>
  <si>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</si>
  <si>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</si>
  <si>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</si>
  <si>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</si>
  <si>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</si>
  <si>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</si>
  <si>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</si>
  <si>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</si>
  <si>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</si>
  <si>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</si>
  <si>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</si>
  <si>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</si>
  <si>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</si>
  <si>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</si>
  <si>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</si>
  <si>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</si>
  <si>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</si>
  <si>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</si>
  <si>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</si>
  <si>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</si>
  <si>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</si>
  <si>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</si>
  <si>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</si>
  <si>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</si>
  <si>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</si>
  <si>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</si>
  <si>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</si>
  <si>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</si>
  <si>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</si>
  <si>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</si>
  <si>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</si>
  <si>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</si>
  <si>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</si>
  <si>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</si>
  <si>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</si>
  <si>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</si>
  <si>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</si>
  <si>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</si>
  <si>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</si>
  <si>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</si>
  <si>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</si>
  <si>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</si>
  <si>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</si>
  <si>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</si>
  <si>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</si>
  <si>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</si>
  <si>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</si>
  <si>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</si>
  <si>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</si>
  <si>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</si>
  <si>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</si>
  <si>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</si>
  <si>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</si>
  <si>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</si>
  <si>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</si>
  <si>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</si>
  <si>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</si>
  <si>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</si>
  <si>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</si>
  <si>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</si>
  <si>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</si>
  <si>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</si>
  <si>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</si>
  <si>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</si>
  <si>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</si>
  <si>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</si>
  <si>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</si>
  <si>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</si>
  <si>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</si>
  <si>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</si>
  <si>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</si>
  <si>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</si>
  <si>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</si>
  <si>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</si>
  <si>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</si>
  <si>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</si>
  <si>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</si>
  <si>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</si>
  <si>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</si>
  <si>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</si>
  <si>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</si>
  <si>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</si>
  <si>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</si>
  <si>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</si>
  <si>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</si>
  <si>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</si>
  <si>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</si>
  <si>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</si>
  <si>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</si>
  <si>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</si>
  <si>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</si>
  <si>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</si>
  <si>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</si>
  <si>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</si>
  <si>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</si>
  <si>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</si>
  <si>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</si>
  <si>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</si>
  <si>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</si>
  <si>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</si>
  <si>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</si>
  <si>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</si>
  <si>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</si>
  <si>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</si>
  <si>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</si>
  <si>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</si>
  <si>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</si>
  <si>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</si>
  <si>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</si>
  <si>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</si>
  <si>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</si>
  <si>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</si>
  <si>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</si>
  <si>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</si>
  <si>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</si>
  <si>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</si>
  <si>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</si>
  <si>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</si>
  <si>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</si>
  <si>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</si>
  <si>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</si>
  <si>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</si>
  <si>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</si>
  <si>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</si>
  <si>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</si>
  <si>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</si>
  <si>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</si>
  <si>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</si>
  <si>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</si>
  <si>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</si>
  <si>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</si>
  <si>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</si>
  <si>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</si>
  <si>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</si>
  <si>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</si>
  <si>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</si>
  <si>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</si>
  <si>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</si>
  <si>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</si>
  <si>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</si>
  <si>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</si>
  <si>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</si>
  <si>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</si>
  <si>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</si>
  <si>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</si>
  <si>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</si>
  <si>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</si>
  <si>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</si>
  <si>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</si>
  <si>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</si>
  <si>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</si>
  <si>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</si>
  <si>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</si>
  <si>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</si>
  <si>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</si>
  <si>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</si>
  <si>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</si>
  <si>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</si>
  <si>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</si>
  <si>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</si>
  <si>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</si>
  <si>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</si>
  <si>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</si>
  <si>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</si>
  <si>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</si>
  <si>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</si>
  <si>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</si>
  <si>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</si>
  <si>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</si>
  <si>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</si>
  <si>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</si>
  <si>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</si>
  <si>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</si>
  <si>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</si>
  <si>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</si>
  <si>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</si>
  <si>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</si>
  <si>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</si>
  <si>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</si>
  <si>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</si>
  <si>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</si>
  <si>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</si>
  <si>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</si>
  <si>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</si>
  <si>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</si>
  <si>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</si>
  <si>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</si>
  <si>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</si>
  <si>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</si>
  <si>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</si>
  <si>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</si>
  <si>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</si>
  <si>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</si>
  <si>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</si>
  <si>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</si>
  <si>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</si>
  <si>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</si>
  <si>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</si>
  <si>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</si>
  <si>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</si>
  <si>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</si>
  <si>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</si>
  <si>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</si>
  <si>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</si>
  <si>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</si>
  <si>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</si>
  <si>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</si>
  <si>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</si>
  <si>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</si>
  <si>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</si>
  <si>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</si>
  <si>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</si>
  <si>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</si>
  <si>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</si>
  <si>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</si>
  <si>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</si>
  <si>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</si>
  <si>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</si>
  <si>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</si>
  <si>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</si>
  <si>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</si>
  <si>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</si>
  <si>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</si>
  <si>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</si>
  <si>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</si>
  <si>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</si>
  <si>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</si>
  <si>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</si>
  <si>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</si>
  <si>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</si>
  <si>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</si>
  <si>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</si>
  <si>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</si>
  <si>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</si>
  <si>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</si>
  <si>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</si>
  <si>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</si>
  <si>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</si>
  <si>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</si>
  <si>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</si>
  <si>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</si>
  <si>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</si>
  <si>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</si>
  <si>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</si>
  <si>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</si>
  <si>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</si>
  <si>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</si>
  <si>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</si>
  <si>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</si>
  <si>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</si>
  <si>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</si>
  <si>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</si>
  <si>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</si>
  <si>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</si>
  <si>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</si>
  <si>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</si>
  <si>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</si>
  <si>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</si>
  <si>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</si>
  <si>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</si>
  <si>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</si>
  <si>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</si>
  <si>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</si>
  <si>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</si>
  <si>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</si>
  <si>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</si>
  <si>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</si>
  <si>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</si>
  <si>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</si>
  <si>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</si>
  <si>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</si>
  <si>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</si>
  <si>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</si>
  <si>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</si>
  <si>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</si>
  <si>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</si>
  <si>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</si>
  <si>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</si>
  <si>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</si>
  <si>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</si>
  <si>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</si>
  <si>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</si>
  <si>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</si>
  <si>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</si>
  <si>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</si>
  <si>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</si>
  <si>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</si>
  <si>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</si>
  <si>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</si>
  <si>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</si>
  <si>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</si>
  <si>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</si>
  <si>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</si>
  <si>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</si>
  <si>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</si>
  <si>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</si>
  <si>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</si>
  <si>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</si>
  <si>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</si>
  <si>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</si>
  <si>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</si>
  <si>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</si>
  <si>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</si>
  <si>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</si>
  <si>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</si>
  <si>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</si>
  <si>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</si>
  <si>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</si>
  <si>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</si>
  <si>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</si>
  <si>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</si>
  <si>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</si>
  <si>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</si>
  <si>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</si>
  <si>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</si>
  <si>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</si>
  <si>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</si>
  <si>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</si>
  <si>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</si>
  <si>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</si>
  <si>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</si>
  <si>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</si>
  <si>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</si>
  <si>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</si>
  <si>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</si>
  <si>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</si>
  <si>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</si>
  <si>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</si>
  <si>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</si>
  <si>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</si>
  <si>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</si>
  <si>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</si>
  <si>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</si>
  <si>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</si>
  <si>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</si>
  <si>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</si>
  <si>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</si>
  <si>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</si>
  <si>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</si>
  <si>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</si>
  <si>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</si>
  <si>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</si>
  <si>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</si>
  <si>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</si>
  <si>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</si>
  <si>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</si>
  <si>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</si>
  <si>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</si>
  <si>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</si>
  <si>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</si>
  <si>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</si>
  <si>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</si>
  <si>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</si>
  <si>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</si>
  <si>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</si>
  <si>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</si>
  <si>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</si>
  <si>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</si>
  <si>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</si>
  <si>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</si>
  <si>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</si>
  <si>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</si>
  <si>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</si>
  <si>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</si>
  <si>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</si>
  <si>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</si>
  <si>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</si>
  <si>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</si>
  <si>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</si>
  <si>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</si>
  <si>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</si>
  <si>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</si>
  <si>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</si>
  <si>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</si>
  <si>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</si>
  <si>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</si>
  <si>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</si>
  <si>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</si>
  <si>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</si>
  <si>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</si>
  <si>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</si>
  <si>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</si>
  <si>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</si>
  <si>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</si>
  <si>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</si>
  <si>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</si>
  <si>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</si>
  <si>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</si>
  <si>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</si>
  <si>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</si>
  <si>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</si>
  <si>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</si>
  <si>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</si>
  <si>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</si>
  <si>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</si>
  <si>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</si>
  <si>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</si>
  <si>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</si>
  <si>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</si>
  <si>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</si>
  <si>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</si>
  <si>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</si>
  <si>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</si>
  <si>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</si>
  <si>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</si>
  <si>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</si>
  <si>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</si>
  <si>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</si>
  <si>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</si>
  <si>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</si>
  <si>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</si>
  <si>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</si>
  <si>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</si>
  <si>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</si>
  <si>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</si>
  <si>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</si>
  <si>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</si>
  <si>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</si>
  <si>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</si>
  <si>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</si>
  <si>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</si>
  <si>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</si>
  <si>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</si>
  <si>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</si>
  <si>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</si>
  <si>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</si>
  <si>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</si>
  <si>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</si>
  <si>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</si>
  <si>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</si>
  <si>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</si>
  <si>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</si>
  <si>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</si>
  <si>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</si>
  <si>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</si>
  <si>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</si>
  <si>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</si>
  <si>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</si>
  <si>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</si>
  <si>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</si>
  <si>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</si>
  <si>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</si>
  <si>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</si>
  <si>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</si>
  <si>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</si>
  <si>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</si>
  <si>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</si>
  <si>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</si>
  <si>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</si>
  <si>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</si>
  <si>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</si>
  <si>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</si>
  <si>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</si>
  <si>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</si>
  <si>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</si>
  <si>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</si>
  <si>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</si>
  <si>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</si>
  <si>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</si>
  <si>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</si>
  <si>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</si>
  <si>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</si>
  <si>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</si>
  <si>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</si>
  <si>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</si>
  <si>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</si>
  <si>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</si>
  <si>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</si>
  <si>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</si>
  <si>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</si>
  <si>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</si>
  <si>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</si>
  <si>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</si>
  <si>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</si>
  <si>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</si>
  <si>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</si>
  <si>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</si>
  <si>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</si>
  <si>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</si>
  <si>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</si>
  <si>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</si>
  <si>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</si>
  <si>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</si>
  <si>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</si>
  <si>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</si>
  <si>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</si>
  <si>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</si>
  <si>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</si>
  <si>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</si>
  <si>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</si>
  <si>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</si>
  <si>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</si>
  <si>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</si>
  <si>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</si>
  <si>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</si>
  <si>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</si>
  <si>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</si>
  <si>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</si>
  <si>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</si>
  <si>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</si>
  <si>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</si>
  <si>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</si>
  <si>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</si>
  <si>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</si>
  <si>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</si>
  <si>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</si>
  <si>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</si>
  <si>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</si>
  <si>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</si>
  <si>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</si>
  <si>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</si>
  <si>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</si>
  <si>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</si>
  <si>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</si>
  <si>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</si>
  <si>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</si>
  <si>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</si>
  <si>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</si>
  <si>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</si>
  <si>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</si>
  <si>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</si>
  <si>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</si>
  <si>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</si>
  <si>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</si>
  <si>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</si>
  <si>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</si>
  <si>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</si>
  <si>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</si>
  <si>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</si>
  <si>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</si>
  <si>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</si>
  <si>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</si>
  <si>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</si>
  <si>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</si>
  <si>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</si>
  <si>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</si>
  <si>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</si>
  <si>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</si>
  <si>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</si>
  <si>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</si>
  <si>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</si>
  <si>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</si>
  <si>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</si>
  <si>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</si>
  <si>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</si>
  <si>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</si>
  <si>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</si>
  <si>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</si>
  <si>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</si>
  <si>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</si>
  <si>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</si>
  <si>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</si>
  <si>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</si>
  <si>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</si>
  <si>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</si>
  <si>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</si>
  <si>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</si>
  <si>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</si>
  <si>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</si>
  <si>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</si>
  <si>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</si>
  <si>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</si>
  <si>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</si>
  <si>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</si>
  <si>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</si>
  <si>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</si>
  <si>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</si>
  <si>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</si>
  <si>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</si>
  <si>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</si>
  <si>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</si>
  <si>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</si>
  <si>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</si>
  <si>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</si>
  <si>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</si>
  <si>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</si>
  <si>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</si>
  <si>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</si>
  <si>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</si>
  <si>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</si>
  <si>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</si>
  <si>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</si>
  <si>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</si>
  <si>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</si>
  <si>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</si>
  <si>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</si>
  <si>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</si>
  <si>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</si>
  <si>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</si>
  <si>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</si>
  <si>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</si>
  <si>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</si>
  <si>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</si>
  <si>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</si>
  <si>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</si>
  <si>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</si>
  <si>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</si>
  <si>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</si>
  <si>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</si>
  <si>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</si>
  <si>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</si>
  <si>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</si>
  <si>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</si>
  <si>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</si>
  <si>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</si>
  <si>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</si>
  <si>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</si>
  <si>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</si>
  <si>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</si>
  <si>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</si>
  <si>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</si>
  <si>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</si>
  <si>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</si>
  <si>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</si>
  <si>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</si>
  <si>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</si>
  <si>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</si>
  <si>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</si>
  <si>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</si>
  <si>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</si>
  <si>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</si>
  <si>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</si>
  <si>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</si>
  <si>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</si>
  <si>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</si>
  <si>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</si>
  <si>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</si>
  <si>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</si>
  <si>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</si>
  <si>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</si>
  <si>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</si>
  <si>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</si>
  <si>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</si>
  <si>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</si>
  <si>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</si>
  <si>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</si>
  <si>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</si>
  <si>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</si>
  <si>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</si>
  <si>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</si>
  <si>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</si>
  <si>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</si>
  <si>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</si>
  <si>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</si>
  <si>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</si>
  <si>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</si>
  <si>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</si>
  <si>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</si>
  <si>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</si>
  <si>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</si>
  <si>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</si>
  <si>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</si>
  <si>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</si>
  <si>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</si>
  <si>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</si>
  <si>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</si>
  <si>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</si>
  <si>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</si>
  <si>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</si>
  <si>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</si>
  <si>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</si>
  <si>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</si>
  <si>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</si>
  <si>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</si>
  <si>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</si>
  <si>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</si>
  <si>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</si>
  <si>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</si>
  <si>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</si>
  <si>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</si>
  <si>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</si>
  <si>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</si>
  <si>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</si>
  <si>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</si>
  <si>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</si>
  <si>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</si>
  <si>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</si>
  <si>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</si>
  <si>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</si>
  <si>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</si>
  <si>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</si>
  <si>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</si>
  <si>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</si>
  <si>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</si>
  <si>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</si>
  <si>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</si>
  <si>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</si>
  <si>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</si>
  <si>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</si>
  <si>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</si>
  <si>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</si>
  <si>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</si>
  <si>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</si>
  <si>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</si>
  <si>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</si>
  <si>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</si>
  <si>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</si>
  <si>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</si>
  <si>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</si>
  <si>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</si>
  <si>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</si>
  <si>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</si>
  <si>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</si>
  <si>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</si>
  <si>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</si>
  <si>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</si>
  <si>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</si>
  <si>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</si>
  <si>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</si>
  <si>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</si>
  <si>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</si>
  <si>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</si>
  <si>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</si>
  <si>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</si>
  <si>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</si>
  <si>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</si>
  <si>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</si>
  <si>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</si>
  <si>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</si>
  <si>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</si>
  <si>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</si>
  <si>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</si>
  <si>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</si>
  <si>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</si>
  <si>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</si>
  <si>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</si>
  <si>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</si>
  <si>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</si>
  <si>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</si>
  <si>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</si>
  <si>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</si>
  <si>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</si>
  <si>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</si>
  <si>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</si>
  <si>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</si>
  <si>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</si>
  <si>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</si>
  <si>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</si>
  <si>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</si>
  <si>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</si>
  <si>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</si>
  <si>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</si>
  <si>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</si>
  <si>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</si>
  <si>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</si>
  <si>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</si>
  <si>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</si>
  <si>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</si>
  <si>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</si>
  <si>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</si>
  <si>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</si>
  <si>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</si>
  <si>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</si>
  <si>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</si>
  <si>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</si>
  <si>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</si>
  <si>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</si>
  <si>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</si>
  <si>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</si>
  <si>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</si>
  <si>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</si>
  <si>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</si>
  <si>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</si>
  <si>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</si>
  <si>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</si>
  <si>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</si>
  <si>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</si>
  <si>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</si>
  <si>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</si>
  <si>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</si>
  <si>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</si>
  <si>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</si>
  <si>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</si>
  <si>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</si>
  <si>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</si>
  <si>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</si>
  <si>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</si>
  <si>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</si>
  <si>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</si>
  <si>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</si>
  <si>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</si>
  <si>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</si>
  <si>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</si>
  <si>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</si>
  <si>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</si>
  <si>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</si>
  <si>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</si>
  <si>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</si>
  <si>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</si>
  <si>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</si>
  <si>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</si>
  <si>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</si>
  <si>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</si>
  <si>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</si>
  <si>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</si>
  <si>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</si>
  <si>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</si>
  <si>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</si>
  <si>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</si>
  <si>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</si>
  <si>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</si>
  <si>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</si>
  <si>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</si>
  <si>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</si>
  <si>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</si>
  <si>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</si>
  <si>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</si>
  <si>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</si>
  <si>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</si>
  <si>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</si>
  <si>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</si>
  <si>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</si>
  <si>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</si>
  <si>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</si>
  <si>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</si>
  <si>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</si>
  <si>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</si>
  <si>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</si>
  <si>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</si>
  <si>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</si>
  <si>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</si>
  <si>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</si>
  <si>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</si>
  <si>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</si>
  <si>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</si>
  <si>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</si>
  <si>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</si>
  <si>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</si>
  <si>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</si>
  <si>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</si>
  <si>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</si>
  <si>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</si>
  <si>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</si>
  <si>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</si>
  <si>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</si>
  <si>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</si>
  <si>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</si>
  <si>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</si>
  <si>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</si>
  <si>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</si>
  <si>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</si>
  <si>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</si>
  <si>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</si>
  <si>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</si>
  <si>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</si>
  <si>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</si>
  <si>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</si>
  <si>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</si>
  <si>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</si>
  <si>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</si>
  <si>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</si>
  <si>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</si>
  <si>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</si>
  <si>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</si>
  <si>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</si>
  <si>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</si>
  <si>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</si>
  <si>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</si>
  <si>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</si>
  <si>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</si>
  <si>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</si>
  <si>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</si>
  <si>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</si>
  <si>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</si>
  <si>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</si>
  <si>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</si>
  <si>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</si>
  <si>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</si>
  <si>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</si>
  <si>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</si>
  <si>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</si>
  <si>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</si>
  <si>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</si>
  <si>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</si>
  <si>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</si>
  <si>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</si>
  <si>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</si>
  <si>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</si>
  <si>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</si>
  <si>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</si>
  <si>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</si>
  <si>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</si>
  <si>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</si>
  <si>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</si>
  <si>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</si>
  <si>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</si>
  <si>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</si>
  <si>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</si>
  <si>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</si>
  <si>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</si>
  <si>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</si>
  <si>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</si>
  <si>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</si>
  <si>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</si>
  <si>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</si>
  <si>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</si>
  <si>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</si>
  <si>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</si>
  <si>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</si>
  <si>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</si>
  <si>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</si>
  <si>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</si>
  <si>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</si>
  <si>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</si>
  <si>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</si>
  <si>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</si>
  <si>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</si>
  <si>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</si>
  <si>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</si>
  <si>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</si>
  <si>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</si>
  <si>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</si>
  <si>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</si>
  <si>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</si>
  <si>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</si>
  <si>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</si>
  <si>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</si>
  <si>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</si>
  <si>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</si>
  <si>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</si>
  <si>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</si>
  <si>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</si>
  <si>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</si>
  <si>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</si>
  <si>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</si>
  <si>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</si>
  <si>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</si>
  <si>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</si>
  <si>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</si>
  <si>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</si>
  <si>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</si>
  <si>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</si>
  <si>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</si>
  <si>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</si>
  <si>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</si>
  <si>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</si>
  <si>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</si>
  <si>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</si>
  <si>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</si>
  <si>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</si>
  <si>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</si>
  <si>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</si>
  <si>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</si>
  <si>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</si>
  <si>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</si>
  <si>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</si>
  <si>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</si>
  <si>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</si>
  <si>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</si>
  <si>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</si>
  <si>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</si>
  <si>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</si>
  <si>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</si>
  <si>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</si>
  <si>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</si>
  <si>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</si>
  <si>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</si>
  <si>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</si>
  <si>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</si>
  <si>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</si>
  <si>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</si>
  <si>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</si>
  <si>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</si>
  <si>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</si>
  <si>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</si>
  <si>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</si>
  <si>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</si>
  <si>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</si>
  <si>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</si>
  <si>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</si>
  <si>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</si>
  <si>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</si>
  <si>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</si>
  <si>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</si>
  <si>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</si>
  <si>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</si>
  <si>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</si>
  <si>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</si>
  <si>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</si>
  <si>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</si>
  <si>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</si>
  <si>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</si>
  <si>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</si>
  <si>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</si>
  <si>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</si>
  <si>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</si>
  <si>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</si>
  <si>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</si>
  <si>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</si>
  <si>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</si>
  <si>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</si>
  <si>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</si>
  <si>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</si>
  <si>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</si>
  <si>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</si>
  <si>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</si>
  <si>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</si>
  <si>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</si>
  <si>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</si>
  <si>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</si>
  <si>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</si>
  <si>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</si>
  <si>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</si>
  <si>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</si>
  <si>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</si>
  <si>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</si>
  <si>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</si>
  <si>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</si>
  <si>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</si>
  <si>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</si>
  <si>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</si>
  <si>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</si>
  <si>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</si>
  <si>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</si>
  <si>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</si>
  <si>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</si>
  <si>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</si>
  <si>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</si>
  <si>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</si>
  <si>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</si>
  <si>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</si>
  <si>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</si>
  <si>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</si>
  <si>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</si>
  <si>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</si>
  <si>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</si>
  <si>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</si>
  <si>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</si>
  <si>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</si>
  <si>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</si>
  <si>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</si>
  <si>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</si>
  <si>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</si>
  <si>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</si>
  <si>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</si>
  <si>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</si>
  <si>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</si>
  <si>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</si>
  <si>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</si>
  <si>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</si>
  <si>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</si>
  <si>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</si>
  <si>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</si>
  <si>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</si>
  <si>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</si>
  <si>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</si>
  <si>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</si>
  <si>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</si>
  <si>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</si>
  <si>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</si>
  <si>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</si>
  <si>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</si>
  <si>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</si>
  <si>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</si>
  <si>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</si>
  <si>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</si>
  <si>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</si>
  <si>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</si>
  <si>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</si>
  <si>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</si>
  <si>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</si>
  <si>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</si>
  <si>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</si>
  <si>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</si>
  <si>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</si>
  <si>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</si>
  <si>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</si>
  <si>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</si>
  <si>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</si>
  <si>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</si>
  <si>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</si>
  <si>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</si>
  <si>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</si>
  <si>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</si>
  <si>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</si>
  <si>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</si>
  <si>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</si>
  <si>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</si>
  <si>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</si>
  <si>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</si>
  <si>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</si>
  <si>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</si>
  <si>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</si>
  <si>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</si>
  <si>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</si>
  <si>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</si>
  <si>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</si>
  <si>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</si>
  <si>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</si>
  <si>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</si>
  <si>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</si>
  <si>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</si>
  <si>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</si>
  <si>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</si>
  <si>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</si>
  <si>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</si>
  <si>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</si>
  <si>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</si>
  <si>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</si>
  <si>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</si>
  <si>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</si>
  <si>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</si>
  <si>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</si>
  <si>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</si>
  <si>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</si>
  <si>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</si>
  <si>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</si>
  <si>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</si>
  <si>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</si>
  <si>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</si>
  <si>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</si>
  <si>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</si>
  <si>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</si>
  <si>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</si>
  <si>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</si>
  <si>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</si>
  <si>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</si>
  <si>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</si>
  <si>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</si>
  <si>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</si>
  <si>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</si>
  <si>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</si>
  <si>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</si>
  <si>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</si>
  <si>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</si>
  <si>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</si>
  <si>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</si>
  <si>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</si>
  <si>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</si>
  <si>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</si>
  <si>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</si>
  <si>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</si>
  <si>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</si>
  <si>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</si>
  <si>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</si>
  <si>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</si>
  <si>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</si>
  <si>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</si>
  <si>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</si>
  <si>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</si>
  <si>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</si>
  <si>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</si>
  <si>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</si>
  <si>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</si>
  <si>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</si>
  <si>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</si>
  <si>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</si>
  <si>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</si>
  <si>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</si>
  <si>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</si>
  <si>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</si>
  <si>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</si>
  <si>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</si>
  <si>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</si>
  <si>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</si>
  <si>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</si>
  <si>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</si>
  <si>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</si>
  <si>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</si>
  <si>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</si>
  <si>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</si>
  <si>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</si>
  <si>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</si>
  <si>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</si>
  <si>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</si>
  <si>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</si>
  <si>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</si>
  <si>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</si>
  <si>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</si>
  <si>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</si>
  <si>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</si>
  <si>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</si>
  <si>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</si>
  <si>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</si>
  <si>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</si>
  <si>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</si>
  <si>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</si>
  <si>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</si>
  <si>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</si>
  <si>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</si>
  <si>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</si>
  <si>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</si>
  <si>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</si>
  <si>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</si>
  <si>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</si>
  <si>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</si>
  <si>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</si>
  <si>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</si>
  <si>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</si>
  <si>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</si>
  <si>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</si>
  <si>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</si>
  <si>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</si>
  <si>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</si>
  <si>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</si>
  <si>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</si>
  <si>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</si>
  <si>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</si>
  <si>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</si>
  <si>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</si>
  <si>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</si>
  <si>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</si>
  <si>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</si>
  <si>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</si>
  <si>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</si>
  <si>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</si>
  <si>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</si>
  <si>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</si>
  <si>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</si>
  <si>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</si>
  <si>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</si>
  <si>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</si>
  <si>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</si>
  <si>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</si>
  <si>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</si>
  <si>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</si>
  <si>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</si>
  <si>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</si>
  <si>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</si>
  <si>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</si>
  <si>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</si>
  <si>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</si>
  <si>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</si>
  <si>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</si>
  <si>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</si>
  <si>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</si>
  <si>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</si>
  <si>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</si>
  <si>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</si>
  <si>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</si>
  <si>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</si>
  <si>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</si>
  <si>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</si>
  <si>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</si>
  <si>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</si>
  <si>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</si>
  <si>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</si>
  <si>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</si>
  <si>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</si>
  <si>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</si>
  <si>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</si>
  <si>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</si>
  <si>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</si>
  <si>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</si>
  <si>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</si>
  <si>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</si>
  <si>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</si>
  <si>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</si>
  <si>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</si>
  <si>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</si>
  <si>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</si>
  <si>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</si>
  <si>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</si>
  <si>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</si>
  <si>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</si>
  <si>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</si>
  <si>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</si>
  <si>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</si>
  <si>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</si>
  <si>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</si>
  <si>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</si>
  <si>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</si>
  <si>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</si>
  <si>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</si>
  <si>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</si>
  <si>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</si>
  <si>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</si>
  <si>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</si>
  <si>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</si>
  <si>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</si>
  <si>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</si>
  <si>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</si>
  <si>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</si>
  <si>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</si>
  <si>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</si>
  <si>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</si>
  <si>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</si>
  <si>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</si>
  <si>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</si>
  <si>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</si>
  <si>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</si>
  <si>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</si>
  <si>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</si>
  <si>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</si>
  <si>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</si>
  <si>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</si>
  <si>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</si>
  <si>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</si>
  <si>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</si>
  <si>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</si>
  <si>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</si>
  <si>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</si>
  <si>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</si>
  <si>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</si>
  <si>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</si>
  <si>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</si>
  <si>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</si>
  <si>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</si>
  <si>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</si>
  <si>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</si>
  <si>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</si>
  <si>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</si>
  <si>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</si>
  <si>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</si>
  <si>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</si>
  <si>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</si>
  <si>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</si>
  <si>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</si>
  <si>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</si>
  <si>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</si>
  <si>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</si>
  <si>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</si>
  <si>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</si>
  <si>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</si>
  <si>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</si>
  <si>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</si>
  <si>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</si>
  <si>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</si>
  <si>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</si>
  <si>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</si>
  <si>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</si>
  <si>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</si>
  <si>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</si>
  <si>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</si>
  <si>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</si>
  <si>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</si>
  <si>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</si>
  <si>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</si>
  <si>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</si>
  <si>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</si>
  <si>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</si>
  <si>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</si>
  <si>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</si>
  <si>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</si>
  <si>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</si>
  <si>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</si>
  <si>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</si>
  <si>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</si>
  <si>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</si>
  <si>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</si>
  <si>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</si>
  <si>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</si>
  <si>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</si>
  <si>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</si>
  <si>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</si>
  <si>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</si>
  <si>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</si>
  <si>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</si>
  <si>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</si>
  <si>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</si>
  <si>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</si>
  <si>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</si>
  <si>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</si>
  <si>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</si>
  <si>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</si>
  <si>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</si>
  <si>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</si>
  <si>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</si>
  <si>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</si>
  <si>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</si>
  <si>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</si>
  <si>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</si>
  <si>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</si>
  <si>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</si>
  <si>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</si>
  <si>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</si>
  <si>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</si>
  <si>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</si>
  <si>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</si>
  <si>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</si>
  <si>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</si>
  <si>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</si>
  <si>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</si>
  <si>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</si>
  <si>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</si>
  <si>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</si>
  <si>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</si>
  <si>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</si>
  <si>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</si>
  <si>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</si>
  <si>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</si>
  <si>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</si>
  <si>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</si>
  <si>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</si>
  <si>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</si>
  <si>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</si>
  <si>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</si>
  <si>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</si>
  <si>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</si>
  <si>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</si>
  <si>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</si>
  <si>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</si>
  <si>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</si>
  <si>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</si>
  <si>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</si>
  <si>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</si>
  <si>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</si>
  <si>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</si>
  <si>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</si>
  <si>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</si>
  <si>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</si>
  <si>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</si>
  <si>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</si>
  <si>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</si>
  <si>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</si>
  <si>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</si>
  <si>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</si>
  <si>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</si>
  <si>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</si>
  <si>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</si>
  <si>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</si>
  <si>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</si>
  <si>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</si>
  <si>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</si>
  <si>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</si>
  <si>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</si>
  <si>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</si>
  <si>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</si>
  <si>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</si>
  <si>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</si>
  <si>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</si>
  <si>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</si>
  <si>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</si>
  <si>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</si>
  <si>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</si>
  <si>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</si>
  <si>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</si>
  <si>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</si>
  <si>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</si>
  <si>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</si>
  <si>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</si>
  <si>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</si>
  <si>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</si>
  <si>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</si>
  <si>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</si>
  <si>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</si>
  <si>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</si>
  <si>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</si>
  <si>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</si>
  <si>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</si>
  <si>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</si>
  <si>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</si>
  <si>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</si>
  <si>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</si>
  <si>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</si>
  <si>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</si>
  <si>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</si>
  <si>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</si>
  <si>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</si>
  <si>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</si>
  <si>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</si>
  <si>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</si>
  <si>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</si>
  <si>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</si>
  <si>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</si>
  <si>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</si>
  <si>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</si>
  <si>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</si>
  <si>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</si>
  <si>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</si>
  <si>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</si>
  <si>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</si>
  <si>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</si>
  <si>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</si>
  <si>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</si>
  <si>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</si>
  <si>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</si>
  <si>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</si>
  <si>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</si>
  <si>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</si>
  <si>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</si>
  <si>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</si>
  <si>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</si>
  <si>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</si>
  <si>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</si>
  <si>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</si>
  <si>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</si>
  <si>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</si>
  <si>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</si>
  <si>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</si>
  <si>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</si>
  <si>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</si>
  <si>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</si>
  <si>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</si>
  <si>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</si>
  <si>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</si>
  <si>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</si>
  <si>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</si>
  <si>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</si>
  <si>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</si>
  <si>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</si>
  <si>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</si>
  <si>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</si>
  <si>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</si>
  <si>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</si>
  <si>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</si>
  <si>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</si>
  <si>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</si>
  <si>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</si>
  <si>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</si>
  <si>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</si>
  <si>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</si>
  <si>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</si>
  <si>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</si>
  <si>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</si>
  <si>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</si>
  <si>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</si>
  <si>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</si>
  <si>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</si>
  <si>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</si>
  <si>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</si>
  <si>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</si>
  <si>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</si>
  <si>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</si>
  <si>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</si>
  <si>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</si>
  <si>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</si>
  <si>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</si>
  <si>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</si>
  <si>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</si>
  <si>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</si>
  <si>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</si>
  <si>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</si>
  <si>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</si>
  <si>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</si>
  <si>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</si>
  <si>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</si>
  <si>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</si>
  <si>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</si>
  <si>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</si>
  <si>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</si>
  <si>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</si>
  <si>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</si>
  <si>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</si>
  <si>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</si>
  <si>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</si>
  <si>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</si>
  <si>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</si>
  <si>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</si>
  <si>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</si>
  <si>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</si>
  <si>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</si>
  <si>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</si>
  <si>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</si>
  <si>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</si>
  <si>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</si>
  <si>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</si>
  <si>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</si>
  <si>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</si>
  <si>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</si>
  <si>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</si>
  <si>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</si>
  <si>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</si>
  <si>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</si>
  <si>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</si>
  <si>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</si>
  <si>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</si>
  <si>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</si>
  <si>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</si>
  <si>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</si>
  <si>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</si>
  <si>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</si>
  <si>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</si>
  <si>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</si>
  <si>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</si>
  <si>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</si>
  <si>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</si>
  <si>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</si>
  <si>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</si>
  <si>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</si>
  <si>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</si>
  <si>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</si>
  <si>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</si>
  <si>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</si>
  <si>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</si>
  <si>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</si>
  <si>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</si>
  <si>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</si>
  <si>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</si>
  <si>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</si>
  <si>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</si>
  <si>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</si>
  <si>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</si>
  <si>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</si>
  <si>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</si>
  <si>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</si>
  <si>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</si>
  <si>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</si>
  <si>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</si>
  <si>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</si>
  <si>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</si>
  <si>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</si>
  <si>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</si>
  <si>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</si>
  <si>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</si>
  <si>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</si>
  <si>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</si>
  <si>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</si>
  <si>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</si>
  <si>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</si>
  <si>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</si>
  <si>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</si>
  <si>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</si>
  <si>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</si>
  <si>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</si>
  <si>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</si>
  <si>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</si>
  <si>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</si>
  <si>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</si>
  <si>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</si>
  <si>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</si>
  <si>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</si>
  <si>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</si>
  <si>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</si>
  <si>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</si>
  <si>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</si>
  <si>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</si>
  <si>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</si>
  <si>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</si>
  <si>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</si>
  <si>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</si>
  <si>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</si>
  <si>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</si>
  <si>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</si>
  <si>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</si>
  <si>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</si>
  <si>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</si>
  <si>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</si>
  <si>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</si>
  <si>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</si>
  <si>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</si>
  <si>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</si>
  <si>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</si>
  <si>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</si>
  <si>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</si>
  <si>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</si>
  <si>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</si>
  <si>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</si>
  <si>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</si>
  <si>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</si>
  <si>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</si>
  <si>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</si>
  <si>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</si>
  <si>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</si>
  <si>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</si>
  <si>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</si>
  <si>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</si>
  <si>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</si>
  <si>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</si>
  <si>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</si>
  <si>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</si>
  <si>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</si>
  <si>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</si>
  <si>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</si>
  <si>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</si>
  <si>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</si>
  <si>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</si>
  <si>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</si>
  <si>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</si>
  <si>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</si>
  <si>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</si>
  <si>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</si>
  <si>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</si>
  <si>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</si>
  <si>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</si>
  <si>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</si>
  <si>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</si>
  <si>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</si>
  <si>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</si>
  <si>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</si>
  <si>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</si>
  <si>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</si>
  <si>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</si>
  <si>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</si>
  <si>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</si>
  <si>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</si>
  <si>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</si>
  <si>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</si>
  <si>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</si>
  <si>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</si>
  <si>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</si>
  <si>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</si>
  <si>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</si>
  <si>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</si>
  <si>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</si>
  <si>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</si>
  <si>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</si>
  <si>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</si>
  <si>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</si>
  <si>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</si>
  <si>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</si>
  <si>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</si>
  <si>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</si>
  <si>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</si>
  <si>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</si>
  <si>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</si>
  <si>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</si>
  <si>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</si>
  <si>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</si>
  <si>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</si>
  <si>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</si>
  <si>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</si>
  <si>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</si>
  <si>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</si>
  <si>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</si>
  <si>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</si>
  <si>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</si>
  <si>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</si>
  <si>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</si>
  <si>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</si>
  <si>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</si>
  <si>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</si>
  <si>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</si>
  <si>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</si>
  <si>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</si>
  <si>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</si>
  <si>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</si>
  <si>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</si>
  <si>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</si>
  <si>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</si>
  <si>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</si>
  <si>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</si>
  <si>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</si>
  <si>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</si>
  <si>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</si>
  <si>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</si>
  <si>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</si>
  <si>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</si>
  <si>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</si>
  <si>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</si>
  <si>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</si>
  <si>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</si>
  <si>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</si>
  <si>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</si>
  <si>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</si>
  <si>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</si>
  <si>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</si>
  <si>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</si>
  <si>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</si>
  <si>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</si>
  <si>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</si>
  <si>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</si>
  <si>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</si>
  <si>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</si>
  <si>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</si>
  <si>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</si>
  <si>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</si>
  <si>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</si>
  <si>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</si>
  <si>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</si>
  <si>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</si>
  <si>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</si>
  <si>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</si>
  <si>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</si>
  <si>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</si>
  <si>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</si>
  <si>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</si>
  <si>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</si>
  <si>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</si>
  <si>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</si>
  <si>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</si>
  <si>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</si>
  <si>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</si>
  <si>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</si>
  <si>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</si>
  <si>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</si>
  <si>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</si>
  <si>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</si>
  <si>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</si>
  <si>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</si>
  <si>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</si>
  <si>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</si>
  <si>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</si>
  <si>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</si>
  <si>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</si>
  <si>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</si>
  <si>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</si>
  <si>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</si>
  <si>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</si>
  <si>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</si>
  <si>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</si>
  <si>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</si>
  <si>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</si>
  <si>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</si>
  <si>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</si>
  <si>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</si>
  <si>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</si>
  <si>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</si>
  <si>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</si>
  <si>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</si>
  <si>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</si>
  <si>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</si>
  <si>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</si>
  <si>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</si>
  <si>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</si>
  <si>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</si>
  <si>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</si>
  <si>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</si>
  <si>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</si>
  <si>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</si>
  <si>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</si>
  <si>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</si>
  <si>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</si>
  <si>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</si>
  <si>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</si>
  <si>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</si>
  <si>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</si>
  <si>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</si>
  <si>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</si>
  <si>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</si>
  <si>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</si>
  <si>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</si>
  <si>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</si>
  <si>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</si>
  <si>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</si>
  <si>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</si>
  <si>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</si>
  <si>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</si>
  <si>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</si>
  <si>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</si>
  <si>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</si>
  <si>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</si>
  <si>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</si>
  <si>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</si>
  <si>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</si>
  <si>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</si>
  <si>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</si>
  <si>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</si>
  <si>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</si>
  <si>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</si>
  <si>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</si>
  <si>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</si>
  <si>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</si>
  <si>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</si>
  <si>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</si>
  <si>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</si>
  <si>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</si>
  <si>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</si>
  <si>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</si>
  <si>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</si>
  <si>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</si>
  <si>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</si>
  <si>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</si>
  <si>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</si>
  <si>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</si>
  <si>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</si>
  <si>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</si>
  <si>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</si>
  <si>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</si>
  <si>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</si>
  <si>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</si>
  <si>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</si>
  <si>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</si>
  <si>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</si>
  <si>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</si>
  <si>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</si>
  <si>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</si>
  <si>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</si>
  <si>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</si>
  <si>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</si>
  <si>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</si>
  <si>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</si>
  <si>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</si>
  <si>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</si>
  <si>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</si>
  <si>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</si>
  <si>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</si>
  <si>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</si>
  <si>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</si>
  <si>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</si>
  <si>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</si>
  <si>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</si>
  <si>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</si>
  <si>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</si>
  <si>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</si>
  <si>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</si>
  <si>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</si>
  <si>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</si>
  <si>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</si>
  <si>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</si>
  <si>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</si>
  <si>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</si>
  <si>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</si>
  <si>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</si>
  <si>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</si>
  <si>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</si>
  <si>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</si>
  <si>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</si>
  <si>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</si>
  <si>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</si>
  <si>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</si>
  <si>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</si>
  <si>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</si>
  <si>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</si>
  <si>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</si>
  <si>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</si>
  <si>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</si>
  <si>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</si>
  <si>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</si>
  <si>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</si>
  <si>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</si>
  <si>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</si>
  <si>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</si>
  <si>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</si>
  <si>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</si>
  <si>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</si>
  <si>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</si>
  <si>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</si>
  <si>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</si>
  <si>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</si>
  <si>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</si>
  <si>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</si>
  <si>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</si>
  <si>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</si>
  <si>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</si>
  <si>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</si>
  <si>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</si>
  <si>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</si>
  <si>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</si>
  <si>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</si>
  <si>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</si>
  <si>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</si>
  <si>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</si>
  <si>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</si>
  <si>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</si>
  <si>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</si>
  <si>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</si>
  <si>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</si>
  <si>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</si>
  <si>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</si>
  <si>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</si>
  <si>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</si>
  <si>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</si>
  <si>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</si>
  <si>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</si>
  <si>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</si>
  <si>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</si>
  <si>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</si>
  <si>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</si>
  <si>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</si>
  <si>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</si>
  <si>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</si>
  <si>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</si>
  <si>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</si>
  <si>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</si>
  <si>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</si>
  <si>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</si>
  <si>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</si>
  <si>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</si>
  <si>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</si>
  <si>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</si>
  <si>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</si>
  <si>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</si>
  <si>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</si>
  <si>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</si>
  <si>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</si>
  <si>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</si>
  <si>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</si>
  <si>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</si>
  <si>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</si>
  <si>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</si>
  <si>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</si>
  <si>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</si>
  <si>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</si>
  <si>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</si>
  <si>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</si>
  <si>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</si>
  <si>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</si>
  <si>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</si>
  <si>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</si>
  <si>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</si>
  <si>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</si>
  <si>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</si>
  <si>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</si>
  <si>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</si>
  <si>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</si>
  <si>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</si>
  <si>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</si>
  <si>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</si>
  <si>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</si>
  <si>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</si>
  <si>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</si>
  <si>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</si>
  <si>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</si>
  <si>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</si>
  <si>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</si>
  <si>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</si>
  <si>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</si>
  <si>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</si>
  <si>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</si>
  <si>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</si>
  <si>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</si>
  <si>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</si>
  <si>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</si>
  <si>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</si>
  <si>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</si>
  <si>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</si>
  <si>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</si>
  <si>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</si>
  <si>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</si>
  <si>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</si>
  <si>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</si>
  <si>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</si>
  <si>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</si>
  <si>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</si>
  <si>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</si>
  <si>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</si>
  <si>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</si>
  <si>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</si>
  <si>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</si>
  <si>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</si>
  <si>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</si>
  <si>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</si>
  <si>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</si>
  <si>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</si>
  <si>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</si>
  <si>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</si>
  <si>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</si>
  <si>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</si>
  <si>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</si>
  <si>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</si>
  <si>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</si>
  <si>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</si>
  <si>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</si>
  <si>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</si>
  <si>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</si>
  <si>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</si>
  <si>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</si>
  <si>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</si>
  <si>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</si>
  <si>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</si>
  <si>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</si>
  <si>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</si>
  <si>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</si>
  <si>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</si>
  <si>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</si>
  <si>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</si>
  <si>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</si>
  <si>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</si>
  <si>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</si>
  <si>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</si>
  <si>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</si>
  <si>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</si>
  <si>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</si>
  <si>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</si>
  <si>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</si>
  <si>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</si>
  <si>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</si>
  <si>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</si>
  <si>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</si>
  <si>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</si>
  <si>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</si>
  <si>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</si>
  <si>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</si>
  <si>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</si>
  <si>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</si>
  <si>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</si>
  <si>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</si>
  <si>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</si>
  <si>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</si>
  <si>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</si>
  <si>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</si>
  <si>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</si>
  <si>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</si>
  <si>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</si>
  <si>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</si>
  <si>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</si>
  <si>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</si>
  <si>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</si>
  <si>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</si>
  <si>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</si>
  <si>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</si>
  <si>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</si>
  <si>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</si>
  <si>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</si>
  <si>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</si>
  <si>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</si>
  <si>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</si>
  <si>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</si>
  <si>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</si>
  <si>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</si>
  <si>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</si>
  <si>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</si>
  <si>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</si>
  <si>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</si>
  <si>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</si>
  <si>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</si>
  <si>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</si>
  <si>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</si>
  <si>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</si>
  <si>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</si>
  <si>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</si>
  <si>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</si>
  <si>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</si>
  <si>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</si>
  <si>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</si>
  <si>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</si>
  <si>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</si>
  <si>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</si>
  <si>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</si>
  <si>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</si>
  <si>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</si>
  <si>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</si>
  <si>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</si>
  <si>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</si>
  <si>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</si>
  <si>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</si>
  <si>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</si>
  <si>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</si>
  <si>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</si>
  <si>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</si>
  <si>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</si>
  <si>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</si>
  <si>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</si>
  <si>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</si>
  <si>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</si>
  <si>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</si>
  <si>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</si>
  <si>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</si>
  <si>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</si>
  <si>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</si>
  <si>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</si>
  <si>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</si>
  <si>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</si>
  <si>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</si>
  <si>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</si>
  <si>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</si>
  <si>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</si>
  <si>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</si>
  <si>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</si>
  <si>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</si>
  <si>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</si>
  <si>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</si>
  <si>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</si>
  <si>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</si>
  <si>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</si>
  <si>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</si>
  <si>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</si>
  <si>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</si>
  <si>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</si>
  <si>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</si>
  <si>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</si>
  <si>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</si>
  <si>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</si>
  <si>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</si>
  <si>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</si>
  <si>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</si>
  <si>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</si>
  <si>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</si>
  <si>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</si>
  <si>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</si>
  <si>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</si>
  <si>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</si>
  <si>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</si>
  <si>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</si>
  <si>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</si>
  <si>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</si>
  <si>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</si>
  <si>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</si>
  <si>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</si>
  <si>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</si>
  <si>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</si>
  <si>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</si>
  <si>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</si>
  <si>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</si>
  <si>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</si>
  <si>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</si>
  <si>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</si>
  <si>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</si>
  <si>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</si>
  <si>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</si>
  <si>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</si>
  <si>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</si>
  <si>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</si>
  <si>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</si>
  <si>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</si>
  <si>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</si>
  <si>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</si>
  <si>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</si>
  <si>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</si>
  <si>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</si>
  <si>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</si>
  <si>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</si>
  <si>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</si>
  <si>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</si>
  <si>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</si>
  <si>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</si>
  <si>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</si>
  <si>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</si>
  <si>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</si>
  <si>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</si>
  <si>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</si>
  <si>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</si>
  <si>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</si>
  <si>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</si>
  <si>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</si>
  <si>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</si>
  <si>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</si>
  <si>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</si>
  <si>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</si>
  <si>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</si>
  <si>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</si>
  <si>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</si>
  <si>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</si>
  <si>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</si>
  <si>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</si>
  <si>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</si>
  <si>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</si>
  <si>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</si>
  <si>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</si>
  <si>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</si>
  <si>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</si>
  <si>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</si>
  <si>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</si>
  <si>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</si>
  <si>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</si>
  <si>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</si>
  <si>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</si>
  <si>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</si>
  <si>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</si>
  <si>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</si>
  <si>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</si>
  <si>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</si>
  <si>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</si>
  <si>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</si>
  <si>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</si>
  <si>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</si>
  <si>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</si>
  <si>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</si>
  <si>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</si>
  <si>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</si>
  <si>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</si>
  <si>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</si>
  <si>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</si>
  <si>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</si>
  <si>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</si>
  <si>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</si>
  <si>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</si>
  <si>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</si>
  <si>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</si>
  <si>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</si>
  <si>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</si>
  <si>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</si>
  <si>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</si>
  <si>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</si>
  <si>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</si>
  <si>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</si>
  <si>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</si>
  <si>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</si>
  <si>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</si>
  <si>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</si>
  <si>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</si>
  <si>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</si>
  <si>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</si>
  <si>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</si>
  <si>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</si>
  <si>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</si>
  <si>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</si>
  <si>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</si>
  <si>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</si>
  <si>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</si>
  <si>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</si>
  <si>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</si>
  <si>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</si>
  <si>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</si>
  <si>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</si>
  <si>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</si>
  <si>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</si>
  <si>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</si>
  <si>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</si>
  <si>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</si>
  <si>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</si>
  <si>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</si>
  <si>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</si>
  <si>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</si>
  <si>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</si>
  <si>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</si>
  <si>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</si>
  <si>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</si>
  <si>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</si>
  <si>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</si>
  <si>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</si>
  <si>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</si>
  <si>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</si>
  <si>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</si>
  <si>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</si>
  <si>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</si>
  <si>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</si>
  <si>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</si>
  <si>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</si>
  <si>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</si>
  <si>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</si>
  <si>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</si>
  <si>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</si>
  <si>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</si>
  <si>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</si>
  <si>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</si>
  <si>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</si>
  <si>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</si>
  <si>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</si>
  <si>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</si>
  <si>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</si>
  <si>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</si>
  <si>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</si>
  <si>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</si>
  <si>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</si>
  <si>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</si>
  <si>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</si>
  <si>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</si>
  <si>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</si>
  <si>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</si>
  <si>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</si>
  <si>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</si>
  <si>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</si>
  <si>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</si>
  <si>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</si>
  <si>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</si>
  <si>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</si>
  <si>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</si>
  <si>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</si>
  <si>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</si>
  <si>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</si>
  <si>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</si>
  <si>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</si>
  <si>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</si>
  <si>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</si>
  <si>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</si>
  <si>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</si>
  <si>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</si>
  <si>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</si>
  <si>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</si>
  <si>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</si>
  <si>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</si>
  <si>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</si>
  <si>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</si>
  <si>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</si>
  <si>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</si>
  <si>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</si>
  <si>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</si>
  <si>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</si>
  <si>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</si>
  <si>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</si>
  <si>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</si>
  <si>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</si>
  <si>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</si>
  <si>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</si>
  <si>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</si>
  <si>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</si>
  <si>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</si>
  <si>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</si>
  <si>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</si>
  <si>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</si>
  <si>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</si>
  <si>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</si>
  <si>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</si>
  <si>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</si>
  <si>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</si>
  <si>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</si>
  <si>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</si>
  <si>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</si>
  <si>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</si>
  <si>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</si>
  <si>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</si>
  <si>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</si>
  <si>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</si>
  <si>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</si>
  <si>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</si>
  <si>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</si>
  <si>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</si>
  <si>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</si>
  <si>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</si>
  <si>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</si>
  <si>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</si>
  <si>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</si>
  <si>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</si>
  <si>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</si>
  <si>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</si>
  <si>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</si>
  <si>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</si>
  <si>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</si>
  <si>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</si>
  <si>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</si>
  <si>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</si>
  <si>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</si>
  <si>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</si>
  <si>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</si>
  <si>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</si>
  <si>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</si>
  <si>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</si>
  <si>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</si>
  <si>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</si>
  <si>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</si>
  <si>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</si>
  <si>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</si>
  <si>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</si>
  <si>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</si>
  <si>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</si>
  <si>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</si>
  <si>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</si>
  <si>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</si>
  <si>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</si>
  <si>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</si>
  <si>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</si>
  <si>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</si>
  <si>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</si>
  <si>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</si>
  <si>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</si>
  <si>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</si>
  <si>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</si>
  <si>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</si>
  <si>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</si>
  <si>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</si>
  <si>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</si>
  <si>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</si>
  <si>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</si>
  <si>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</si>
  <si>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</si>
  <si>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</si>
  <si>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</si>
  <si>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</si>
  <si>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</si>
  <si>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</si>
  <si>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</si>
  <si>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</si>
  <si>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</si>
  <si>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</si>
  <si>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</si>
  <si>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</si>
  <si>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</si>
  <si>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</si>
  <si>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</si>
  <si>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</si>
  <si>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</si>
  <si>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</si>
  <si>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</si>
  <si>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</si>
  <si>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</si>
  <si>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</si>
  <si>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</si>
  <si>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</si>
  <si>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</si>
  <si>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</si>
  <si>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</si>
  <si>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</si>
  <si>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</si>
  <si>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</si>
  <si>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</si>
  <si>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</si>
  <si>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</si>
  <si>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</si>
  <si>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</si>
  <si>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</si>
  <si>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</si>
  <si>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</si>
  <si>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</si>
  <si>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</si>
  <si>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</si>
  <si>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</si>
  <si>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</si>
  <si>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</si>
  <si>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</si>
  <si>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</si>
  <si>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</si>
  <si>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</si>
  <si>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</si>
  <si>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</si>
  <si>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</si>
  <si>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</si>
  <si>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</si>
  <si>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</si>
  <si>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</si>
  <si>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</si>
  <si>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</si>
  <si>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</si>
  <si>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</si>
  <si>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</si>
  <si>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</si>
  <si>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</si>
  <si>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</si>
  <si>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</si>
  <si>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</si>
  <si>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</si>
  <si>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</si>
  <si>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</si>
  <si>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</si>
  <si>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</si>
  <si>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</si>
  <si>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</si>
  <si>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</si>
  <si>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</si>
  <si>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</si>
  <si>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</si>
  <si>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</si>
  <si>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</si>
  <si>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</si>
  <si>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</si>
  <si>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</si>
  <si>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</si>
  <si>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</si>
  <si>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</si>
  <si>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</si>
  <si>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</si>
  <si>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</si>
  <si>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</si>
  <si>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</si>
  <si>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</si>
  <si>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</si>
  <si>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</si>
  <si>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</si>
  <si>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</si>
  <si>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</si>
  <si>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</si>
  <si>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</si>
  <si>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</si>
  <si>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</si>
  <si>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</si>
  <si>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</si>
  <si>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</si>
  <si>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</si>
  <si>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</si>
  <si>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</si>
  <si>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</si>
  <si>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</si>
  <si>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</si>
  <si>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</si>
  <si>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</si>
  <si>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</si>
  <si>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</si>
  <si>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</si>
  <si>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</si>
  <si>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</si>
  <si>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</si>
  <si>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</si>
  <si>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</si>
  <si>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</si>
  <si>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</si>
  <si>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</si>
  <si>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</si>
  <si>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</si>
  <si>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</si>
  <si>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</si>
  <si>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</si>
  <si>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</si>
  <si>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</si>
  <si>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</si>
  <si>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</si>
  <si>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</si>
  <si>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</si>
  <si>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</si>
  <si>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</si>
  <si>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</si>
  <si>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</si>
  <si>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</si>
  <si>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</si>
  <si>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</si>
  <si>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</si>
  <si>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</si>
  <si>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</si>
  <si>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</si>
  <si>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</si>
  <si>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</si>
  <si>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</si>
  <si>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</si>
  <si>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</si>
  <si>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</si>
  <si>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</si>
  <si>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</si>
  <si>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</si>
  <si>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</si>
  <si>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</si>
  <si>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</si>
  <si>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</si>
  <si>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</si>
  <si>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</si>
  <si>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</si>
  <si>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</si>
  <si>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</si>
  <si>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</si>
  <si>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</si>
  <si>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</si>
  <si>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</si>
  <si>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</si>
  <si>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</si>
  <si>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</si>
  <si>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</si>
  <si>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</si>
  <si>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</si>
  <si>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</si>
  <si>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</si>
  <si>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</si>
  <si>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</si>
  <si>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</si>
  <si>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</si>
  <si>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</si>
  <si>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</si>
  <si>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</si>
  <si>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</si>
  <si>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</si>
  <si>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</si>
  <si>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</si>
  <si>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</si>
  <si>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</si>
  <si>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</si>
  <si>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</si>
  <si>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</si>
  <si>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</si>
  <si>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</si>
  <si>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</si>
  <si>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</si>
  <si>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</si>
  <si>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</si>
  <si>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</si>
  <si>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</si>
  <si>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</si>
  <si>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</si>
  <si>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</si>
  <si>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</si>
  <si>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</si>
  <si>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</si>
  <si>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</si>
  <si>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</si>
  <si>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</si>
  <si>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</si>
  <si>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</si>
  <si>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</si>
  <si>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</si>
  <si>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</si>
  <si>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</si>
  <si>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</si>
  <si>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</si>
  <si>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</si>
  <si>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</si>
  <si>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</si>
  <si>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</si>
  <si>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</si>
  <si>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</si>
  <si>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</si>
  <si>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</si>
  <si>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</si>
  <si>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</si>
  <si>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</si>
  <si>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</si>
  <si>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</si>
  <si>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</si>
  <si>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</si>
  <si>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</si>
  <si>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</si>
  <si>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</si>
  <si>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</si>
  <si>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</si>
  <si>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</si>
  <si>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</si>
  <si>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</si>
  <si>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</si>
  <si>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</si>
  <si>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</si>
  <si>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</si>
  <si>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</si>
  <si>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</si>
  <si>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</si>
  <si>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</si>
  <si>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</si>
  <si>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</si>
  <si>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</si>
  <si>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</si>
  <si>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</si>
  <si>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</si>
  <si>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</si>
  <si>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</si>
  <si>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</si>
  <si>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</si>
  <si>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</si>
  <si>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</si>
  <si>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</si>
  <si>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</si>
  <si>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</si>
  <si>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</si>
  <si>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</si>
  <si>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</si>
  <si>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</si>
  <si>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</si>
  <si>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</si>
  <si>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</si>
  <si>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</si>
  <si>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</si>
  <si>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</si>
  <si>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</si>
  <si>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</si>
  <si>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</si>
  <si>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</si>
  <si>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</si>
  <si>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</si>
  <si>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</si>
  <si>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</si>
  <si>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</si>
  <si>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</si>
  <si>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</si>
  <si>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</si>
  <si>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</si>
  <si>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</si>
  <si>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</si>
  <si>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</si>
  <si>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</si>
  <si>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</si>
  <si>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</si>
  <si>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</si>
  <si>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</si>
  <si>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</si>
  <si>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</si>
  <si>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</si>
  <si>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</si>
  <si>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</si>
  <si>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</si>
  <si>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</si>
  <si>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</si>
  <si>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</si>
  <si>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</si>
  <si>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</si>
  <si>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</si>
  <si>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</si>
  <si>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</si>
  <si>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</si>
  <si>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</si>
  <si>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</si>
  <si>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</si>
  <si>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</si>
  <si>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</si>
  <si>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</si>
  <si>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</si>
  <si>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</si>
  <si>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</si>
  <si>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</si>
  <si>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</si>
  <si>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</si>
  <si>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</si>
  <si>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</si>
  <si>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</si>
  <si>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</si>
  <si>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</si>
  <si>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</si>
  <si>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</si>
  <si>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</si>
  <si>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</si>
  <si>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</si>
  <si>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</si>
  <si>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</si>
  <si>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</si>
  <si>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</si>
  <si>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</si>
  <si>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</si>
  <si>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</si>
  <si>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</si>
  <si>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</si>
  <si>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</si>
  <si>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</si>
  <si>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</si>
  <si>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</si>
  <si>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</si>
  <si>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</si>
  <si>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</si>
  <si>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</si>
  <si>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</si>
  <si>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</si>
  <si>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</si>
  <si>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</si>
  <si>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</si>
  <si>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</si>
  <si>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</si>
  <si>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</si>
  <si>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</si>
  <si>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</si>
  <si>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</si>
  <si>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</si>
  <si>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</si>
  <si>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</si>
  <si>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</si>
  <si>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</si>
  <si>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</si>
  <si>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</si>
  <si>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</si>
  <si>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</si>
  <si>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</si>
  <si>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</si>
  <si>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</si>
  <si>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</si>
  <si>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</si>
  <si>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</si>
  <si>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</si>
  <si>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</si>
  <si>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</si>
  <si>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</si>
  <si>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</si>
  <si>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</si>
  <si>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</si>
  <si>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</si>
  <si>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</si>
  <si>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</si>
  <si>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</si>
  <si>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</si>
  <si>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</si>
  <si>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</si>
  <si>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</si>
  <si>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</si>
  <si>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</si>
  <si>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</si>
  <si>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</si>
  <si>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</si>
  <si>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</si>
  <si>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</si>
  <si>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</si>
  <si>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</si>
  <si>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</si>
  <si>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</si>
  <si>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</si>
  <si>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</si>
  <si>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</si>
  <si>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</si>
  <si>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</si>
  <si>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</si>
  <si>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</si>
  <si>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</si>
  <si>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</si>
  <si>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</si>
  <si>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</si>
  <si>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</si>
  <si>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</si>
  <si>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</si>
  <si>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</si>
  <si>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</si>
  <si>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</si>
  <si>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</si>
  <si>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</si>
  <si>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</si>
  <si>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</si>
  <si>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</si>
  <si>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</si>
  <si>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</si>
  <si>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</si>
  <si>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</si>
  <si>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</si>
  <si>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</si>
  <si>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</si>
  <si>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</si>
  <si>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</si>
  <si>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</si>
  <si>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</si>
  <si>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</si>
  <si>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</si>
  <si>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</si>
  <si>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</si>
  <si>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</si>
  <si>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</si>
  <si>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</si>
  <si>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</si>
  <si>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</si>
  <si>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</si>
  <si>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</si>
  <si>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</si>
  <si>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</si>
  <si>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</si>
  <si>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</si>
  <si>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</si>
  <si>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</si>
  <si>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</si>
  <si>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</si>
  <si>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</si>
  <si>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</si>
  <si>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</si>
  <si>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</si>
  <si>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</si>
  <si>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</si>
  <si>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</si>
  <si>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</si>
  <si>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</si>
  <si>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</si>
  <si>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</si>
  <si>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</si>
  <si>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</si>
  <si>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</si>
  <si>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</si>
  <si>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</si>
  <si>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</si>
  <si>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</si>
  <si>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</si>
  <si>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</si>
  <si>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</si>
  <si>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</si>
  <si>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</si>
  <si>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</si>
  <si>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</si>
  <si>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</si>
  <si>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</si>
  <si>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</si>
  <si>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</si>
  <si>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</si>
  <si>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</si>
  <si>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</si>
  <si>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</si>
  <si>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</si>
  <si>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</si>
  <si>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</si>
  <si>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</si>
  <si>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</si>
  <si>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</si>
  <si>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</si>
  <si>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</si>
  <si>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</si>
  <si>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</si>
  <si>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</si>
  <si>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</si>
  <si>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</si>
  <si>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</si>
  <si>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</si>
  <si>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</si>
  <si>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</si>
  <si>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</si>
  <si>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</si>
  <si>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</si>
  <si>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</si>
  <si>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</si>
  <si>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</si>
  <si>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</si>
  <si>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</si>
  <si>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</si>
  <si>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</si>
  <si>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</si>
  <si>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</si>
  <si>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</si>
  <si>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</si>
  <si>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</si>
  <si>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</si>
  <si>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</si>
  <si>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</si>
  <si>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</si>
  <si>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</si>
  <si>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</si>
  <si>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</si>
  <si>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</si>
  <si>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</si>
  <si>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</si>
  <si>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</si>
  <si>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</si>
  <si>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</si>
  <si>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</si>
  <si>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</si>
  <si>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</si>
  <si>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</si>
  <si>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</si>
  <si>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</si>
  <si>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</si>
  <si>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</si>
  <si>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</si>
  <si>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</si>
  <si>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</si>
  <si>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</si>
  <si>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</si>
  <si>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</si>
  <si>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</si>
  <si>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</si>
  <si>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</si>
  <si>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</si>
  <si>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</si>
  <si>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</si>
  <si>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</si>
  <si>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</si>
  <si>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</si>
  <si>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</si>
  <si>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</si>
  <si>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</si>
  <si>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</si>
  <si>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</si>
  <si>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</si>
  <si>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</si>
  <si>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</si>
  <si>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</si>
  <si>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</si>
  <si>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</si>
  <si>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</si>
  <si>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</si>
  <si>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</si>
  <si>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</si>
  <si>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</si>
  <si>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</si>
  <si>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</si>
  <si>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</si>
  <si>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</si>
  <si>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</si>
  <si>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</si>
  <si>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</si>
  <si>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</si>
  <si>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</si>
  <si>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</si>
  <si>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</si>
  <si>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</si>
  <si>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</si>
  <si>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</si>
  <si>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</si>
  <si>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</si>
  <si>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</si>
  <si>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</si>
  <si>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</si>
  <si>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</si>
  <si>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</si>
  <si>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</si>
  <si>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</si>
  <si>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</si>
  <si>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</si>
  <si>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</si>
  <si>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</si>
  <si>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</si>
  <si>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</si>
  <si>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</si>
  <si>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</si>
  <si>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</si>
  <si>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</si>
  <si>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</si>
  <si>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</si>
  <si>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</si>
  <si>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</si>
  <si>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</si>
  <si>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</si>
  <si>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</si>
  <si>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</si>
  <si>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</si>
  <si>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</si>
  <si>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</si>
  <si>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</si>
  <si>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</si>
  <si>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</si>
  <si>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</si>
  <si>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</si>
  <si>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</si>
  <si>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</si>
  <si>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</si>
  <si>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</si>
  <si>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</si>
  <si>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</si>
  <si>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</si>
  <si>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</si>
  <si>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</si>
  <si>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</si>
  <si>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</si>
  <si>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</si>
  <si>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</si>
  <si>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</si>
  <si>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</si>
  <si>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</si>
  <si>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</si>
  <si>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</si>
  <si>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</si>
  <si>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</si>
  <si>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</si>
  <si>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</si>
  <si>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</si>
  <si>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</si>
  <si>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</si>
  <si>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</si>
  <si>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</si>
  <si>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</si>
  <si>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</si>
  <si>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</si>
  <si>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</si>
  <si>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</si>
  <si>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</si>
  <si>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</si>
  <si>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</si>
  <si>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</si>
  <si>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</si>
  <si>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</si>
  <si>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</si>
  <si>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</si>
  <si>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</si>
  <si>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</si>
  <si>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</si>
  <si>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</si>
  <si>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</si>
  <si>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</si>
  <si>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</si>
  <si>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</si>
  <si>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</si>
  <si>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</si>
  <si>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</si>
  <si>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</si>
  <si>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</si>
  <si>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</si>
  <si>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</si>
  <si>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</si>
  <si>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</si>
  <si>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</si>
  <si>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</si>
  <si>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</si>
  <si>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</si>
  <si>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</si>
  <si>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</si>
  <si>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</si>
  <si>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</si>
  <si>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</si>
  <si>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</si>
  <si>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</si>
  <si>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</si>
  <si>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</si>
  <si>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</si>
  <si>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</si>
  <si>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</si>
  <si>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</si>
  <si>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</si>
  <si>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</si>
  <si>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</si>
  <si>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</si>
  <si>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</si>
  <si>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</si>
  <si>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</si>
  <si>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</si>
  <si>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</si>
  <si>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</si>
  <si>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</si>
  <si>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</si>
  <si>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</si>
  <si>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</si>
  <si>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</si>
  <si>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</si>
  <si>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</si>
  <si>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</si>
  <si>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</si>
  <si>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</si>
  <si>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</si>
  <si>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</si>
  <si>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</si>
  <si>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</si>
  <si>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</si>
  <si>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</si>
  <si>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</si>
  <si>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</si>
  <si>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</si>
  <si>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</si>
  <si>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</si>
  <si>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</si>
  <si>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</si>
  <si>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</si>
  <si>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</si>
  <si>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</si>
  <si>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</si>
  <si>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</si>
  <si>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</si>
  <si>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</si>
  <si>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</si>
  <si>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</si>
  <si>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</si>
  <si>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</si>
  <si>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</si>
  <si>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</si>
  <si>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</si>
  <si>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</si>
  <si>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</si>
  <si>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</si>
  <si>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</si>
  <si>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</si>
  <si>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</si>
  <si>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</si>
  <si>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</si>
  <si>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</si>
  <si>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</si>
  <si>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</si>
  <si>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</si>
  <si>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</si>
  <si>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</si>
  <si>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</si>
  <si>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</si>
  <si>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</si>
  <si>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</si>
  <si>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</si>
  <si>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</si>
  <si>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</si>
  <si>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</si>
  <si>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</si>
  <si>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</si>
  <si>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</si>
  <si>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</si>
  <si>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</si>
  <si>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</si>
  <si>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</si>
  <si>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</si>
  <si>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</si>
  <si>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</si>
  <si>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</si>
  <si>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</si>
  <si>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</si>
  <si>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</si>
  <si>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</si>
  <si>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</si>
  <si>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</si>
  <si>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</si>
  <si>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</si>
  <si>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</si>
  <si>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</si>
  <si>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</si>
  <si>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</si>
  <si>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</si>
  <si>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</si>
  <si>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</si>
  <si>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</si>
  <si>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</si>
  <si>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</si>
  <si>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</si>
  <si>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</si>
  <si>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</si>
  <si>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</si>
  <si>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</si>
  <si>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</si>
  <si>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</si>
  <si>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</si>
  <si>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</si>
  <si>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</si>
  <si>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</si>
  <si>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</si>
  <si>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</si>
  <si>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</si>
  <si>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</si>
  <si>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</si>
  <si>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</si>
  <si>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</si>
  <si>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</si>
  <si>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</si>
  <si>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</si>
  <si>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</si>
  <si>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</si>
  <si>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</si>
  <si>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</si>
  <si>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</si>
  <si>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</si>
  <si>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</si>
  <si>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</si>
  <si>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</si>
  <si>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</si>
  <si>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</si>
  <si>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</si>
  <si>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</si>
  <si>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</si>
  <si>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</si>
  <si>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</si>
  <si>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</si>
  <si>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</si>
  <si>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</si>
  <si>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</si>
  <si>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</si>
  <si>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</si>
  <si>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</si>
  <si>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</si>
  <si>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</si>
  <si>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</si>
  <si>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</si>
  <si>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</si>
  <si>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</si>
  <si>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</si>
  <si>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</si>
  <si>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</si>
  <si>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</si>
  <si>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</si>
  <si>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</si>
  <si>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</si>
  <si>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</si>
  <si>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</si>
  <si>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</si>
  <si>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</si>
  <si>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</si>
  <si>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</si>
  <si>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</si>
  <si>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</si>
  <si>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</si>
  <si>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</si>
  <si>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</si>
  <si>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</si>
  <si>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</si>
  <si>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</si>
  <si>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</si>
  <si>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</si>
  <si>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</si>
  <si>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</si>
  <si>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</si>
  <si>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</si>
  <si>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</si>
  <si>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</si>
  <si>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</si>
  <si>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</si>
  <si>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</si>
  <si>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</si>
  <si>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</si>
  <si>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</si>
  <si>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</si>
  <si>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</si>
  <si>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</si>
  <si>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</si>
  <si>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</si>
  <si>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</si>
  <si>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</si>
  <si>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</si>
  <si>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</si>
  <si>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</si>
  <si>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</si>
  <si>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</si>
  <si>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</si>
  <si>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</si>
  <si>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</si>
  <si>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</si>
  <si>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</si>
  <si>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</si>
  <si>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</si>
  <si>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</si>
  <si>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</si>
  <si>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</si>
  <si>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</si>
  <si>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</si>
  <si>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</si>
  <si>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</si>
  <si>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</si>
  <si>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</si>
  <si>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</si>
  <si>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</si>
  <si>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</si>
  <si>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</si>
  <si>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</si>
  <si>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</si>
  <si>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</si>
  <si>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</si>
  <si>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</si>
  <si>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</si>
  <si>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</si>
  <si>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</si>
  <si>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</si>
  <si>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</si>
  <si>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</si>
  <si>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</si>
  <si>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</si>
  <si>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</si>
  <si>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</si>
  <si>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</si>
  <si>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</si>
  <si>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</si>
  <si>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</si>
  <si>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</si>
  <si>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</si>
  <si>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</si>
  <si>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</si>
  <si>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</si>
  <si>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</si>
  <si>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</si>
  <si>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</si>
  <si>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</si>
  <si>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</si>
  <si>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</si>
  <si>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</si>
  <si>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</si>
  <si>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</si>
  <si>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</si>
  <si>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</si>
  <si>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</si>
  <si>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</si>
  <si>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</si>
  <si>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</si>
  <si>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</si>
  <si>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</si>
  <si>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</si>
  <si>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</si>
  <si>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</si>
  <si>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</si>
  <si>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</si>
  <si>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</si>
  <si>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</si>
  <si>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</si>
  <si>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</si>
  <si>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</si>
  <si>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</si>
  <si>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</si>
  <si>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</si>
  <si>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</si>
  <si>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</si>
  <si>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</si>
  <si>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</si>
  <si>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</si>
  <si>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</si>
  <si>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</si>
  <si>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</si>
  <si>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</si>
  <si>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</si>
  <si>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</si>
  <si>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</si>
  <si>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</si>
  <si>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</si>
  <si>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</si>
  <si>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</si>
  <si>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</si>
  <si>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</si>
  <si>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</si>
  <si>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</si>
  <si>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</si>
  <si>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</si>
  <si>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</si>
  <si>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</si>
  <si>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</si>
  <si>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</si>
  <si>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</si>
  <si>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</si>
  <si>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</si>
  <si>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</si>
  <si>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</si>
  <si>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</si>
  <si>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</si>
  <si>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</si>
  <si>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</si>
  <si>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</si>
  <si>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</si>
  <si>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</si>
  <si>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</si>
  <si>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</si>
  <si>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</si>
  <si>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</si>
  <si>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</si>
  <si>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</si>
  <si>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</si>
  <si>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</si>
  <si>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</si>
  <si>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</si>
  <si>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</si>
  <si>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</si>
  <si>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</si>
  <si>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</si>
  <si>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</si>
  <si>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</si>
  <si>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</si>
  <si>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</si>
  <si>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</si>
  <si>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</si>
  <si>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</si>
  <si>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</si>
  <si>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</si>
  <si>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</si>
  <si>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</si>
  <si>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</si>
  <si>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</si>
  <si>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</si>
  <si>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</si>
  <si>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</si>
  <si>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</si>
  <si>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</si>
  <si>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</si>
  <si>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</si>
  <si>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</si>
  <si>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</si>
  <si>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</si>
  <si>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</si>
  <si>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</si>
  <si>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</si>
  <si>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</si>
  <si>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</si>
  <si>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</si>
  <si>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</si>
  <si>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</si>
  <si>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</si>
  <si>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</si>
  <si>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</si>
  <si>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</si>
  <si>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</si>
  <si>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</si>
  <si>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</si>
  <si>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</si>
  <si>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</si>
  <si>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</si>
  <si>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</si>
  <si>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</si>
  <si>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</si>
  <si>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</si>
  <si>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</si>
  <si>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</si>
  <si>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</si>
  <si>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</si>
  <si>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</si>
  <si>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</si>
  <si>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</si>
  <si>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</si>
  <si>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</si>
  <si>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</si>
  <si>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</si>
  <si>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</si>
  <si>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</si>
  <si>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</si>
  <si>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</si>
  <si>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</si>
  <si>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</si>
  <si>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</si>
  <si>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</si>
  <si>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</si>
  <si>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</si>
  <si>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</si>
  <si>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</si>
  <si>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</si>
  <si>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</si>
  <si>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</si>
  <si>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</si>
  <si>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</si>
  <si>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</si>
  <si>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</si>
  <si>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</si>
  <si>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</si>
  <si>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</si>
  <si>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</si>
  <si>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</si>
  <si>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</si>
  <si>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</si>
  <si>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</si>
  <si>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</si>
  <si>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</si>
  <si>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</si>
  <si>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</si>
  <si>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</si>
  <si>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</si>
  <si>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</si>
  <si>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</si>
  <si>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</si>
  <si>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</si>
  <si>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</si>
  <si>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</si>
  <si>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</si>
  <si>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</si>
  <si>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</si>
  <si>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</si>
  <si>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</si>
  <si>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</si>
  <si>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</si>
  <si>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</si>
  <si>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</si>
  <si>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</si>
  <si>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</si>
  <si>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</si>
  <si>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</si>
  <si>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</si>
  <si>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</si>
  <si>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</si>
  <si>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</si>
  <si>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</si>
  <si>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</si>
  <si>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</si>
  <si>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</si>
  <si>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</si>
  <si>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</si>
  <si>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</si>
  <si>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</si>
  <si>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</si>
  <si>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</si>
  <si>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</si>
  <si>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</si>
  <si>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</si>
  <si>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</si>
  <si>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</si>
  <si>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</si>
  <si>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</si>
  <si>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</si>
  <si>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</si>
  <si>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</si>
  <si>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</si>
  <si>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</si>
  <si>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</si>
  <si>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</si>
  <si>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</si>
  <si>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</si>
  <si>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</si>
  <si>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</si>
  <si>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</si>
  <si>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</si>
  <si>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</si>
  <si>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</si>
  <si>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</si>
  <si>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</si>
  <si>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</si>
  <si>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</si>
  <si>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</si>
  <si>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</si>
  <si>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</si>
  <si>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</si>
  <si>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</si>
  <si>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</si>
  <si>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</si>
  <si>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</si>
  <si>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</si>
  <si>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</si>
  <si>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</si>
  <si>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</si>
  <si>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</si>
  <si>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</si>
  <si>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</si>
  <si>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</si>
  <si>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</si>
  <si>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</si>
  <si>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</si>
  <si>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</si>
  <si>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</si>
  <si>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</si>
  <si>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</si>
  <si>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</si>
  <si>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</si>
  <si>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</si>
  <si>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</si>
  <si>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</si>
  <si>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</si>
  <si>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</si>
  <si>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</si>
  <si>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</si>
  <si>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</si>
  <si>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</si>
  <si>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</si>
  <si>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</si>
  <si>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</si>
  <si>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</si>
  <si>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</si>
  <si>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</si>
  <si>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</si>
  <si>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</si>
  <si>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</si>
  <si>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</si>
  <si>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</si>
  <si>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</si>
  <si>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</si>
  <si>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</si>
  <si>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</si>
  <si>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</si>
  <si>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</si>
  <si>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</si>
  <si>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</si>
  <si>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</si>
  <si>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</si>
  <si>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</si>
  <si>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</si>
  <si>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</si>
  <si>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</si>
  <si>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</si>
  <si>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</si>
  <si>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</si>
  <si>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</si>
  <si>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</si>
  <si>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</si>
  <si>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</si>
  <si>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</si>
  <si>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</si>
  <si>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</si>
  <si>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</si>
  <si>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</si>
  <si>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</si>
  <si>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</si>
  <si>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</si>
  <si>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</si>
  <si>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</si>
  <si>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</si>
  <si>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</si>
  <si>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</si>
  <si>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</si>
  <si>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</si>
  <si>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</si>
  <si>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</si>
  <si>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</si>
  <si>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</si>
  <si>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</si>
  <si>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</si>
  <si>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</si>
  <si>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</si>
  <si>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</si>
  <si>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</si>
  <si>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</si>
  <si>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</si>
  <si>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</si>
  <si>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</si>
  <si>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</si>
  <si>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</si>
  <si>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</si>
  <si>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</si>
  <si>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</si>
  <si>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</si>
  <si>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</si>
  <si>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</si>
  <si>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</si>
  <si>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</si>
  <si>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</si>
  <si>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</si>
  <si>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</si>
  <si>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</si>
  <si>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</si>
  <si>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</si>
  <si>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</si>
  <si>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</si>
  <si>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</si>
  <si>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</si>
  <si>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</si>
  <si>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</si>
  <si>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</si>
  <si>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</si>
  <si>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</si>
  <si>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</si>
  <si>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</si>
  <si>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</si>
  <si>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</si>
  <si>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</si>
  <si>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</si>
  <si>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</si>
  <si>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</si>
  <si>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</si>
  <si>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</si>
  <si>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</si>
  <si>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</si>
  <si>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</si>
  <si>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</si>
  <si>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</si>
  <si>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</si>
  <si>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</si>
  <si>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</si>
  <si>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</si>
  <si>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</si>
  <si>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</si>
  <si>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</si>
  <si>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</si>
  <si>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</si>
  <si>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</si>
  <si>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</si>
  <si>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</si>
  <si>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</si>
  <si>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</si>
  <si>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</si>
  <si>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</si>
  <si>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</si>
  <si>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</si>
  <si>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</si>
  <si>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</si>
  <si>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</si>
  <si>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</si>
  <si>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</si>
  <si>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</si>
  <si>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</si>
  <si>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</si>
  <si>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</si>
  <si>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</si>
  <si>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</si>
  <si>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</si>
  <si>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</si>
  <si>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</si>
  <si>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</si>
  <si>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</si>
  <si>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</si>
  <si>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</si>
  <si>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</si>
  <si>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</si>
  <si>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</si>
  <si>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</si>
  <si>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</si>
  <si>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</si>
  <si>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</si>
  <si>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</si>
  <si>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</si>
  <si>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</si>
  <si>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</si>
  <si>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</si>
  <si>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</si>
  <si>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</si>
  <si>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</si>
  <si>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</si>
  <si>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</si>
  <si>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</si>
  <si>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</si>
  <si>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</si>
  <si>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</si>
  <si>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</si>
  <si>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</si>
  <si>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</si>
  <si>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</si>
  <si>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</si>
  <si>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</si>
  <si>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</si>
  <si>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</si>
  <si>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</si>
  <si>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</si>
  <si>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</si>
  <si>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</si>
  <si>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</si>
  <si>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</si>
  <si>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</si>
  <si>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</si>
  <si>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</si>
  <si>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</si>
  <si>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</si>
  <si>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</si>
  <si>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</si>
  <si>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</si>
  <si>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</si>
  <si>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</si>
  <si>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</si>
  <si>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</si>
  <si>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</si>
  <si>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</si>
  <si>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</si>
  <si>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</si>
  <si>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</si>
  <si>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</si>
  <si>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</si>
  <si>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</si>
  <si>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</si>
  <si>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</si>
  <si>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</si>
  <si>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</si>
  <si>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</si>
  <si>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</si>
  <si>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</si>
  <si>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</si>
  <si>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</si>
  <si>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</si>
  <si>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</si>
  <si>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</si>
  <si>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</si>
  <si>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</si>
  <si>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</si>
  <si>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</si>
  <si>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</si>
  <si>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</si>
  <si>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</si>
  <si>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</si>
  <si>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</si>
  <si>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</si>
  <si>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</si>
  <si>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</si>
  <si>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</si>
  <si>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</si>
  <si>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</si>
  <si>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</si>
  <si>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</si>
  <si>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</si>
  <si>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</si>
  <si>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</si>
  <si>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</si>
  <si>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</si>
  <si>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</si>
  <si>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</si>
  <si>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</si>
  <si>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</si>
  <si>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</si>
  <si>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</si>
  <si>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</si>
  <si>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</si>
  <si>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</si>
  <si>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</si>
  <si>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</si>
  <si>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</si>
  <si>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</si>
  <si>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</si>
  <si>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</si>
  <si>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</si>
  <si>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</si>
  <si>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</si>
  <si>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</si>
  <si>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</si>
  <si>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</si>
  <si>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</si>
  <si>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</si>
  <si>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</si>
  <si>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</si>
  <si>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</si>
  <si>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</si>
  <si>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</si>
  <si>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</si>
  <si>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</si>
  <si>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</si>
  <si>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</si>
  <si>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</si>
  <si>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</si>
  <si>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</si>
  <si>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</si>
  <si>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</si>
  <si>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</si>
  <si>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</si>
  <si>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</si>
  <si>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</si>
  <si>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</si>
  <si>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</si>
  <si>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</si>
  <si>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</si>
  <si>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</si>
  <si>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</si>
  <si>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</si>
  <si>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</si>
  <si>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</si>
  <si>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</si>
  <si>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</si>
  <si>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</si>
  <si>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</si>
  <si>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</si>
  <si>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</si>
  <si>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</si>
  <si>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</si>
  <si>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</si>
  <si>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</si>
  <si>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</si>
  <si>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</si>
  <si>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</si>
  <si>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</si>
  <si>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</si>
  <si>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</si>
  <si>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</si>
  <si>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</si>
  <si>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</si>
  <si>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</si>
  <si>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</si>
  <si>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</si>
  <si>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</si>
  <si>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</si>
  <si>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</si>
  <si>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</si>
  <si>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</si>
  <si>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</si>
  <si>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</si>
  <si>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</si>
  <si>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</si>
  <si>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</si>
  <si>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</si>
  <si>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</si>
  <si>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</si>
  <si>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</si>
  <si>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</si>
  <si>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</si>
  <si>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</si>
  <si>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</si>
  <si>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</si>
  <si>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</si>
  <si>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</si>
  <si>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</si>
  <si>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</si>
  <si>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</si>
  <si>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</si>
  <si>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</si>
  <si>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</si>
  <si>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</si>
  <si>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</si>
  <si>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</si>
  <si>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</si>
  <si>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</si>
  <si>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</si>
  <si>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</si>
  <si>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</si>
  <si>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</si>
  <si>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</si>
  <si>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</si>
  <si>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</si>
  <si>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</si>
  <si>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</si>
  <si>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</si>
  <si>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</si>
  <si>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</si>
  <si>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</si>
  <si>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</si>
  <si>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</si>
  <si>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</si>
  <si>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</si>
  <si>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</si>
  <si>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</si>
  <si>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</si>
  <si>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</si>
  <si>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</si>
  <si>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</si>
  <si>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</si>
  <si>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</si>
  <si>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</si>
  <si>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</si>
  <si>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</si>
  <si>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</si>
  <si>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</si>
  <si>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</si>
  <si>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</si>
  <si>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</si>
  <si>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</si>
  <si>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</si>
  <si>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</si>
  <si>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</si>
  <si>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</si>
  <si>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</si>
  <si>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</si>
  <si>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</si>
  <si>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</si>
  <si>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</si>
  <si>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</si>
  <si>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</si>
  <si>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</si>
  <si>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</si>
  <si>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</si>
  <si>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</si>
  <si>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</si>
  <si>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</si>
  <si>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</si>
  <si>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</si>
  <si>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</si>
  <si>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</si>
  <si>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</si>
  <si>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</si>
  <si>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</si>
  <si>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</si>
  <si>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</si>
  <si>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</si>
  <si>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</si>
  <si>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</si>
  <si>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</si>
  <si>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</si>
  <si>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</si>
  <si>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</si>
  <si>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</si>
  <si>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</si>
  <si>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</si>
  <si>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</si>
  <si>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</si>
  <si>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</si>
  <si>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</si>
  <si>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</si>
  <si>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</si>
  <si>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</si>
  <si>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</si>
  <si>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</si>
  <si>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</si>
  <si>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</si>
  <si>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</si>
  <si>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</si>
  <si>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</si>
  <si>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</si>
  <si>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</si>
  <si>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</si>
  <si>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</si>
  <si>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</si>
  <si>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</si>
  <si>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</si>
  <si>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</si>
  <si>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</si>
  <si>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</si>
  <si>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</si>
  <si>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</si>
  <si>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</si>
  <si>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</si>
  <si>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</si>
  <si>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</si>
  <si>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</si>
  <si>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</si>
  <si>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</si>
  <si>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</si>
  <si>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</si>
  <si>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</si>
  <si>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</si>
  <si>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</si>
  <si>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</si>
  <si>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</si>
  <si>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</si>
  <si>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</si>
  <si>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</si>
  <si>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</si>
  <si>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</si>
  <si>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</si>
  <si>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</si>
  <si>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</si>
  <si>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</si>
  <si>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</si>
  <si>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</si>
  <si>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</si>
  <si>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</si>
  <si>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</si>
  <si>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</si>
  <si>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</si>
  <si>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</si>
  <si>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</si>
  <si>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</si>
  <si>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</si>
  <si>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</si>
  <si>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</si>
  <si>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</si>
  <si>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</si>
  <si>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</si>
  <si>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</si>
  <si>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</si>
  <si>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</si>
  <si>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</si>
  <si>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</si>
  <si>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</si>
  <si>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</si>
  <si>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</si>
  <si>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</si>
  <si>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</si>
  <si>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</si>
  <si>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</si>
  <si>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</si>
  <si>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</si>
  <si>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</si>
  <si>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</si>
  <si>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</si>
  <si>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</si>
  <si>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</si>
  <si>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</si>
  <si>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</si>
  <si>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</si>
  <si>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</si>
  <si>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</si>
  <si>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</si>
  <si>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</si>
  <si>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</si>
  <si>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</si>
  <si>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</si>
  <si>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</si>
  <si>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</si>
  <si>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</si>
  <si>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</si>
  <si>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</si>
  <si>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</si>
  <si>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</si>
  <si>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</si>
  <si>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</si>
  <si>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</si>
  <si>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</si>
  <si>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</si>
  <si>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</si>
  <si>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</si>
  <si>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</si>
  <si>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</si>
  <si>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</si>
  <si>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</si>
  <si>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</si>
  <si>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</si>
  <si>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</si>
  <si>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</si>
  <si>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</si>
  <si>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</si>
  <si>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</si>
  <si>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</si>
  <si>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</si>
  <si>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</si>
  <si>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</si>
  <si>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</si>
  <si>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</si>
  <si>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</si>
  <si>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</si>
  <si>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</si>
  <si>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</si>
  <si>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</si>
  <si>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</si>
  <si>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</si>
  <si>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</si>
  <si>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</si>
  <si>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</si>
  <si>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</si>
  <si>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</si>
  <si>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</si>
  <si>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</si>
  <si>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</si>
  <si>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</si>
  <si>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</si>
  <si>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</si>
  <si>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</si>
  <si>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</si>
  <si>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</si>
  <si>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</si>
  <si>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</si>
  <si>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</si>
  <si>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</si>
  <si>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</si>
  <si>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</si>
  <si>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</si>
  <si>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</si>
  <si>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</si>
  <si>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</si>
  <si>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</si>
  <si>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</si>
  <si>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</si>
  <si>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</si>
  <si>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</si>
  <si>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</si>
  <si>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</si>
  <si>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</si>
  <si>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</si>
  <si>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</si>
  <si>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</si>
  <si>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</si>
  <si>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</si>
  <si>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</si>
  <si>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</si>
  <si>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</si>
  <si>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</si>
  <si>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</si>
  <si>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</si>
  <si>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</si>
  <si>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</si>
  <si>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</si>
  <si>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</si>
  <si>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</si>
  <si>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</si>
  <si>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</si>
  <si>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</si>
  <si>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</si>
  <si>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</si>
  <si>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</si>
  <si>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</si>
  <si>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</si>
  <si>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</si>
  <si>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</si>
  <si>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</si>
  <si>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</si>
  <si>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</si>
  <si>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</si>
  <si>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</si>
  <si>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</si>
  <si>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</si>
  <si>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</si>
  <si>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</si>
  <si>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</si>
  <si>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</si>
  <si>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</si>
  <si>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</si>
  <si>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</si>
  <si>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</si>
  <si>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</si>
  <si>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</si>
  <si>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</si>
  <si>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</si>
  <si>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</si>
  <si>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</si>
  <si>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</si>
  <si>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</si>
  <si>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</si>
  <si>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</si>
  <si>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</si>
  <si>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</si>
  <si>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</si>
  <si>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</si>
  <si>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</si>
  <si>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</si>
  <si>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</si>
  <si>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</si>
  <si>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</si>
  <si>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</si>
  <si>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</si>
  <si>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</si>
  <si>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</si>
  <si>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</si>
  <si>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</si>
  <si>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</si>
  <si>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</si>
  <si>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</si>
  <si>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</si>
  <si>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</si>
  <si>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</si>
  <si>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</si>
  <si>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</si>
  <si>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</si>
  <si>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</si>
  <si>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</si>
  <si>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</si>
  <si>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</si>
  <si>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</si>
  <si>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</si>
  <si>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</si>
  <si>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</si>
  <si>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</si>
  <si>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</si>
  <si>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</si>
  <si>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</si>
  <si>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</si>
  <si>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</si>
  <si>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</si>
  <si>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</si>
  <si>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</si>
  <si>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</si>
  <si>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</si>
  <si>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</si>
  <si>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</si>
  <si>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</si>
  <si>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</si>
  <si>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</si>
  <si>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</si>
  <si>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</si>
  <si>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</si>
  <si>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</si>
  <si>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</si>
  <si>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</si>
  <si>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</si>
  <si>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</si>
  <si>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</si>
  <si>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</si>
  <si>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</si>
  <si>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</si>
  <si>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</si>
  <si>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</si>
  <si>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</si>
  <si>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</si>
  <si>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</si>
  <si>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</si>
  <si>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</si>
  <si>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</si>
  <si>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</si>
  <si>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</si>
  <si>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</si>
  <si>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</si>
  <si>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</si>
  <si>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</si>
  <si>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</si>
  <si>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</si>
  <si>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</si>
  <si>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</si>
  <si>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</si>
  <si>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</si>
  <si>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</si>
  <si>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</si>
  <si>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</si>
  <si>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</si>
  <si>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</si>
  <si>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</si>
  <si>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</si>
  <si>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</si>
  <si>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</si>
  <si>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</si>
  <si>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</si>
  <si>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</si>
  <si>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</si>
  <si>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</si>
  <si>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</si>
  <si>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</si>
  <si>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</si>
  <si>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</si>
  <si>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</si>
  <si>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</si>
  <si>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</si>
  <si>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</si>
  <si>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</si>
  <si>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</si>
  <si>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</si>
  <si>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</si>
  <si>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</si>
  <si>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</si>
  <si>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</si>
  <si>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</si>
  <si>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</si>
  <si>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</si>
  <si>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</si>
  <si>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</si>
  <si>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</si>
  <si>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</si>
  <si>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</si>
  <si>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</si>
  <si>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</si>
  <si>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</si>
  <si>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</si>
  <si>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</si>
  <si>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</si>
  <si>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</si>
  <si>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</si>
  <si>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</si>
  <si>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</si>
  <si>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</si>
  <si>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</si>
  <si>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</si>
  <si>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</si>
  <si>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</si>
  <si>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</si>
  <si>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</si>
  <si>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</si>
  <si>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</si>
  <si>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</si>
  <si>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</si>
  <si>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</si>
  <si>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</si>
  <si>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</si>
  <si>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</si>
  <si>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</si>
  <si>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</si>
  <si>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</si>
  <si>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</si>
  <si>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</si>
  <si>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</si>
  <si>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</si>
  <si>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</si>
  <si>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</si>
  <si>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</si>
  <si>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</si>
  <si>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</si>
  <si>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</si>
  <si>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</si>
  <si>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</si>
  <si>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</si>
  <si>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</si>
  <si>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</si>
  <si>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</si>
  <si>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</si>
  <si>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</si>
  <si>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</si>
  <si>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</si>
  <si>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</si>
  <si>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</si>
  <si>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</si>
  <si>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</si>
  <si>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</si>
  <si>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</si>
  <si>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</si>
  <si>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</si>
  <si>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</si>
  <si>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</si>
  <si>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</si>
  <si>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</si>
  <si>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</si>
  <si>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</si>
  <si>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</si>
  <si>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</si>
  <si>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</si>
  <si>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</si>
  <si>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</si>
  <si>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</si>
  <si>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</si>
  <si>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</si>
  <si>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</si>
  <si>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</si>
  <si>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</si>
  <si>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</si>
  <si>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</si>
  <si>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</si>
  <si>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</si>
  <si>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</si>
  <si>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</si>
  <si>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</si>
  <si>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</si>
  <si>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</si>
  <si>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</si>
  <si>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</si>
  <si>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</si>
  <si>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</si>
  <si>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</si>
  <si>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</si>
  <si>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</si>
  <si>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</si>
  <si>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</si>
  <si>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</si>
  <si>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</si>
  <si>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</si>
  <si>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</si>
  <si>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</si>
  <si>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</si>
  <si>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</si>
  <si>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</si>
  <si>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</si>
  <si>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</si>
  <si>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</si>
  <si>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</si>
  <si>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</si>
  <si>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</si>
  <si>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</si>
  <si>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</si>
  <si>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</si>
  <si>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</si>
  <si>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</si>
  <si>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</si>
  <si>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</si>
  <si>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</si>
  <si>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</si>
  <si>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</si>
  <si>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</si>
  <si>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</si>
  <si>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</si>
  <si>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</si>
  <si>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</si>
  <si>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</si>
  <si>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</si>
  <si>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</si>
  <si>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</si>
  <si>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</si>
  <si>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</si>
  <si>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</si>
  <si>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</si>
  <si>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</si>
  <si>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</si>
  <si>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</si>
  <si>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</si>
  <si>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</si>
  <si>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</si>
  <si>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</si>
  <si>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</si>
  <si>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</si>
  <si>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</si>
  <si>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</si>
  <si>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</si>
  <si>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</si>
  <si>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</si>
  <si>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</si>
  <si>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</si>
  <si>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</si>
  <si>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</si>
  <si>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</si>
  <si>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</si>
  <si>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</si>
  <si>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</si>
  <si>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</si>
  <si>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</si>
  <si>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</si>
  <si>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</si>
  <si>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</si>
  <si>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</si>
  <si>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</si>
  <si>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</si>
  <si>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</si>
  <si>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</si>
  <si>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</si>
  <si>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</si>
  <si>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</si>
  <si>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</si>
  <si>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</si>
  <si>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</si>
  <si>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</si>
  <si>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</si>
  <si>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</si>
  <si>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</si>
  <si>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</si>
  <si>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</si>
  <si>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</si>
  <si>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</si>
  <si>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</si>
  <si>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</si>
  <si>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</si>
  <si>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</si>
  <si>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</si>
  <si>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</si>
  <si>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</si>
  <si>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</si>
  <si>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</si>
  <si>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</si>
  <si>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</si>
  <si>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</si>
  <si>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</si>
  <si>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</si>
  <si>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</si>
  <si>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</si>
  <si>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</si>
  <si>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</si>
  <si>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</si>
  <si>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</si>
  <si>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</si>
  <si>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</si>
  <si>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</si>
  <si>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</si>
  <si>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</si>
  <si>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</si>
  <si>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</si>
  <si>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</si>
  <si>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</si>
  <si>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</si>
  <si>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</si>
  <si>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</si>
  <si>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</si>
  <si>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</si>
  <si>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</si>
  <si>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</si>
  <si>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</si>
  <si>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</si>
  <si>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</si>
  <si>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</si>
  <si>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</si>
  <si>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</si>
  <si>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</si>
  <si>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</si>
  <si>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</si>
  <si>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</si>
  <si>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</si>
  <si>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</si>
  <si>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</si>
  <si>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</si>
  <si>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</si>
  <si>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</si>
  <si>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</si>
  <si>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</si>
  <si>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</si>
  <si>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</si>
  <si>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</si>
  <si>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</si>
  <si>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</si>
  <si>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</si>
  <si>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</si>
  <si>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</si>
  <si>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</si>
  <si>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</si>
  <si>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</si>
  <si>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</si>
  <si>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</si>
  <si>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</si>
  <si>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</si>
  <si>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</si>
  <si>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</si>
  <si>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</si>
  <si>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</si>
  <si>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</si>
  <si>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</si>
  <si>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</si>
  <si>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</si>
  <si>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</si>
  <si>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</si>
  <si>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</si>
  <si>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</si>
  <si>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</si>
  <si>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</si>
  <si>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</si>
  <si>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</si>
  <si>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</si>
  <si>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</si>
  <si>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</si>
  <si>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</si>
  <si>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</si>
  <si>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</si>
  <si>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</si>
  <si>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</si>
  <si>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</si>
  <si>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</si>
  <si>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</si>
  <si>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</si>
  <si>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</si>
  <si>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</si>
  <si>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</si>
  <si>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</si>
  <si>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</si>
  <si>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</si>
  <si>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</si>
  <si>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</si>
  <si>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</si>
  <si>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</si>
  <si>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</si>
  <si>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</si>
  <si>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</si>
  <si>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</si>
  <si>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</si>
  <si>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</si>
  <si>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</si>
  <si>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</si>
  <si>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</si>
  <si>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</si>
  <si>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</si>
  <si>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</si>
  <si>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</si>
  <si>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</si>
  <si>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</si>
  <si>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</si>
  <si>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</si>
  <si>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</si>
  <si>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</si>
  <si>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</si>
  <si>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</si>
  <si>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</si>
  <si>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</si>
  <si>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</si>
  <si>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</si>
  <si>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</si>
  <si>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</si>
  <si>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</si>
  <si>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</si>
  <si>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</si>
  <si>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</si>
  <si>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</si>
  <si>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</si>
  <si>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</si>
  <si>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</si>
  <si>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</si>
  <si>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</si>
  <si>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</si>
  <si>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</si>
  <si>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</si>
  <si>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</si>
  <si>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</si>
  <si>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</si>
  <si>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</si>
  <si>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</si>
  <si>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</si>
  <si>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</si>
  <si>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</si>
  <si>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</si>
  <si>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</si>
  <si>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</si>
  <si>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</si>
  <si>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</si>
  <si>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</si>
  <si>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</si>
  <si>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</si>
  <si>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</si>
  <si>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</si>
  <si>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</si>
  <si>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</si>
  <si>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</si>
  <si>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</si>
  <si>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</si>
  <si>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</si>
  <si>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</si>
  <si>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</si>
  <si>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</si>
  <si>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</si>
  <si>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</si>
  <si>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</si>
  <si>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</si>
  <si>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</si>
  <si>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</si>
  <si>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</si>
  <si>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</si>
  <si>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</si>
  <si>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</si>
  <si>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</si>
  <si>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</si>
  <si>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</si>
  <si>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</si>
  <si>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</si>
  <si>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</si>
  <si>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</si>
  <si>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</si>
  <si>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</si>
  <si>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</si>
  <si>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</si>
  <si>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</si>
  <si>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</si>
  <si>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</si>
  <si>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</si>
  <si>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</si>
  <si>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</si>
  <si>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</si>
  <si>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</si>
  <si>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</si>
  <si>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</si>
  <si>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</si>
  <si>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</si>
  <si>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</si>
  <si>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</si>
  <si>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</si>
  <si>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</si>
  <si>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</si>
  <si>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</si>
  <si>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</si>
  <si>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</si>
  <si>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</si>
  <si>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</si>
  <si>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</si>
  <si>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</si>
  <si>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</si>
  <si>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</si>
  <si>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</si>
  <si>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</si>
  <si>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</si>
  <si>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</si>
  <si>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</si>
  <si>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</si>
  <si>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</si>
  <si>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</si>
  <si>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</si>
  <si>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</si>
  <si>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</si>
  <si>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</si>
  <si>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</si>
  <si>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</si>
  <si>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</si>
  <si>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</si>
  <si>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</si>
  <si>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</si>
  <si>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</si>
  <si>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</si>
  <si>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</si>
  <si>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</si>
  <si>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</si>
  <si>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</si>
  <si>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</si>
  <si>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</si>
  <si>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</si>
  <si>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</si>
  <si>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</si>
  <si>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</si>
  <si>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</si>
  <si>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</si>
  <si>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</si>
  <si>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</si>
  <si>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</si>
  <si>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</si>
  <si>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</si>
  <si>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</si>
  <si>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</si>
  <si>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</si>
  <si>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</si>
  <si>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</si>
  <si>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</si>
  <si>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</si>
  <si>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</si>
  <si>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</si>
  <si>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</si>
  <si>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</si>
  <si>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</si>
  <si>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</si>
  <si>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</si>
  <si>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</si>
  <si>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</si>
  <si>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</si>
  <si>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</si>
  <si>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</si>
  <si>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</si>
  <si>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</si>
  <si>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</si>
  <si>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</si>
  <si>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</si>
  <si>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</si>
  <si>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</si>
  <si>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</si>
  <si>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</si>
  <si>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</si>
  <si>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</si>
  <si>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</si>
  <si>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</si>
  <si>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</si>
  <si>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</si>
  <si>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</si>
  <si>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</si>
  <si>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</si>
  <si>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</si>
  <si>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</si>
  <si>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</si>
  <si>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</si>
  <si>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</si>
  <si>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</si>
  <si>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</si>
  <si>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</si>
  <si>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</si>
  <si>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</si>
  <si>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</si>
  <si>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</si>
  <si>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</si>
  <si>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</si>
  <si>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</si>
  <si>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</si>
  <si>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</si>
  <si>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</si>
  <si>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</si>
  <si>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</si>
  <si>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</si>
  <si>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</si>
  <si>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</si>
  <si>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</si>
  <si>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</si>
  <si>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</si>
  <si>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</si>
  <si>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</si>
  <si>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</si>
  <si>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</si>
  <si>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</si>
  <si>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</si>
  <si>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</si>
  <si>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</si>
  <si>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</si>
  <si>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</si>
  <si>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</si>
  <si>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</si>
  <si>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</si>
  <si>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</si>
  <si>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</si>
  <si>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</si>
  <si>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</si>
  <si>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</si>
  <si>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</si>
  <si>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</si>
  <si>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</si>
  <si>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</si>
  <si>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</si>
  <si>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</si>
  <si>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</si>
  <si>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</si>
  <si>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</si>
  <si>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</si>
  <si>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</si>
  <si>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</si>
  <si>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</si>
  <si>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</si>
  <si>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</si>
  <si>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</si>
  <si>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</si>
  <si>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</si>
  <si>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</si>
  <si>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</si>
  <si>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</si>
  <si>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</si>
  <si>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</si>
  <si>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</si>
  <si>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</si>
  <si>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</si>
  <si>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</si>
  <si>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</si>
  <si>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</si>
  <si>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</si>
  <si>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</si>
  <si>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</si>
  <si>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</si>
  <si>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</si>
  <si>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</si>
  <si>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</si>
  <si>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</si>
  <si>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</si>
  <si>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</si>
  <si>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</si>
  <si>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</si>
  <si>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</si>
  <si>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</si>
  <si>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</si>
  <si>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</si>
  <si>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</si>
  <si>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</si>
  <si>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</si>
  <si>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</si>
  <si>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</si>
  <si>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</si>
  <si>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</si>
  <si>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</si>
  <si>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</si>
  <si>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</si>
  <si>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</si>
  <si>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</si>
  <si>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</si>
  <si>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</si>
  <si>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</si>
  <si>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</si>
  <si>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</si>
  <si>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</si>
  <si>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</si>
  <si>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</si>
  <si>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</si>
  <si>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</si>
  <si>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</si>
  <si>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</si>
  <si>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</si>
  <si>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</si>
  <si>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</si>
  <si>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</si>
  <si>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</si>
  <si>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</si>
  <si>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</si>
  <si>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</si>
  <si>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</si>
  <si>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</si>
  <si>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</si>
  <si>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</si>
  <si>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</si>
  <si>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</si>
  <si>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</si>
  <si>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</si>
  <si>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</si>
  <si>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</si>
  <si>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</si>
  <si>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</si>
  <si>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</si>
  <si>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</si>
  <si>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</si>
  <si>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</si>
  <si>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</si>
  <si>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</si>
  <si>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</si>
  <si>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</si>
  <si>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</si>
  <si>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</si>
  <si>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</si>
  <si>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</si>
  <si>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</si>
  <si>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</si>
  <si>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</si>
  <si>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</si>
  <si>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</si>
  <si>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</si>
  <si>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</si>
  <si>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</si>
  <si>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</si>
  <si>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</si>
  <si>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</si>
  <si>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</si>
  <si>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</si>
  <si>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</si>
  <si>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</si>
  <si>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</si>
  <si>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</si>
  <si>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</si>
  <si>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</si>
  <si>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</si>
  <si>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</si>
  <si>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</si>
  <si>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</si>
  <si>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</si>
  <si>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</si>
  <si>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</si>
  <si>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</si>
  <si>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</si>
  <si>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</si>
  <si>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</si>
  <si>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</si>
  <si>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</si>
  <si>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</si>
  <si>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</si>
  <si>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</si>
  <si>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</si>
  <si>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</si>
  <si>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</si>
  <si>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</si>
  <si>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</si>
  <si>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</si>
  <si>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</si>
  <si>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</si>
  <si>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</si>
  <si>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</si>
  <si>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</si>
  <si>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</si>
  <si>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</si>
  <si>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</si>
  <si>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</si>
  <si>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</si>
  <si>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</si>
  <si>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</si>
  <si>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</si>
  <si>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</si>
  <si>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</si>
  <si>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</si>
  <si>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</si>
  <si>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</si>
  <si>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</si>
  <si>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</si>
  <si>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</si>
  <si>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</si>
  <si>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</si>
  <si>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</si>
  <si>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</si>
  <si>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</si>
  <si>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</si>
  <si>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</si>
  <si>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</si>
  <si>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</si>
  <si>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</si>
  <si>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</si>
  <si>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</si>
  <si>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</si>
  <si>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</si>
  <si>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</si>
  <si>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</si>
  <si>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</si>
  <si>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</si>
  <si>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</si>
  <si>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</si>
  <si>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</si>
  <si>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</si>
  <si>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</si>
  <si>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</si>
  <si>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</si>
  <si>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</si>
  <si>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</si>
  <si>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</si>
  <si>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</si>
  <si>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</si>
  <si>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</si>
  <si>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</si>
  <si>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</si>
  <si>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</si>
  <si>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</si>
  <si>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</si>
  <si>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</si>
  <si>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</si>
  <si>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</si>
  <si>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</si>
  <si>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</si>
  <si>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</si>
  <si>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</si>
  <si>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</si>
  <si>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</si>
  <si>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</si>
  <si>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</si>
  <si>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</si>
  <si>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</si>
  <si>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</si>
  <si>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</si>
  <si>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</si>
  <si>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</si>
  <si>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</si>
  <si>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</si>
  <si>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</si>
  <si>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</si>
  <si>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</si>
  <si>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</si>
  <si>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</si>
  <si>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</si>
  <si>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</si>
  <si>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</si>
  <si>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</si>
  <si>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</si>
  <si>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</si>
  <si>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</si>
  <si>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</si>
  <si>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</si>
  <si>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</si>
  <si>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</si>
  <si>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</si>
  <si>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</si>
  <si>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</si>
  <si>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</si>
  <si>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</si>
  <si>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</si>
  <si>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</si>
  <si>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</si>
  <si>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</si>
  <si>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</si>
  <si>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</si>
  <si>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</si>
  <si>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</si>
  <si>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</si>
  <si>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</si>
  <si>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</si>
  <si>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</si>
  <si>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</si>
  <si>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</si>
  <si>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</si>
  <si>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</si>
  <si>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</si>
  <si>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</si>
  <si>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</si>
  <si>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</si>
  <si>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</si>
  <si>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</si>
  <si>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</si>
  <si>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</si>
  <si>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</si>
  <si>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</si>
  <si>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</si>
  <si>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</si>
  <si>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</si>
  <si>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</si>
  <si>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</si>
  <si>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</si>
  <si>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</si>
  <si>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</si>
  <si>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</si>
  <si>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</si>
  <si>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</si>
  <si>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</si>
  <si>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</si>
  <si>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</si>
  <si>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</si>
  <si>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</si>
  <si>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</si>
  <si>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</si>
  <si>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</si>
  <si>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</si>
  <si>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</si>
  <si>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</si>
  <si>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</si>
  <si>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</si>
  <si>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</si>
  <si>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</si>
  <si>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</si>
  <si>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</si>
  <si>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</si>
  <si>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</si>
  <si>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</si>
  <si>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</si>
  <si>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</si>
  <si>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</si>
  <si>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</si>
  <si>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</si>
  <si>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</si>
  <si>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</si>
  <si>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</si>
  <si>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</si>
  <si>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</si>
  <si>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</si>
  <si>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</si>
  <si>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</si>
  <si>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</si>
  <si>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</si>
  <si>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</si>
  <si>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</si>
  <si>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</si>
  <si>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</si>
  <si>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</si>
  <si>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</si>
  <si>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</si>
  <si>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</si>
  <si>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</si>
  <si>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</si>
  <si>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</si>
  <si>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</si>
  <si>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</si>
  <si>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</si>
  <si>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</si>
  <si>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</si>
  <si>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</si>
  <si>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</si>
  <si>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</si>
  <si>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</si>
  <si>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</si>
  <si>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</si>
  <si>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</si>
  <si>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</si>
  <si>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</si>
  <si>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</si>
  <si>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</si>
  <si>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</si>
  <si>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</si>
  <si>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</si>
  <si>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</si>
  <si>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</si>
  <si>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</si>
  <si>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</si>
  <si>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</si>
  <si>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</si>
  <si>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</si>
  <si>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</si>
  <si>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</si>
  <si>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</si>
  <si>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</si>
  <si>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</si>
  <si>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</si>
  <si>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</si>
  <si>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</si>
  <si>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</si>
  <si>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</si>
  <si>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</si>
  <si>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</si>
  <si>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</si>
  <si>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</si>
  <si>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</si>
  <si>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</si>
  <si>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</si>
  <si>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</si>
  <si>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</si>
  <si>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</si>
  <si>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</si>
  <si>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</si>
  <si>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</si>
  <si>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</si>
  <si>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</si>
  <si>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</si>
  <si>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</si>
  <si>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</si>
  <si>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</si>
  <si>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</si>
  <si>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</si>
  <si>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</si>
  <si>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</si>
  <si>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</si>
  <si>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</si>
  <si>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</si>
  <si>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</si>
  <si>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</si>
  <si>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</si>
  <si>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</si>
  <si>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</si>
  <si>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</si>
  <si>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</si>
  <si>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</si>
  <si>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</si>
  <si>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</si>
  <si>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</si>
  <si>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</si>
  <si>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</si>
  <si>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</si>
  <si>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</si>
  <si>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</si>
  <si>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</si>
  <si>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</si>
  <si>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</si>
  <si>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</si>
  <si>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</si>
  <si>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</si>
  <si>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</si>
  <si>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</si>
  <si>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</si>
  <si>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</si>
  <si>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</si>
  <si>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</si>
  <si>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</si>
  <si>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</si>
  <si>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</si>
  <si>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</si>
  <si>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</si>
  <si>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</si>
  <si>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</si>
  <si>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</si>
  <si>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</si>
  <si>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</si>
  <si>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</si>
  <si>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</si>
  <si>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</si>
  <si>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</si>
  <si>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</si>
  <si>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</si>
  <si>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</si>
  <si>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</si>
  <si>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</si>
  <si>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</si>
  <si>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</si>
  <si>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</si>
  <si>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</si>
  <si>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</si>
  <si>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</si>
  <si>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</si>
  <si>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</si>
  <si>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</si>
  <si>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</si>
  <si>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</si>
  <si>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</si>
  <si>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</si>
  <si>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</si>
  <si>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</si>
  <si>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</si>
  <si>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</si>
  <si>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</si>
  <si>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</si>
  <si>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</si>
  <si>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</si>
  <si>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</si>
  <si>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</si>
  <si>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</si>
  <si>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</si>
  <si>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</si>
  <si>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</si>
  <si>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</si>
  <si>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</si>
  <si>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</si>
  <si>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</si>
  <si>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</si>
  <si>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</si>
  <si>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</si>
  <si>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</si>
  <si>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</si>
  <si>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</si>
  <si>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</si>
  <si>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</si>
  <si>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</si>
  <si>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</si>
  <si>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</si>
  <si>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</si>
  <si>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</si>
  <si>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</si>
  <si>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</si>
  <si>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</si>
  <si>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</si>
  <si>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</si>
  <si>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</si>
  <si>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</si>
  <si>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</si>
  <si>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</si>
  <si>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</si>
  <si>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</si>
  <si>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</si>
  <si>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</si>
  <si>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</si>
  <si>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</si>
  <si>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</si>
  <si>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</si>
  <si>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</si>
  <si>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</si>
  <si>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</si>
  <si>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</si>
  <si>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</si>
  <si>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</si>
  <si>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</si>
  <si>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</si>
  <si>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</si>
  <si>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</si>
  <si>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</si>
  <si>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</si>
  <si>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</si>
  <si>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</si>
  <si>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</si>
  <si>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</si>
  <si>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</si>
  <si>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</si>
  <si>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</si>
  <si>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</si>
  <si>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</si>
  <si>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</si>
  <si>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</si>
  <si>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</si>
  <si>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</si>
  <si>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</si>
  <si>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</si>
  <si>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</si>
  <si>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</si>
  <si>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</si>
  <si>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</si>
  <si>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</si>
  <si>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</si>
  <si>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</si>
  <si>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</si>
  <si>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</si>
  <si>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</si>
  <si>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</si>
  <si>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</si>
  <si>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</si>
  <si>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</si>
  <si>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</si>
  <si>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</si>
  <si>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</si>
  <si>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</si>
  <si>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</si>
  <si>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</si>
  <si>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</si>
  <si>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</si>
  <si>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</si>
  <si>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</si>
  <si>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</si>
  <si>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</si>
  <si>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</si>
  <si>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</si>
  <si>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</si>
  <si>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</si>
  <si>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</si>
  <si>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</si>
  <si>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</si>
  <si>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</si>
  <si>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</si>
  <si>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</si>
  <si>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</si>
  <si>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</si>
  <si>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</si>
  <si>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</si>
  <si>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</si>
  <si>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</si>
  <si>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</si>
  <si>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</si>
  <si>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</si>
  <si>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</si>
  <si>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</si>
  <si>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</si>
  <si>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</si>
  <si>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</si>
  <si>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</si>
  <si>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</si>
  <si>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</si>
  <si>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</si>
  <si>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</si>
  <si>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</si>
  <si>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</si>
  <si>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</si>
  <si>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</si>
  <si>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</si>
  <si>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</si>
  <si>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</si>
  <si>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</si>
  <si>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</si>
  <si>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</si>
  <si>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</si>
  <si>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</si>
  <si>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</si>
  <si>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</si>
  <si>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</si>
  <si>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</si>
  <si>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</si>
  <si>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</si>
  <si>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</si>
  <si>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</si>
  <si>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</si>
  <si>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</si>
  <si>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</si>
  <si>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</si>
  <si>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</si>
  <si>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</si>
  <si>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</si>
  <si>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</si>
  <si>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</si>
  <si>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</si>
  <si>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</si>
  <si>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</si>
  <si>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</si>
  <si>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</si>
  <si>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</si>
  <si>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</si>
  <si>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</si>
  <si>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</si>
  <si>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</si>
  <si>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</si>
  <si>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</si>
  <si>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</si>
  <si>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</si>
  <si>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</si>
  <si>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</si>
  <si>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</si>
  <si>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</si>
  <si>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</si>
  <si>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</si>
  <si>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</si>
  <si>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</si>
  <si>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</si>
  <si>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</si>
  <si>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</si>
  <si>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</si>
  <si>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</si>
  <si>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</si>
  <si>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</si>
  <si>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</si>
  <si>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</si>
  <si>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</si>
  <si>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</si>
  <si>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</si>
  <si>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</si>
  <si>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</si>
  <si>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</si>
  <si>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</si>
  <si>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</si>
  <si>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</si>
  <si>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</si>
  <si>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</si>
  <si>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</si>
  <si>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</si>
  <si>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</si>
  <si>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</si>
  <si>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</si>
  <si>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</si>
  <si>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</si>
  <si>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</si>
  <si>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</si>
  <si>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</si>
  <si>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</si>
  <si>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</si>
  <si>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</si>
  <si>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</si>
  <si>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</si>
  <si>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</si>
  <si>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</si>
  <si>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</si>
  <si>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</si>
  <si>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</si>
  <si>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</si>
  <si>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</si>
  <si>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</si>
  <si>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</si>
  <si>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</si>
  <si>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</si>
  <si>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</si>
  <si>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</si>
  <si>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</si>
  <si>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</si>
  <si>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</si>
  <si>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</si>
  <si>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</si>
  <si>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</si>
  <si>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</si>
  <si>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</si>
  <si>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</si>
  <si>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</si>
  <si>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</si>
  <si>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</si>
  <si>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</si>
  <si>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</si>
  <si>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</si>
  <si>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</si>
  <si>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</si>
  <si>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</si>
  <si>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</si>
  <si>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</si>
  <si>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</si>
  <si>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</si>
  <si>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</si>
  <si>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</si>
  <si>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</si>
  <si>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</si>
  <si>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</si>
  <si>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</si>
  <si>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</si>
  <si>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</si>
  <si>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</si>
  <si>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</si>
  <si>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</si>
  <si>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</si>
  <si>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</si>
  <si>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</si>
  <si>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</si>
  <si>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</si>
  <si>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</si>
  <si>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</si>
  <si>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</si>
  <si>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</si>
  <si>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</si>
  <si>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</si>
  <si>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</si>
  <si>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</si>
  <si>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</si>
  <si>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</si>
  <si>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</si>
  <si>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</si>
  <si>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</si>
  <si>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</si>
  <si>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</si>
  <si>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</si>
  <si>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</si>
  <si>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</si>
  <si>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</si>
  <si>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</si>
  <si>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</si>
  <si>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</si>
  <si>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</si>
  <si>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</si>
  <si>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</si>
  <si>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</si>
  <si>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</si>
  <si>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</si>
  <si>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</si>
  <si>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</si>
  <si>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</si>
  <si>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</si>
  <si>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</si>
  <si>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</si>
  <si>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</si>
  <si>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</si>
  <si>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</si>
  <si>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</si>
  <si>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</si>
  <si>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</si>
  <si>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</si>
  <si>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</si>
  <si>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</si>
  <si>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</si>
  <si>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</si>
  <si>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</si>
  <si>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</si>
  <si>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</si>
  <si>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</si>
  <si>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</si>
  <si>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</si>
  <si>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</si>
  <si>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</si>
  <si>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</si>
  <si>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</si>
  <si>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</si>
  <si>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</si>
  <si>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</si>
  <si>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</si>
  <si>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</si>
  <si>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</si>
  <si>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</si>
  <si>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</si>
  <si>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</si>
  <si>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</si>
  <si>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</si>
  <si>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</si>
  <si>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</si>
  <si>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</si>
  <si>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</si>
  <si>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</si>
  <si>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</si>
  <si>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</si>
  <si>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</si>
  <si>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</si>
  <si>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</si>
  <si>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</si>
  <si>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</si>
  <si>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</si>
  <si>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</si>
  <si>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</si>
  <si>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</si>
  <si>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</si>
  <si>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</si>
  <si>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</si>
  <si>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</si>
  <si>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</si>
  <si>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</si>
  <si>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</si>
  <si>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</si>
  <si>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</si>
  <si>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</si>
  <si>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</si>
  <si>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</si>
  <si>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</si>
  <si>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</si>
  <si>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</si>
  <si>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</si>
  <si>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</si>
  <si>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</si>
  <si>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</si>
  <si>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</si>
  <si>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</si>
  <si>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</si>
  <si>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</si>
  <si>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</si>
  <si>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</si>
  <si>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</si>
  <si>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</si>
  <si>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</si>
  <si>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</si>
  <si>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</si>
  <si>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</si>
  <si>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</si>
  <si>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</si>
  <si>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</si>
  <si>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</si>
  <si>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</si>
  <si>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</si>
  <si>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</si>
  <si>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</si>
  <si>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</si>
  <si>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</si>
  <si>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</si>
  <si>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</si>
  <si>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</si>
  <si>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</si>
  <si>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</si>
  <si>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</si>
  <si>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</si>
  <si>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</si>
  <si>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</si>
  <si>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</si>
  <si>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</si>
  <si>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</si>
  <si>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</si>
  <si>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</si>
  <si>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</si>
  <si>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</si>
  <si>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</si>
  <si>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</si>
  <si>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</si>
  <si>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</si>
  <si>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</si>
  <si>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</si>
  <si>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</si>
  <si>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</si>
  <si>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</si>
  <si>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</si>
  <si>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</si>
  <si>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</si>
  <si>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</si>
  <si>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</si>
  <si>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</si>
  <si>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</si>
  <si>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</si>
  <si>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</si>
  <si>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</si>
  <si>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</si>
  <si>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</si>
  <si>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</si>
  <si>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</si>
  <si>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</si>
  <si>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</si>
  <si>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</si>
  <si>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</si>
  <si>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</si>
  <si>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</si>
  <si>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</si>
  <si>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</si>
  <si>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</si>
  <si>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</si>
  <si>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</si>
  <si>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</si>
  <si>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</si>
  <si>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</si>
  <si>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</si>
  <si>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</si>
  <si>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</si>
  <si>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</si>
  <si>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</si>
  <si>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</si>
  <si>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</si>
  <si>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</si>
  <si>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</si>
  <si>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</si>
  <si>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</si>
  <si>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</si>
  <si>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</si>
  <si>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</si>
  <si>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</si>
  <si>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</si>
  <si>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</si>
  <si>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</si>
  <si>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</si>
  <si>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</si>
  <si>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</si>
  <si>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</si>
  <si>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</si>
  <si>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</si>
  <si>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</si>
  <si>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</si>
  <si>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</si>
  <si>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</si>
  <si>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</si>
  <si>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</si>
  <si>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</si>
  <si>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</si>
  <si>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</si>
  <si>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</si>
  <si>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</si>
  <si>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</si>
  <si>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</si>
  <si>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</si>
  <si>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</si>
  <si>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</si>
  <si>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</si>
  <si>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</si>
  <si>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</si>
  <si>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</si>
  <si>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</si>
  <si>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</si>
  <si>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</si>
  <si>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</si>
  <si>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</si>
  <si>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</si>
  <si>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</si>
  <si>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</si>
  <si>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</si>
  <si>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</si>
  <si>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</si>
  <si>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</si>
  <si>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</si>
  <si>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</si>
  <si>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</si>
  <si>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</si>
  <si>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</si>
  <si>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</si>
  <si>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</si>
  <si>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</si>
  <si>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</si>
  <si>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</si>
  <si>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</si>
  <si>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</si>
  <si>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</si>
  <si>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</si>
  <si>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</si>
  <si>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</si>
  <si>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</si>
  <si>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</si>
  <si>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</si>
  <si>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</si>
  <si>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</si>
  <si>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</si>
  <si>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</si>
  <si>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</si>
  <si>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</si>
  <si>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</si>
  <si>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</si>
  <si>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</si>
  <si>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</si>
  <si>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</si>
  <si>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</si>
  <si>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</si>
  <si>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</si>
  <si>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</si>
  <si>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</si>
  <si>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</si>
  <si>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</si>
  <si>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</si>
  <si>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</si>
  <si>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</si>
  <si>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</si>
  <si>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</si>
  <si>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</si>
  <si>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</si>
  <si>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</si>
  <si>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</si>
  <si>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</si>
  <si>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</si>
  <si>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</si>
  <si>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</si>
  <si>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</si>
  <si>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</si>
  <si>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</si>
  <si>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</si>
  <si>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</si>
  <si>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</si>
  <si>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</si>
  <si>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</si>
  <si>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</si>
  <si>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</si>
  <si>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</si>
  <si>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</si>
  <si>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</si>
  <si>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</si>
  <si>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</si>
  <si>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</si>
  <si>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</si>
  <si>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</si>
  <si>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</si>
  <si>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</si>
  <si>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</si>
  <si>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</si>
  <si>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</si>
  <si>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</si>
  <si>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</si>
  <si>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</si>
  <si>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</si>
  <si>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</si>
  <si>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</si>
  <si>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</si>
  <si>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</si>
  <si>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</si>
  <si>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</si>
  <si>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</si>
  <si>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</si>
  <si>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</si>
  <si>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</si>
  <si>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</si>
  <si>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</si>
  <si>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</si>
  <si>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</si>
  <si>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</si>
  <si>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</si>
  <si>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</si>
  <si>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</si>
  <si>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</si>
  <si>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</si>
  <si>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</si>
  <si>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</si>
  <si>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</si>
  <si>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</si>
  <si>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</si>
  <si>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</si>
  <si>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</si>
  <si>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</si>
  <si>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</si>
  <si>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</si>
  <si>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</si>
  <si>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</si>
  <si>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</si>
  <si>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</si>
  <si>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</si>
  <si>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</si>
  <si>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</si>
  <si>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</si>
  <si>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</si>
  <si>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</si>
  <si>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</si>
  <si>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</si>
  <si>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</si>
  <si>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</si>
  <si>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</si>
  <si>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</si>
  <si>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</si>
  <si>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</si>
  <si>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</si>
  <si>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</si>
  <si>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</si>
  <si>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</si>
  <si>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</si>
  <si>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</si>
  <si>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</si>
  <si>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</si>
  <si>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</si>
  <si>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</si>
  <si>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</si>
  <si>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</si>
  <si>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</si>
  <si>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</si>
  <si>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</si>
  <si>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</si>
  <si>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</si>
  <si>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</si>
  <si>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</si>
  <si>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</si>
  <si>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</si>
  <si>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</si>
  <si>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</si>
  <si>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</si>
  <si>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</si>
  <si>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</si>
  <si>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</si>
  <si>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</si>
  <si>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</si>
  <si>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</si>
  <si>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</si>
  <si>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</si>
  <si>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</si>
  <si>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</si>
  <si>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</si>
  <si>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</si>
  <si>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</si>
  <si>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</si>
  <si>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</si>
  <si>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</si>
  <si>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</si>
  <si>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</si>
  <si>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</si>
  <si>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</si>
  <si>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</si>
  <si>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</si>
  <si>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</si>
  <si>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</si>
  <si>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</si>
  <si>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</si>
  <si>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</si>
  <si>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</si>
  <si>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</si>
  <si>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</si>
  <si>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</si>
  <si>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</si>
  <si>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</si>
  <si>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</si>
  <si>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</si>
  <si>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</si>
  <si>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</si>
  <si>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</si>
  <si>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</si>
  <si>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</si>
  <si>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</si>
  <si>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</si>
  <si>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</si>
  <si>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</si>
  <si>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</si>
  <si>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</si>
  <si>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</si>
  <si>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</si>
  <si>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</si>
  <si>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</si>
  <si>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</si>
  <si>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</si>
  <si>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</si>
  <si>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</si>
  <si>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</si>
  <si>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</si>
  <si>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</si>
  <si>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</si>
  <si>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</si>
  <si>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</si>
  <si>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</si>
  <si>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</si>
  <si>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</si>
  <si>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</si>
  <si>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</si>
  <si>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</si>
  <si>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</si>
  <si>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</si>
  <si>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</si>
  <si>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</si>
  <si>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</si>
  <si>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</si>
  <si>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</si>
  <si>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</si>
  <si>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</si>
  <si>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</si>
  <si>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</si>
  <si>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</si>
  <si>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</si>
  <si>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</si>
  <si>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</si>
  <si>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</si>
  <si>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</si>
  <si>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</si>
  <si>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</si>
  <si>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</si>
  <si>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</si>
  <si>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</si>
  <si>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</si>
  <si>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</si>
  <si>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</si>
  <si>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</si>
  <si>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</si>
  <si>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</si>
  <si>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</si>
  <si>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</si>
  <si>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</si>
  <si>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</si>
  <si>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</si>
  <si>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</si>
  <si>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</si>
  <si>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</si>
  <si>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</si>
  <si>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</si>
  <si>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</si>
  <si>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</si>
  <si>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</si>
  <si>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</si>
  <si>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</si>
  <si>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</si>
  <si>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</si>
  <si>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</si>
  <si>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</si>
  <si>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</si>
  <si>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</si>
  <si>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</si>
  <si>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</si>
  <si>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</si>
  <si>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</si>
  <si>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</si>
  <si>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</si>
  <si>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</si>
  <si>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</si>
  <si>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</si>
  <si>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</si>
  <si>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</si>
  <si>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</si>
  <si>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</si>
  <si>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</si>
  <si>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</si>
  <si>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</si>
  <si>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</si>
  <si>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</si>
  <si>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</si>
  <si>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</si>
  <si>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</si>
  <si>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</si>
  <si>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</si>
  <si>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</si>
  <si>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</si>
  <si>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</si>
  <si>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</si>
  <si>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</si>
  <si>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</si>
  <si>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</si>
  <si>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</si>
  <si>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</si>
  <si>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</si>
  <si>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</si>
  <si>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</si>
  <si>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</si>
  <si>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</si>
  <si>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</si>
  <si>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</si>
  <si>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</si>
  <si>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</si>
  <si>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</si>
  <si>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</si>
  <si>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</si>
  <si>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</si>
  <si>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</si>
  <si>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</si>
  <si>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</si>
  <si>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</si>
  <si>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</si>
  <si>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</si>
  <si>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</si>
  <si>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</si>
  <si>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</si>
  <si>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</si>
  <si>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</si>
  <si>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</si>
  <si>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</si>
  <si>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</si>
  <si>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</si>
  <si>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</si>
  <si>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</si>
  <si>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</si>
  <si>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</si>
  <si>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</si>
  <si>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</si>
  <si>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</si>
  <si>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</si>
  <si>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</si>
  <si>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</si>
  <si>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</si>
  <si>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</si>
  <si>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</si>
  <si>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</si>
  <si>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</si>
  <si>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</si>
  <si>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</si>
  <si>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</si>
  <si>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</si>
  <si>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</si>
  <si>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</si>
  <si>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</si>
  <si>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</si>
  <si>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</si>
  <si>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</si>
  <si>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</si>
  <si>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</si>
  <si>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</si>
  <si>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</si>
  <si>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</si>
  <si>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</si>
  <si>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</si>
  <si>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</si>
  <si>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</si>
  <si>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</si>
  <si>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</si>
  <si>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</si>
  <si>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</si>
  <si>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</si>
  <si>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</si>
  <si>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</si>
  <si>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</si>
  <si>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</si>
  <si>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</si>
  <si>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</si>
  <si>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</si>
  <si>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</si>
  <si>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</si>
  <si>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</si>
  <si>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</si>
  <si>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</si>
  <si>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</si>
  <si>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</si>
  <si>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</si>
  <si>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</si>
  <si>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</si>
  <si>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</si>
  <si>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</si>
  <si>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</si>
  <si>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</si>
  <si>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</si>
  <si>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</si>
  <si>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</si>
  <si>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</si>
  <si>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</si>
  <si>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</si>
  <si>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</si>
  <si>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</si>
  <si>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</si>
  <si>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</si>
  <si>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</si>
  <si>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</si>
  <si>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</si>
  <si>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</si>
  <si>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</si>
  <si>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</si>
  <si>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</si>
  <si>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</si>
  <si>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</si>
  <si>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</si>
  <si>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</si>
  <si>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</si>
  <si>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</si>
  <si>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</si>
  <si>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</si>
  <si>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</si>
  <si>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</si>
  <si>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</si>
  <si>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</si>
  <si>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</si>
  <si>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</si>
  <si>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</si>
  <si>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</si>
  <si>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</si>
  <si>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</si>
  <si>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</si>
  <si>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</si>
  <si>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</si>
  <si>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</si>
  <si>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</si>
  <si>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</si>
  <si>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</si>
  <si>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</si>
  <si>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</si>
  <si>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</si>
  <si>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</si>
  <si>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</si>
  <si>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</si>
  <si>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</si>
  <si>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</si>
  <si>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</si>
  <si>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</si>
  <si>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</si>
  <si>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</si>
  <si>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</si>
  <si>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</si>
  <si>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</si>
  <si>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</si>
  <si>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</si>
  <si>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</si>
  <si>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</si>
  <si>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</si>
  <si>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</si>
  <si>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</si>
  <si>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</si>
  <si>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</si>
  <si>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</si>
  <si>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</si>
  <si>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</si>
  <si>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</si>
  <si>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</si>
  <si>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</si>
  <si>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</si>
  <si>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</si>
  <si>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</si>
  <si>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</si>
  <si>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</si>
  <si>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</si>
  <si>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</si>
  <si>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</si>
  <si>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</si>
  <si>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</si>
  <si>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</si>
  <si>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</si>
  <si>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</si>
  <si>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</si>
  <si>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</si>
  <si>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</si>
  <si>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</si>
  <si>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</si>
  <si>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</si>
  <si>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</si>
  <si>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</si>
  <si>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</si>
  <si>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</si>
  <si>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</si>
  <si>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</si>
  <si>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</si>
  <si>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</si>
  <si>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</si>
  <si>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</si>
  <si>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</si>
  <si>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</si>
  <si>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</si>
  <si>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</si>
  <si>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</si>
  <si>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</si>
  <si>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</si>
  <si>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</si>
  <si>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</si>
  <si>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</si>
  <si>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</si>
  <si>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</si>
  <si>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</si>
  <si>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</si>
  <si>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</si>
  <si>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</si>
  <si>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</si>
  <si>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</si>
  <si>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</si>
  <si>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</si>
  <si>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</si>
  <si>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</si>
  <si>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</si>
  <si>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</si>
  <si>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</si>
  <si>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</si>
  <si>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</si>
  <si>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</si>
  <si>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</si>
  <si>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</si>
  <si>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</si>
  <si>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</si>
  <si>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</si>
  <si>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</si>
  <si>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</si>
  <si>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</si>
  <si>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</si>
  <si>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</si>
  <si>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</si>
  <si>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</si>
  <si>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</si>
  <si>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</si>
  <si>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</si>
  <si>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</si>
  <si>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</si>
  <si>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</si>
  <si>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</si>
  <si>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</si>
  <si>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</si>
  <si>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</si>
  <si>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</si>
  <si>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</si>
  <si>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</si>
  <si>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</si>
  <si>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</si>
  <si>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</si>
  <si>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</si>
  <si>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</si>
  <si>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</si>
  <si>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</si>
  <si>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</si>
  <si>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</si>
  <si>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</si>
  <si>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</si>
  <si>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</si>
  <si>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</si>
  <si>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</si>
  <si>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</si>
  <si>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</si>
  <si>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</si>
  <si>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</si>
  <si>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</si>
  <si>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</si>
  <si>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</si>
  <si>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</si>
  <si>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</si>
  <si>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</si>
  <si>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</si>
  <si>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</si>
  <si>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</si>
  <si>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</si>
  <si>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</si>
  <si>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</si>
  <si>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</si>
  <si>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</si>
  <si>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</si>
  <si>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</si>
  <si>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</si>
  <si>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</si>
  <si>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</si>
  <si>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</si>
  <si>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</si>
  <si>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</si>
  <si>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</si>
  <si>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</si>
  <si>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</si>
  <si>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</si>
  <si>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</si>
  <si>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</si>
  <si>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</si>
  <si>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</si>
  <si>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</si>
  <si>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</si>
  <si>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</si>
  <si>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</si>
  <si>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</si>
  <si>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</si>
  <si>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</si>
  <si>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</si>
  <si>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</si>
  <si>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</si>
  <si>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</si>
  <si>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</si>
  <si>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</si>
  <si>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</si>
  <si>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</si>
  <si>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</si>
  <si>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</si>
  <si>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</si>
  <si>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</si>
  <si>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</si>
  <si>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</si>
  <si>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</si>
  <si>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</si>
  <si>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</si>
  <si>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</si>
  <si>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</si>
  <si>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</si>
  <si>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</si>
  <si>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</si>
  <si>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</si>
  <si>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</si>
  <si>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</si>
  <si>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</si>
  <si>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</si>
  <si>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</si>
  <si>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</si>
  <si>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</si>
  <si>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</si>
  <si>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</si>
  <si>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</si>
  <si>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</si>
  <si>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</si>
  <si>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</si>
  <si>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</si>
  <si>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</si>
  <si>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</si>
  <si>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</si>
  <si>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</si>
  <si>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</si>
  <si>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</si>
  <si>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</si>
  <si>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</si>
  <si>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</si>
  <si>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</si>
  <si>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</si>
  <si>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</si>
  <si>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</si>
  <si>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</si>
  <si>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</si>
  <si>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</si>
  <si>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</si>
  <si>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</si>
  <si>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</si>
  <si>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</si>
  <si>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</si>
  <si>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</si>
  <si>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</si>
  <si>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</si>
  <si>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</si>
  <si>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</si>
  <si>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</si>
  <si>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</si>
  <si>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</si>
  <si>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</si>
  <si>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</si>
  <si>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</si>
  <si>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</si>
  <si>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</si>
  <si>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</si>
  <si>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</si>
  <si>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</si>
  <si>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</si>
  <si>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</si>
  <si>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</si>
  <si>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</si>
  <si>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</si>
  <si>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</si>
  <si>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</si>
  <si>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</si>
  <si>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</si>
  <si>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</si>
  <si>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</si>
  <si>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</si>
  <si>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</si>
  <si>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</si>
  <si>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</si>
  <si>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</si>
  <si>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</si>
  <si>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</si>
  <si>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</si>
  <si>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</si>
  <si>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</si>
  <si>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</si>
  <si>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</si>
  <si>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</si>
  <si>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</si>
  <si>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</si>
  <si>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</si>
  <si>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</si>
  <si>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</si>
  <si>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</si>
  <si>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</si>
  <si>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</si>
  <si>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</si>
  <si>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</si>
  <si>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</si>
  <si>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</si>
  <si>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</si>
  <si>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</si>
  <si>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</si>
  <si>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</si>
  <si>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</si>
  <si>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</si>
  <si>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</si>
  <si>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</si>
  <si>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</si>
  <si>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</si>
  <si>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</si>
  <si>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</si>
  <si>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</si>
  <si>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</si>
  <si>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</si>
  <si>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</si>
  <si>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</si>
  <si>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</si>
  <si>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</si>
  <si>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</si>
  <si>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</si>
  <si>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</si>
  <si>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</si>
  <si>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</si>
  <si>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</si>
  <si>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</si>
  <si>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</si>
  <si>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</si>
  <si>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</si>
  <si>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</si>
  <si>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</si>
  <si>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</si>
  <si>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</si>
  <si>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</si>
  <si>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</si>
  <si>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</si>
  <si>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</si>
  <si>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</si>
  <si>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</si>
  <si>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</si>
  <si>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</si>
  <si>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</si>
  <si>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</si>
  <si>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</si>
  <si>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</si>
  <si>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</si>
  <si>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</si>
  <si>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</si>
  <si>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</si>
  <si>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</si>
  <si>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</si>
  <si>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</si>
  <si>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</si>
  <si>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</si>
  <si>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</si>
  <si>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</si>
  <si>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</si>
  <si>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</si>
  <si>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</si>
  <si>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</si>
  <si>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</si>
  <si>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</si>
  <si>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</si>
  <si>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</si>
  <si>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</si>
  <si>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</si>
  <si>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</si>
  <si>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</si>
  <si>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</si>
  <si>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</si>
  <si>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</si>
  <si>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</si>
  <si>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</si>
  <si>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</si>
  <si>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</si>
  <si>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</si>
  <si>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</si>
  <si>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</si>
  <si>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</si>
  <si>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</si>
  <si>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</si>
  <si>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</si>
  <si>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</si>
  <si>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</si>
  <si>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</si>
  <si>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</si>
  <si>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</si>
  <si>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</si>
  <si>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</si>
  <si>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</si>
  <si>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</si>
  <si>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</si>
  <si>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</si>
  <si>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</si>
  <si>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</si>
  <si>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</si>
  <si>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</si>
  <si>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</si>
  <si>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</si>
  <si>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</si>
  <si>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</si>
  <si>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</si>
  <si>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</si>
  <si>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</si>
  <si>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</si>
  <si>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</si>
  <si>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</si>
  <si>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</si>
  <si>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</si>
  <si>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</si>
  <si>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</si>
  <si>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</si>
  <si>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</si>
  <si>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</si>
  <si>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</si>
  <si>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</si>
  <si>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</si>
  <si>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</si>
  <si>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</si>
  <si>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</si>
  <si>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</si>
  <si>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</si>
  <si>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</si>
  <si>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</si>
  <si>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</si>
  <si>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</si>
  <si>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</si>
  <si>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</si>
  <si>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</si>
  <si>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</si>
  <si>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</si>
  <si>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</si>
  <si>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</si>
  <si>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</si>
  <si>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</si>
  <si>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</si>
  <si>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</si>
  <si>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</si>
  <si>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</si>
  <si>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</si>
  <si>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</si>
  <si>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</si>
  <si>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</si>
  <si>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</si>
  <si>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</si>
  <si>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</si>
  <si>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</si>
  <si>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</si>
  <si>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</si>
  <si>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</si>
  <si>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</si>
  <si>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</si>
  <si>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</si>
  <si>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</si>
  <si>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</si>
  <si>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</si>
  <si>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</si>
  <si>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</si>
  <si>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</si>
  <si>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</si>
  <si>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</si>
  <si>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</si>
  <si>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</si>
  <si>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</si>
  <si>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</si>
  <si>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</si>
  <si>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</si>
  <si>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</si>
  <si>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</si>
  <si>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</si>
  <si>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</si>
  <si>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</si>
  <si>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</si>
  <si>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</si>
  <si>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</si>
  <si>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</si>
  <si>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</si>
  <si>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</si>
  <si>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</si>
  <si>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</si>
  <si>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</si>
  <si>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</si>
  <si>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</si>
  <si>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</si>
  <si>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</si>
  <si>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</si>
  <si>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</si>
  <si>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</si>
  <si>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</si>
  <si>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</si>
  <si>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</si>
  <si>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</si>
  <si>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</si>
  <si>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</si>
  <si>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</si>
  <si>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</si>
  <si>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</si>
  <si>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</si>
  <si>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</si>
  <si>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</si>
  <si>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</si>
  <si>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</si>
  <si>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</si>
  <si>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</si>
  <si>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</si>
  <si>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</si>
  <si>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</si>
  <si>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</si>
  <si>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</si>
  <si>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</si>
  <si>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</si>
  <si>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</si>
  <si>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</si>
  <si>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</si>
  <si>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</si>
  <si>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</si>
  <si>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</si>
  <si>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</si>
  <si>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</si>
  <si>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</si>
  <si>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</si>
  <si>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</si>
  <si>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</si>
  <si>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</si>
  <si>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</si>
  <si>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</si>
  <si>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</si>
  <si>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</si>
  <si>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</si>
  <si>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</si>
  <si>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</si>
  <si>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</si>
  <si>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</si>
  <si>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</si>
  <si>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</si>
  <si>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</si>
  <si>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</si>
  <si>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</si>
  <si>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</si>
  <si>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</si>
  <si>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</si>
  <si>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</si>
  <si>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</si>
  <si>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</si>
  <si>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</si>
  <si>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</si>
  <si>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</si>
  <si>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</si>
  <si>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</si>
  <si>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</si>
  <si>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</si>
  <si>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</si>
  <si>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</si>
  <si>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</si>
  <si>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</si>
  <si>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</si>
  <si>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</si>
  <si>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</si>
  <si>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</si>
  <si>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</si>
  <si>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</si>
  <si>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</si>
  <si>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</si>
  <si>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</si>
  <si>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</si>
  <si>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</si>
  <si>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</si>
  <si>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</si>
  <si>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</si>
  <si>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</si>
  <si>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</si>
  <si>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</si>
  <si>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</si>
  <si>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</si>
  <si>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</si>
  <si>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</si>
  <si>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</si>
  <si>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</si>
  <si>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</si>
  <si>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</si>
  <si>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</si>
  <si>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</si>
  <si>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</si>
  <si>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</si>
  <si>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</si>
  <si>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</si>
  <si>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</si>
  <si>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</si>
  <si>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</si>
  <si>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</si>
  <si>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</si>
  <si>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</si>
  <si>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</si>
  <si>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</si>
  <si>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</si>
  <si>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</si>
  <si>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</si>
  <si>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</si>
  <si>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</si>
  <si>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</si>
  <si>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</si>
  <si>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</si>
  <si>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</si>
  <si>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</si>
  <si>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</si>
  <si>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</si>
  <si>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</si>
  <si>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</si>
  <si>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</si>
  <si>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</si>
  <si>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</si>
  <si>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</si>
  <si>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</si>
  <si>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</si>
  <si>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</si>
  <si>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</si>
  <si>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</si>
  <si>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</si>
  <si>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</si>
  <si>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</si>
  <si>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</si>
  <si>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</si>
  <si>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</si>
  <si>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</si>
  <si>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</si>
  <si>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</si>
  <si>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</si>
  <si>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</si>
  <si>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</si>
  <si>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</si>
  <si>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</si>
  <si>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</si>
  <si>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</si>
  <si>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</si>
  <si>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</si>
  <si>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</si>
  <si>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</si>
  <si>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</si>
  <si>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</si>
  <si>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</si>
  <si>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</si>
  <si>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</si>
  <si>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</si>
  <si>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</si>
  <si>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</si>
  <si>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</si>
  <si>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</si>
  <si>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</si>
  <si>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</si>
  <si>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</si>
  <si>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</si>
  <si>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</si>
  <si>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</si>
  <si>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</si>
  <si>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</si>
  <si>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</si>
  <si>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</si>
  <si>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</si>
  <si>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</si>
  <si>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</si>
  <si>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</si>
  <si>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</si>
  <si>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</si>
  <si>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</si>
  <si>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</si>
  <si>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</si>
  <si>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</si>
  <si>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</si>
  <si>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</si>
  <si>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</si>
  <si>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</si>
  <si>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</si>
  <si>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</si>
  <si>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</si>
  <si>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</si>
  <si>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</si>
  <si>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</si>
  <si>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</si>
  <si>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</si>
  <si>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</si>
  <si>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</si>
  <si>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</si>
  <si>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</si>
  <si>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</si>
  <si>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</si>
  <si>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</si>
  <si>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</si>
  <si>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</si>
  <si>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</si>
  <si>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</si>
  <si>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</si>
  <si>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</si>
  <si>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</si>
  <si>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</si>
  <si>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</si>
  <si>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</si>
  <si>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</si>
  <si>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</si>
  <si>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</si>
  <si>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</si>
  <si>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</si>
  <si>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</si>
  <si>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</si>
  <si>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</si>
  <si>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</si>
  <si>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</si>
  <si>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</si>
  <si>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</si>
  <si>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</si>
  <si>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</si>
  <si>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</si>
  <si>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</si>
  <si>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</si>
  <si>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</si>
  <si>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</si>
  <si>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</si>
  <si>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</si>
  <si>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</si>
  <si>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</si>
  <si>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</si>
  <si>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</si>
  <si>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</si>
  <si>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</si>
  <si>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</si>
  <si>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</si>
  <si>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</si>
  <si>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</si>
  <si>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</si>
  <si>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</si>
  <si>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</si>
  <si>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</si>
  <si>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</si>
  <si>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</si>
  <si>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</si>
  <si>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</si>
  <si>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</si>
  <si>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</si>
  <si>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</si>
  <si>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</si>
  <si>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</si>
  <si>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</si>
  <si>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</si>
  <si>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</si>
  <si>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</si>
  <si>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</si>
  <si>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</si>
  <si>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</si>
  <si>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</si>
  <si>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</si>
  <si>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</si>
  <si>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</si>
  <si>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</si>
  <si>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</si>
  <si>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</si>
  <si>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</si>
  <si>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</si>
  <si>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</si>
  <si>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</si>
  <si>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</si>
  <si>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</si>
  <si>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</si>
  <si>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</si>
  <si>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</si>
  <si>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</si>
  <si>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</si>
  <si>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</si>
  <si>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</si>
  <si>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</si>
  <si>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</si>
  <si>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</si>
  <si>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</si>
  <si>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</si>
  <si>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</si>
  <si>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</si>
  <si>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</si>
  <si>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</si>
  <si>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</si>
  <si>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</si>
  <si>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</si>
  <si>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</si>
  <si>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</si>
  <si>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</si>
  <si>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</si>
  <si>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</si>
  <si>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</si>
  <si>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</si>
  <si>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</si>
  <si>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</si>
  <si>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</si>
  <si>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</si>
  <si>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</si>
  <si>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</si>
  <si>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</si>
  <si>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</si>
  <si>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</si>
  <si>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</si>
  <si>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</si>
  <si>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</si>
  <si>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</si>
  <si>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</si>
  <si>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</si>
  <si>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</si>
  <si>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</si>
  <si>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</si>
  <si>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</si>
  <si>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</si>
  <si>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</si>
  <si>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</si>
  <si>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</si>
  <si>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</si>
  <si>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</si>
  <si>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</si>
  <si>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</si>
  <si>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</si>
  <si>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</si>
  <si>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</si>
  <si>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</si>
  <si>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</si>
  <si>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</si>
  <si>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</si>
  <si>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</si>
  <si>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</si>
  <si>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</si>
  <si>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</si>
  <si>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</si>
  <si>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</si>
  <si>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</si>
  <si>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</si>
  <si>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</si>
  <si>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</si>
  <si>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</si>
  <si>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</si>
  <si>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</si>
  <si>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</si>
  <si>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</si>
  <si>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</si>
  <si>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</si>
  <si>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</si>
  <si>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</si>
  <si>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</si>
  <si>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</si>
  <si>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</si>
  <si>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</si>
  <si>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</si>
  <si>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</si>
  <si>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</si>
  <si>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</si>
  <si>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</si>
  <si>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</si>
  <si>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</si>
  <si>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</si>
  <si>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</si>
  <si>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</si>
  <si>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</si>
  <si>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</si>
  <si>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</si>
  <si>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</si>
  <si>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</si>
  <si>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</si>
  <si>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</si>
  <si>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</si>
  <si>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</si>
  <si>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</si>
  <si>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</si>
  <si>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</si>
  <si>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</si>
  <si>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</si>
  <si>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</si>
  <si>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</si>
  <si>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</si>
  <si>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</si>
  <si>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</si>
  <si>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</si>
  <si>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</si>
  <si>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</si>
  <si>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</si>
  <si>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</si>
  <si>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</si>
  <si>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</si>
  <si>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</si>
  <si>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</si>
  <si>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</si>
  <si>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</si>
  <si>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</si>
  <si>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</si>
  <si>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</si>
  <si>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</si>
  <si>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</si>
  <si>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</si>
  <si>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</si>
  <si>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</si>
  <si>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</si>
  <si>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</si>
  <si>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</si>
  <si>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</si>
  <si>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</si>
  <si>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</si>
  <si>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</si>
  <si>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</si>
  <si>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</si>
  <si>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</si>
  <si>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</si>
  <si>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</si>
  <si>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</si>
  <si>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</si>
  <si>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</si>
  <si>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</si>
  <si>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</si>
  <si>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</si>
  <si>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</si>
  <si>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</si>
  <si>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</si>
  <si>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</si>
  <si>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</si>
  <si>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</si>
  <si>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</si>
  <si>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</si>
  <si>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</si>
  <si>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</si>
  <si>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</si>
  <si>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</si>
  <si>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</si>
  <si>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</si>
  <si>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</si>
  <si>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</si>
  <si>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</si>
  <si>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</si>
  <si>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</si>
  <si>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</si>
  <si>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</si>
  <si>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</si>
  <si>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</si>
  <si>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</si>
  <si>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</si>
  <si>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</si>
  <si>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</si>
  <si>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</si>
  <si>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</si>
  <si>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</si>
  <si>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</si>
  <si>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</si>
  <si>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</si>
  <si>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</si>
  <si>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</si>
  <si>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</si>
  <si>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</si>
  <si>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</si>
  <si>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</si>
  <si>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</si>
  <si>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</si>
  <si>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</si>
  <si>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</si>
  <si>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</si>
  <si>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</si>
  <si>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</si>
  <si>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</si>
  <si>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</si>
  <si>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</si>
  <si>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</si>
  <si>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</si>
  <si>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</si>
  <si>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</si>
  <si>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</si>
  <si>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</si>
  <si>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</si>
  <si>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</si>
  <si>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</si>
  <si>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</si>
  <si>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</si>
  <si>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</si>
  <si>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</si>
  <si>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</si>
  <si>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</si>
  <si>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</si>
  <si>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</si>
  <si>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</si>
  <si>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</si>
  <si>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</si>
  <si>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</si>
  <si>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</si>
  <si>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</si>
  <si>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</si>
  <si>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</si>
  <si>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</si>
  <si>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</si>
  <si>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</si>
  <si>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</si>
  <si>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</si>
  <si>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</si>
  <si>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</si>
  <si>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</si>
  <si>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</si>
  <si>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</si>
  <si>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</si>
  <si>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</si>
  <si>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</si>
  <si>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</si>
  <si>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</si>
  <si>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</si>
  <si>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</si>
  <si>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</si>
  <si>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</si>
  <si>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</si>
  <si>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</si>
  <si>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</si>
  <si>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</si>
  <si>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</si>
  <si>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</si>
  <si>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</si>
  <si>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</si>
  <si>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</si>
  <si>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</si>
  <si>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</si>
  <si>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</si>
  <si>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</si>
  <si>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</si>
  <si>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</si>
  <si>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</si>
  <si>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</si>
  <si>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</si>
  <si>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</si>
  <si>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</si>
  <si>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</si>
  <si>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</si>
  <si>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</si>
  <si>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</si>
  <si>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</si>
  <si>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</si>
  <si>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</si>
  <si>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</si>
  <si>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</si>
  <si>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</si>
  <si>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</si>
  <si>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</si>
  <si>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</si>
  <si>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</si>
  <si>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</si>
  <si>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</si>
  <si>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</si>
  <si>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</si>
  <si>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</si>
  <si>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</si>
  <si>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</si>
  <si>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</si>
  <si>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</si>
  <si>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</si>
  <si>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</si>
  <si>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</si>
  <si>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</si>
  <si>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</si>
  <si>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</si>
  <si>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</si>
  <si>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</si>
  <si>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</si>
  <si>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</si>
  <si>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</si>
  <si>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</si>
  <si>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</si>
  <si>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</si>
  <si>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</si>
  <si>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</si>
  <si>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</si>
  <si>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</si>
  <si>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</si>
  <si>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</si>
  <si>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</si>
  <si>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</si>
  <si>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</si>
  <si>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</si>
  <si>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</si>
  <si>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</si>
  <si>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</si>
  <si>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</si>
  <si>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</si>
  <si>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</si>
  <si>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</si>
  <si>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</si>
  <si>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</si>
  <si>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</si>
  <si>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</si>
  <si>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</si>
  <si>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</si>
  <si>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</si>
  <si>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</si>
  <si>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</si>
  <si>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</si>
  <si>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</si>
  <si>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</si>
  <si>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</si>
  <si>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</si>
  <si>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</si>
  <si>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</si>
  <si>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</si>
  <si>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</si>
  <si>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</si>
  <si>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</si>
  <si>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</si>
  <si>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</si>
  <si>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</si>
  <si>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</si>
  <si>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</si>
  <si>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</si>
  <si>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</si>
  <si>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</si>
  <si>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</si>
  <si>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</si>
  <si>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</si>
  <si>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</si>
  <si>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</si>
  <si>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</si>
  <si>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</si>
  <si>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</si>
  <si>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</si>
  <si>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</si>
  <si>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</si>
  <si>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</si>
  <si>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</si>
  <si>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</si>
  <si>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</si>
  <si>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</si>
  <si>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</si>
  <si>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</si>
  <si>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</si>
  <si>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</si>
  <si>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</si>
  <si>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</si>
  <si>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</si>
  <si>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</si>
  <si>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</si>
  <si>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</si>
  <si>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</si>
  <si>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</si>
  <si>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</si>
  <si>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</si>
  <si>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</si>
  <si>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</si>
  <si>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</si>
  <si>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</si>
  <si>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</si>
  <si>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</si>
  <si>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</si>
  <si>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</si>
  <si>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</si>
  <si>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</si>
  <si>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</si>
  <si>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</si>
  <si>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</si>
  <si>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</si>
  <si>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</si>
  <si>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</si>
  <si>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</si>
  <si>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</si>
  <si>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</si>
  <si>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</si>
  <si>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</si>
  <si>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</si>
  <si>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</si>
  <si>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</si>
  <si>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</si>
  <si>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</si>
  <si>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</si>
  <si>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</si>
  <si>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</si>
  <si>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</si>
  <si>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</si>
  <si>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</si>
  <si>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</si>
  <si>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</si>
  <si>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</si>
  <si>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</si>
  <si>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</si>
  <si>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</si>
  <si>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</si>
  <si>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</si>
  <si>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</si>
  <si>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</si>
  <si>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</si>
  <si>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</si>
  <si>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</si>
  <si>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</si>
  <si>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</si>
  <si>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</si>
  <si>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</si>
  <si>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</si>
  <si>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</si>
  <si>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</si>
  <si>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</si>
  <si>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</si>
  <si>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</si>
  <si>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</si>
  <si>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</si>
  <si>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</si>
  <si>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</si>
  <si>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</si>
  <si>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</si>
  <si>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</si>
  <si>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</si>
  <si>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</si>
  <si>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</si>
  <si>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</si>
  <si>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</si>
  <si>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</si>
  <si>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</si>
  <si>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</si>
  <si>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</si>
  <si>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</si>
  <si>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</si>
  <si>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</si>
  <si>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</si>
  <si>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</si>
  <si>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</si>
  <si>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</si>
  <si>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</si>
  <si>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</si>
  <si>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</si>
  <si>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</si>
  <si>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</si>
  <si>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</si>
  <si>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</si>
  <si>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</si>
  <si>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</si>
  <si>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</si>
  <si>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</si>
  <si>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</si>
  <si>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</si>
  <si>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</si>
  <si>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</si>
  <si>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</si>
  <si>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</si>
  <si>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</si>
  <si>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</si>
  <si>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</si>
  <si>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</si>
  <si>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</si>
  <si>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</si>
  <si>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</si>
  <si>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</si>
  <si>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</si>
  <si>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</si>
  <si>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</si>
  <si>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</si>
  <si>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</si>
  <si>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</si>
  <si>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</si>
  <si>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</si>
  <si>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</si>
  <si>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</si>
  <si>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</si>
  <si>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</si>
  <si>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</si>
  <si>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</si>
  <si>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</si>
  <si>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</si>
  <si>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</si>
  <si>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</si>
  <si>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</si>
  <si>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</si>
  <si>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</si>
  <si>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</si>
  <si>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</si>
  <si>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</si>
  <si>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</si>
  <si>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</si>
  <si>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</si>
  <si>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</si>
  <si>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</si>
  <si>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</si>
  <si>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</si>
  <si>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</si>
  <si>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</si>
  <si>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</si>
  <si>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</si>
  <si>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</si>
  <si>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</si>
  <si>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</si>
  <si>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</si>
  <si>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</si>
  <si>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</si>
  <si>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</si>
  <si>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</si>
  <si>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</si>
  <si>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</si>
  <si>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</si>
  <si>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</si>
  <si>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</si>
  <si>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</si>
  <si>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</si>
  <si>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</si>
  <si>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</si>
  <si>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</si>
  <si>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</si>
  <si>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</si>
  <si>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</si>
  <si>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</si>
  <si>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</si>
  <si>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</si>
  <si>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</si>
  <si>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</si>
  <si>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</si>
  <si>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</si>
  <si>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</si>
  <si>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</si>
  <si>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</si>
  <si>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</si>
  <si>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</si>
  <si>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</si>
  <si>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</si>
  <si>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</si>
  <si>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</si>
  <si>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</si>
  <si>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</si>
  <si>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</si>
  <si>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</si>
  <si>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</si>
  <si>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</si>
  <si>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</si>
  <si>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</si>
  <si>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</si>
  <si>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</si>
  <si>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</si>
  <si>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</si>
  <si>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</si>
  <si>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</si>
  <si>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</si>
  <si>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</si>
  <si>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</si>
  <si>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</si>
  <si>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</si>
  <si>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</si>
  <si>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</si>
  <si>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</si>
  <si>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</si>
  <si>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</si>
  <si>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</si>
  <si>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</si>
  <si>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</si>
  <si>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</si>
  <si>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</si>
  <si>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</si>
  <si>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</si>
  <si>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</si>
  <si>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</si>
  <si>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</si>
  <si>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</si>
  <si>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</si>
  <si>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</si>
  <si>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</si>
  <si>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</si>
  <si>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</si>
  <si>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</si>
  <si>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</si>
  <si>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</si>
  <si>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</si>
  <si>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</si>
  <si>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</si>
  <si>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</si>
  <si>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</si>
  <si>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</si>
  <si>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</si>
  <si>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</si>
  <si>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</si>
  <si>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</si>
  <si>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</si>
  <si>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</si>
  <si>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</si>
  <si>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</si>
  <si>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</si>
  <si>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</si>
  <si>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</si>
  <si>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</si>
  <si>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</si>
  <si>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</si>
  <si>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</si>
  <si>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</si>
  <si>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</si>
  <si>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</si>
  <si>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</si>
  <si>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</si>
  <si>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</si>
  <si>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</si>
  <si>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</si>
  <si>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</si>
  <si>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</si>
  <si>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</si>
  <si>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</si>
  <si>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</si>
  <si>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</si>
  <si>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</si>
  <si>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</si>
  <si>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</si>
  <si>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</si>
  <si>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</si>
  <si>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</si>
  <si>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</si>
  <si>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</si>
  <si>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</si>
  <si>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</si>
  <si>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</si>
  <si>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</si>
  <si>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</si>
  <si>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</si>
  <si>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</si>
  <si>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</si>
  <si>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</si>
  <si>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</si>
  <si>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</si>
  <si>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</si>
  <si>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</si>
  <si>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</si>
  <si>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</si>
  <si>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</si>
  <si>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</si>
  <si>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</si>
  <si>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</si>
  <si>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</si>
  <si>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</si>
  <si>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</si>
  <si>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</si>
  <si>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</si>
  <si>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</si>
  <si>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</si>
  <si>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</si>
  <si>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</si>
  <si>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</si>
  <si>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</si>
  <si>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</si>
  <si>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</si>
  <si>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</si>
  <si>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</si>
  <si>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</si>
  <si>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</si>
  <si>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</si>
  <si>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</si>
  <si>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</si>
  <si>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</si>
  <si>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</si>
  <si>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</si>
  <si>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</si>
  <si>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</si>
  <si>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</si>
  <si>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</si>
  <si>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</si>
  <si>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</si>
  <si>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</si>
  <si>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</si>
  <si>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</si>
  <si>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</si>
  <si>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</si>
  <si>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</si>
  <si>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</si>
  <si>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</si>
  <si>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</si>
  <si>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</si>
  <si>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</si>
  <si>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</si>
  <si>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</si>
  <si>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</si>
  <si>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</si>
  <si>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</si>
  <si>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</si>
  <si>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</si>
  <si>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</si>
  <si>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</si>
  <si>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</si>
  <si>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</si>
  <si>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</si>
  <si>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</si>
  <si>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</si>
  <si>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</si>
  <si>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</si>
  <si>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</si>
  <si>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</si>
  <si>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</si>
  <si>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</si>
  <si>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</si>
  <si>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</si>
  <si>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</si>
  <si>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</si>
  <si>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</si>
  <si>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</si>
  <si>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</si>
  <si>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</si>
  <si>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</si>
  <si>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</si>
  <si>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</si>
  <si>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</si>
  <si>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</si>
  <si>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</si>
  <si>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</si>
  <si>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</si>
  <si>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</si>
  <si>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</si>
  <si>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</si>
  <si>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</si>
  <si>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</si>
  <si>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</si>
  <si>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</si>
  <si>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</si>
  <si>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</si>
  <si>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</si>
  <si>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</si>
  <si>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</si>
  <si>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</si>
  <si>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</si>
  <si>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</si>
  <si>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</si>
  <si>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</si>
  <si>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</si>
  <si>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</si>
  <si>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</si>
  <si>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</si>
  <si>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</si>
  <si>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</si>
  <si>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</si>
  <si>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</si>
  <si>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</si>
  <si>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</si>
  <si>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</si>
  <si>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</si>
  <si>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</si>
  <si>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</si>
  <si>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</si>
  <si>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</si>
  <si>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</si>
  <si>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</si>
  <si>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</si>
  <si>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</si>
  <si>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</si>
  <si>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</si>
  <si>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</si>
  <si>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</si>
  <si>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</si>
  <si>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</si>
  <si>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</si>
  <si>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</si>
  <si>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</si>
  <si>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</si>
  <si>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</si>
  <si>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</si>
  <si>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</si>
  <si>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</si>
  <si>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</si>
  <si>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</si>
  <si>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</si>
  <si>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</si>
  <si>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</si>
  <si>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</si>
  <si>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</si>
  <si>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</si>
  <si>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</si>
  <si>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</si>
  <si>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</si>
  <si>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</si>
  <si>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</si>
  <si>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</si>
  <si>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</si>
  <si>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</si>
  <si>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</si>
  <si>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</si>
  <si>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</si>
  <si>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</si>
  <si>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</si>
  <si>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</si>
  <si>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</si>
  <si>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</si>
  <si>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</si>
  <si>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</si>
  <si>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</si>
  <si>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</si>
  <si>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</si>
  <si>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</si>
  <si>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</si>
  <si>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</si>
  <si>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</si>
  <si>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</si>
  <si>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</si>
  <si>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</si>
  <si>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</si>
  <si>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</si>
  <si>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</si>
  <si>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</si>
  <si>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</si>
  <si>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</si>
  <si>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</si>
  <si>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</si>
  <si>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</si>
  <si>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</si>
  <si>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</si>
  <si>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</si>
  <si>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</si>
  <si>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</si>
  <si>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</si>
  <si>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</si>
  <si>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</si>
  <si>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</si>
  <si>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</si>
  <si>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</si>
  <si>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</si>
  <si>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</si>
  <si>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</si>
  <si>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</si>
  <si>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</si>
  <si>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</si>
  <si>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</si>
  <si>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</si>
  <si>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</si>
  <si>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</si>
  <si>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</si>
  <si>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</si>
  <si>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</si>
  <si>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</si>
  <si>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</si>
  <si>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</si>
  <si>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</si>
  <si>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</si>
  <si>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</si>
  <si>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</si>
  <si>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</si>
  <si>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</si>
  <si>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</si>
  <si>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</si>
  <si>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</si>
  <si>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</si>
  <si>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</si>
  <si>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</si>
  <si>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</si>
  <si>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</si>
  <si>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</si>
  <si>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</si>
  <si>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</si>
  <si>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</si>
  <si>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</si>
  <si>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</si>
  <si>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</si>
  <si>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</si>
  <si>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</si>
  <si>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</si>
  <si>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</si>
  <si>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</si>
  <si>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</si>
  <si>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</si>
  <si>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</si>
  <si>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</si>
  <si>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</si>
  <si>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</si>
  <si>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</si>
  <si>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</si>
  <si>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</si>
  <si>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</si>
  <si>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</si>
  <si>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</si>
  <si>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</si>
  <si>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</si>
  <si>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</si>
  <si>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</si>
  <si>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</si>
  <si>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</si>
  <si>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</si>
  <si>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</si>
  <si>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</si>
  <si>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</si>
  <si>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</si>
  <si>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</si>
  <si>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</si>
  <si>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</si>
  <si>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</si>
  <si>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</si>
  <si>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</si>
  <si>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</si>
  <si>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</si>
  <si>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</si>
  <si>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</si>
  <si>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</si>
  <si>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</si>
  <si>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</si>
  <si>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</si>
  <si>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</si>
  <si>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</si>
  <si>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</si>
  <si>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</si>
  <si>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</si>
  <si>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</si>
  <si>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</si>
  <si>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</si>
  <si>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</si>
  <si>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</si>
  <si>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</si>
  <si>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</si>
  <si>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</si>
  <si>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</si>
  <si>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</si>
  <si>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</si>
  <si>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</si>
  <si>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</si>
  <si>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</si>
  <si>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</si>
  <si>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</si>
  <si>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</si>
  <si>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</si>
  <si>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</si>
  <si>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</si>
  <si>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</si>
  <si>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</si>
  <si>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</si>
  <si>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</si>
  <si>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</si>
  <si>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</si>
  <si>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</si>
  <si>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</si>
  <si>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</si>
  <si>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</si>
  <si>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</si>
  <si>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</si>
  <si>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</si>
  <si>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</si>
  <si>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</si>
  <si>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</si>
  <si>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</si>
  <si>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</si>
  <si>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</si>
  <si>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</si>
  <si>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</si>
  <si>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</si>
  <si>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</si>
  <si>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</si>
  <si>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</si>
  <si>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</si>
  <si>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</si>
  <si>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</si>
  <si>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</si>
  <si>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</si>
  <si>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</si>
  <si>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</si>
  <si>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</si>
  <si>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</si>
  <si>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</si>
  <si>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</si>
  <si>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</si>
  <si>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</si>
  <si>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</si>
  <si>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</si>
  <si>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</si>
  <si>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</si>
  <si>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</si>
  <si>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</si>
  <si>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</si>
  <si>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</si>
  <si>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</si>
  <si>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</si>
  <si>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</si>
  <si>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</si>
  <si>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</si>
  <si>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</si>
  <si>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</si>
  <si>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</si>
  <si>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</si>
  <si>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</si>
  <si>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</si>
  <si>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</si>
  <si>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</si>
  <si>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</si>
  <si>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</si>
  <si>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</si>
  <si>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</si>
  <si>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</si>
  <si>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</si>
  <si>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</si>
  <si>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</si>
  <si>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</si>
  <si>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</si>
  <si>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</si>
  <si>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</si>
  <si>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</si>
  <si>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</si>
  <si>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</si>
  <si>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</si>
  <si>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</si>
  <si>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</si>
  <si>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</si>
  <si>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</si>
  <si>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</si>
  <si>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</si>
  <si>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</si>
  <si>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</si>
  <si>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</si>
  <si>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</si>
  <si>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</si>
  <si>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</si>
  <si>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</si>
  <si>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</si>
  <si>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</si>
  <si>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</si>
  <si>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</si>
  <si>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</si>
  <si>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</si>
  <si>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</si>
  <si>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</si>
  <si>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</si>
  <si>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</si>
  <si>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</si>
  <si>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</si>
  <si>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</si>
  <si>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</si>
  <si>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</si>
  <si>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</si>
  <si>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</si>
  <si>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</si>
  <si>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</si>
  <si>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</si>
  <si>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</si>
  <si>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</si>
  <si>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</si>
  <si>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</si>
  <si>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</si>
  <si>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</si>
  <si>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</si>
  <si>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</si>
  <si>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</si>
  <si>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</si>
  <si>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</si>
  <si>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</si>
  <si>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</si>
  <si>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</si>
  <si>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</si>
  <si>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</si>
  <si>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</si>
  <si>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</si>
  <si>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</si>
  <si>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</si>
  <si>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</si>
  <si>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</si>
  <si>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</si>
  <si>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</si>
  <si>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</si>
  <si>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</si>
  <si>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</si>
  <si>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</si>
  <si>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</si>
  <si>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</si>
  <si>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</si>
  <si>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</si>
  <si>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</si>
  <si>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</si>
  <si>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</si>
  <si>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</si>
  <si>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</si>
  <si>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</si>
  <si>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</si>
  <si>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</si>
  <si>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</si>
  <si>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</si>
  <si>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</si>
  <si>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</si>
  <si>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</si>
  <si>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</si>
  <si>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</si>
  <si>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</si>
  <si>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</si>
  <si>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</si>
  <si>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</si>
  <si>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</si>
  <si>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</si>
  <si>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</si>
  <si>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</si>
  <si>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</si>
  <si>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</si>
  <si>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</si>
  <si>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</si>
  <si>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</si>
  <si>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</si>
  <si>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</si>
  <si>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</si>
  <si>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</si>
  <si>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</si>
  <si>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</si>
  <si>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</si>
  <si>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</si>
  <si>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</si>
  <si>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</si>
  <si>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</si>
  <si>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</si>
  <si>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</si>
  <si>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</si>
  <si>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</si>
  <si>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</si>
  <si>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</si>
  <si>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</si>
  <si>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</si>
  <si>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</si>
  <si>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</si>
  <si>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</si>
  <si>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</si>
  <si>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</si>
  <si>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</si>
  <si>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</si>
  <si>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</si>
  <si>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</si>
  <si>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</si>
  <si>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</si>
  <si>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</si>
  <si>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</si>
  <si>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</si>
  <si>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</si>
  <si>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</si>
  <si>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</si>
  <si>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</si>
  <si>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</si>
  <si>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</si>
  <si>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</si>
  <si>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</si>
  <si>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</si>
  <si>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</si>
  <si>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</si>
  <si>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</si>
  <si>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</si>
  <si>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</si>
  <si>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</si>
  <si>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</si>
  <si>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</si>
  <si>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</si>
  <si>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</si>
  <si>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</si>
  <si>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</si>
  <si>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</si>
  <si>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</si>
  <si>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</si>
  <si>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</si>
  <si>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</si>
  <si>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</si>
  <si>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</si>
  <si>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</si>
  <si>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</si>
  <si>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</si>
  <si>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</si>
  <si>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</si>
  <si>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</si>
  <si>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</si>
  <si>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</si>
  <si>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</si>
  <si>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</si>
  <si>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</si>
  <si>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</si>
  <si>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</si>
  <si>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</si>
  <si>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</si>
  <si>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</si>
  <si>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</si>
  <si>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</si>
  <si>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</si>
  <si>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</si>
  <si>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</si>
  <si>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</si>
  <si>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</si>
  <si>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</si>
  <si>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</si>
  <si>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</si>
  <si>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</si>
  <si>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</si>
  <si>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</si>
  <si>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</si>
  <si>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</si>
  <si>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</si>
  <si>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</si>
  <si>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</si>
  <si>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</si>
  <si>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</si>
  <si>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</si>
  <si>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</si>
  <si>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</si>
  <si>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</si>
  <si>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</si>
  <si>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</si>
  <si>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</si>
  <si>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</si>
  <si>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</si>
  <si>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</si>
  <si>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</si>
  <si>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</si>
  <si>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</si>
  <si>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</si>
  <si>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</si>
  <si>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</si>
  <si>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</si>
  <si>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</si>
  <si>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</si>
  <si>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</si>
  <si>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</si>
  <si>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</si>
  <si>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</si>
  <si>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</si>
  <si>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</si>
  <si>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</si>
  <si>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</si>
  <si>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</si>
  <si>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</si>
  <si>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</si>
  <si>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</si>
  <si>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</si>
  <si>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</si>
  <si>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</si>
  <si>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</si>
  <si>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</si>
  <si>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</si>
  <si>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</si>
  <si>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</si>
  <si>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</si>
  <si>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</si>
  <si>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</si>
  <si>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</si>
  <si>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</si>
  <si>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</si>
  <si>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</si>
  <si>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</si>
  <si>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</si>
  <si>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</si>
  <si>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</si>
  <si>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</si>
  <si>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</si>
  <si>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</si>
  <si>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</si>
  <si>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</si>
  <si>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</si>
  <si>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</si>
  <si>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</si>
  <si>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</si>
  <si>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</si>
  <si>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</si>
  <si>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</si>
  <si>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</si>
  <si>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</si>
  <si>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</si>
  <si>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</si>
  <si>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</si>
  <si>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</si>
  <si>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</si>
  <si>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</si>
  <si>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</si>
  <si>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</si>
  <si>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</si>
  <si>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</si>
  <si>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</si>
  <si>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</si>
  <si>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</si>
  <si>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</si>
  <si>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</si>
  <si>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</si>
  <si>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</si>
  <si>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</si>
  <si>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</si>
  <si>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</si>
  <si>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</si>
  <si>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</si>
  <si>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</si>
  <si>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</si>
  <si>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</si>
  <si>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</si>
  <si>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</si>
  <si>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</si>
  <si>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</si>
  <si>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</si>
  <si>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</si>
  <si>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</si>
  <si>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</si>
  <si>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</si>
  <si>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</si>
  <si>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</si>
  <si>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</si>
  <si>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</si>
  <si>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</si>
  <si>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</si>
  <si>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</si>
  <si>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</si>
  <si>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</si>
  <si>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</si>
  <si>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</si>
  <si>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</si>
  <si>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</si>
  <si>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</si>
  <si>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</si>
  <si>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</si>
  <si>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</si>
  <si>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</si>
  <si>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</si>
  <si>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</si>
  <si>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</si>
  <si>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</si>
  <si>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</si>
  <si>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</si>
  <si>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</si>
  <si>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</si>
  <si>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</si>
  <si>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</si>
  <si>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</si>
  <si>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</si>
  <si>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</si>
  <si>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</si>
  <si>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</si>
  <si>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</si>
  <si>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</si>
  <si>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</si>
  <si>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</si>
  <si>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</si>
  <si>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</si>
  <si>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</si>
  <si>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</si>
  <si>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</si>
  <si>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</si>
  <si>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</si>
  <si>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</si>
  <si>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</si>
  <si>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</si>
  <si>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</si>
  <si>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</si>
  <si>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</si>
  <si>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</si>
  <si>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</si>
  <si>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</si>
  <si>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</si>
  <si>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</si>
  <si>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</si>
  <si>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</si>
  <si>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</si>
  <si>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</si>
  <si>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</si>
  <si>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</si>
  <si>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</si>
  <si>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</si>
  <si>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</si>
  <si>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</si>
  <si>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</si>
  <si>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</si>
  <si>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</si>
  <si>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</si>
  <si>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</si>
  <si>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</si>
  <si>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</si>
  <si>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</si>
  <si>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</si>
  <si>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</si>
  <si>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</si>
  <si>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</si>
  <si>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</si>
  <si>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</si>
  <si>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</si>
  <si>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</si>
  <si>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</si>
  <si>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</si>
  <si>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</si>
  <si>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</si>
  <si>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</si>
  <si>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</si>
  <si>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</si>
  <si>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</si>
  <si>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</si>
  <si>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</si>
  <si>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</si>
  <si>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</si>
  <si>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</si>
  <si>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</si>
  <si>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</si>
  <si>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</si>
  <si>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</si>
  <si>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</si>
  <si>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</si>
  <si>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</si>
  <si>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</si>
  <si>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</si>
  <si>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</si>
  <si>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</si>
  <si>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</si>
  <si>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</si>
  <si>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</si>
  <si>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</si>
  <si>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</si>
  <si>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</si>
  <si>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</si>
  <si>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</si>
  <si>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</si>
  <si>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</si>
  <si>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</si>
  <si>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</si>
  <si>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</si>
  <si>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</si>
  <si>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</si>
  <si>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</si>
  <si>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</si>
  <si>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</si>
  <si>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</si>
  <si>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</si>
  <si>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</si>
  <si>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</si>
  <si>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</si>
  <si>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</si>
  <si>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</si>
  <si>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</si>
  <si>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</si>
  <si>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</si>
  <si>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</si>
  <si>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</si>
  <si>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</si>
  <si>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</si>
  <si>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</si>
  <si>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</si>
  <si>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</si>
  <si>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</si>
  <si>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</si>
  <si>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</si>
  <si>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</si>
  <si>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</si>
  <si>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</si>
  <si>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</si>
  <si>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</si>
  <si>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</si>
  <si>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</si>
  <si>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</si>
  <si>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</si>
  <si>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</si>
  <si>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</si>
  <si>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</si>
  <si>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</si>
  <si>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</si>
  <si>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</si>
  <si>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</si>
  <si>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</si>
  <si>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</si>
  <si>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</si>
  <si>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</si>
  <si>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</si>
  <si>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</si>
  <si>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</si>
  <si>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</si>
  <si>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</si>
  <si>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</si>
  <si>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</si>
  <si>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</si>
  <si>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</si>
  <si>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</si>
  <si>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</si>
  <si>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</si>
  <si>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</si>
  <si>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</si>
  <si>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</si>
  <si>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</si>
  <si>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</si>
  <si>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</si>
  <si>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</si>
  <si>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</si>
  <si>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</si>
  <si>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</si>
  <si>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</si>
  <si>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</si>
  <si>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</si>
  <si>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</si>
  <si>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</si>
  <si>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</si>
  <si>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</si>
  <si>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</si>
  <si>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</si>
  <si>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</si>
  <si>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</si>
  <si>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</si>
  <si>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</si>
  <si>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</si>
  <si>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</si>
  <si>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</si>
  <si>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</si>
  <si>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</si>
  <si>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</si>
  <si>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</si>
  <si>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</si>
  <si>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</si>
  <si>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</si>
  <si>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</si>
  <si>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</si>
  <si>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</si>
  <si>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</si>
  <si>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</si>
  <si>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</si>
  <si>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</si>
  <si>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</si>
  <si>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</si>
  <si>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</si>
  <si>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</si>
  <si>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</si>
  <si>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</si>
  <si>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</si>
  <si>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</si>
  <si>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</si>
  <si>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</si>
  <si>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</si>
  <si>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</si>
  <si>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</si>
  <si>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</si>
  <si>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</si>
  <si>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</si>
  <si>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</si>
  <si>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</si>
  <si>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</si>
  <si>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</si>
  <si>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</si>
  <si>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</si>
  <si>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</si>
  <si>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</si>
  <si>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</si>
  <si>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</si>
  <si>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</si>
  <si>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</si>
  <si>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</si>
  <si>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</si>
  <si>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</si>
  <si>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</si>
  <si>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</si>
  <si>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</si>
  <si>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</si>
  <si>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</si>
  <si>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</si>
  <si>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</si>
  <si>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</si>
  <si>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</si>
  <si>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</si>
  <si>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</si>
  <si>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</si>
  <si>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</si>
  <si>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</si>
  <si>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</si>
  <si>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</si>
  <si>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</si>
  <si>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</si>
  <si>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</si>
  <si>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</si>
  <si>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</si>
  <si>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</si>
  <si>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</si>
  <si>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</si>
  <si>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</si>
  <si>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</si>
  <si>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</si>
  <si>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</si>
  <si>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</si>
  <si>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</si>
  <si>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</si>
  <si>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</si>
  <si>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</si>
  <si>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</si>
  <si>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</si>
  <si>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</si>
  <si>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</si>
  <si>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</si>
  <si>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</si>
  <si>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</si>
  <si>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</si>
  <si>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</si>
  <si>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</si>
  <si>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</si>
  <si>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</si>
  <si>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</si>
  <si>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</si>
  <si>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</si>
  <si>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</si>
  <si>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</si>
  <si>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</si>
  <si>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</si>
  <si>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</si>
  <si>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</si>
  <si>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</si>
  <si>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</si>
  <si>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</si>
  <si>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</si>
  <si>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</si>
  <si>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</si>
  <si>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</si>
  <si>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</si>
  <si>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</si>
  <si>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</si>
  <si>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</si>
  <si>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</si>
  <si>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</si>
  <si>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</si>
  <si>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</si>
  <si>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</si>
  <si>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</si>
  <si>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</si>
  <si>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</si>
  <si>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</si>
  <si>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</si>
  <si>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</si>
  <si>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</si>
  <si>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</si>
  <si>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</si>
  <si>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</si>
  <si>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</si>
  <si>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</si>
  <si>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</si>
  <si>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</si>
  <si>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</si>
  <si>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</si>
  <si>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</si>
  <si>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</si>
  <si>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</si>
  <si>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</si>
  <si>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</si>
  <si>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</si>
  <si>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</si>
  <si>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</si>
  <si>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</si>
  <si>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</si>
  <si>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</si>
  <si>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</si>
  <si>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</si>
  <si>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</si>
  <si>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</si>
  <si>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</si>
  <si>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</si>
  <si>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</si>
  <si>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</si>
  <si>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</si>
  <si>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</si>
  <si>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</si>
  <si>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</si>
  <si>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</si>
  <si>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</si>
  <si>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</si>
  <si>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</si>
  <si>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</si>
  <si>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</si>
  <si>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</si>
  <si>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</si>
  <si>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</si>
  <si>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</si>
  <si>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</si>
  <si>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</si>
  <si>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</si>
  <si>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</si>
  <si>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</si>
  <si>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</si>
  <si>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</si>
  <si>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</si>
  <si>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</si>
  <si>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</si>
  <si>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</si>
  <si>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</si>
  <si>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</si>
  <si>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</si>
  <si>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</si>
  <si>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</si>
  <si>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</si>
  <si>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</si>
  <si>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</si>
  <si>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</si>
  <si>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</si>
  <si>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</si>
  <si>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</si>
  <si>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</si>
  <si>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</si>
  <si>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</si>
  <si>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</si>
  <si>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</si>
  <si>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</si>
  <si>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</si>
  <si>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</si>
  <si>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</si>
  <si>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</si>
  <si>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</si>
  <si>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</si>
  <si>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</si>
  <si>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</si>
  <si>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</si>
  <si>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</si>
  <si>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</si>
  <si>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</si>
  <si>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</si>
  <si>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</si>
  <si>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</si>
  <si>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</si>
  <si>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</si>
  <si>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</si>
  <si>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</si>
  <si>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</si>
  <si>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</si>
  <si>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</si>
  <si>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</si>
  <si>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</si>
  <si>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</si>
  <si>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</si>
  <si>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</si>
  <si>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</si>
  <si>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</si>
  <si>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</si>
  <si>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</si>
  <si>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</si>
  <si>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</si>
  <si>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</si>
  <si>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</si>
  <si>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</si>
  <si>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</si>
  <si>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</si>
  <si>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</si>
  <si>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</si>
  <si>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</si>
  <si>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</si>
  <si>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</si>
  <si>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</si>
  <si>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</si>
  <si>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</si>
  <si>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</si>
  <si>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</si>
  <si>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</si>
  <si>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</si>
  <si>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</si>
  <si>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</si>
  <si>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</si>
  <si>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</si>
  <si>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</si>
  <si>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</si>
  <si>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</si>
  <si>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</si>
  <si>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</si>
  <si>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</si>
  <si>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</si>
  <si>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</si>
  <si>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</si>
  <si>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</si>
  <si>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</si>
  <si>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</si>
  <si>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</si>
  <si>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</si>
  <si>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</si>
  <si>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</si>
  <si>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</si>
  <si>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</si>
  <si>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</si>
  <si>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</si>
  <si>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</si>
  <si>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</si>
  <si>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</si>
  <si>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</si>
  <si>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</si>
  <si>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</si>
  <si>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</si>
  <si>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</si>
  <si>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</si>
  <si>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</si>
  <si>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</si>
  <si>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</si>
  <si>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</si>
  <si>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</si>
  <si>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</si>
  <si>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</si>
  <si>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</si>
  <si>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</si>
  <si>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</si>
  <si>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</si>
  <si>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</si>
  <si>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</si>
  <si>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</si>
  <si>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</si>
  <si>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</si>
  <si>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</si>
  <si>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</si>
  <si>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</si>
  <si>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</si>
  <si>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</si>
  <si>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</si>
  <si>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</si>
  <si>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</si>
  <si>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</si>
  <si>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</si>
  <si>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</si>
  <si>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</si>
  <si>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</si>
  <si>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</si>
  <si>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</si>
  <si>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</si>
  <si>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</si>
  <si>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</si>
  <si>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</si>
  <si>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</si>
  <si>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</si>
  <si>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</si>
  <si>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</si>
  <si>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</si>
  <si>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</si>
  <si>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</si>
  <si>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</si>
  <si>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</si>
  <si>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</si>
  <si>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</si>
  <si>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</si>
  <si>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</si>
  <si>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</si>
  <si>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</si>
  <si>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</si>
  <si>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</si>
  <si>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</si>
  <si>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</si>
  <si>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</si>
  <si>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</si>
  <si>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</si>
  <si>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</si>
  <si>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</si>
  <si>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</si>
  <si>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</si>
  <si>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</si>
  <si>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</si>
  <si>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</si>
  <si>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</si>
  <si>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</si>
  <si>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</si>
  <si>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</si>
  <si>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</si>
  <si>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</si>
  <si>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</si>
  <si>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</si>
  <si>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</si>
  <si>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</si>
  <si>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</si>
  <si>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</si>
  <si>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</si>
  <si>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</si>
  <si>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</si>
  <si>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</si>
  <si>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</si>
  <si>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</si>
  <si>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</si>
  <si>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</si>
  <si>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</si>
  <si>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</si>
  <si>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</si>
  <si>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</si>
  <si>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</si>
  <si>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</si>
  <si>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</si>
  <si>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</si>
  <si>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</si>
  <si>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</si>
  <si>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</si>
  <si>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</si>
  <si>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</si>
  <si>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</si>
  <si>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</si>
  <si>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</si>
  <si>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</si>
  <si>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</si>
  <si>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</si>
  <si>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</si>
  <si>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</si>
  <si>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</si>
  <si>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</si>
  <si>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</si>
  <si>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</si>
  <si>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</si>
  <si>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</si>
  <si>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</si>
  <si>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</si>
  <si>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</si>
  <si>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</si>
  <si>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</si>
  <si>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</si>
  <si>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</si>
  <si>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</si>
  <si>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</si>
  <si>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</si>
  <si>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</si>
  <si>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</si>
  <si>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</si>
  <si>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</si>
  <si>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</si>
  <si>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</si>
  <si>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</si>
  <si>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</si>
  <si>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</si>
  <si>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</si>
  <si>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</si>
  <si>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</si>
  <si>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</si>
  <si>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</si>
  <si>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</si>
  <si>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</si>
  <si>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</si>
  <si>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</si>
  <si>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</si>
  <si>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</si>
  <si>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</si>
  <si>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</si>
  <si>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</si>
  <si>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</si>
  <si>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</si>
  <si>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</si>
  <si>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</si>
  <si>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</si>
  <si>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</si>
  <si>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</si>
  <si>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</si>
  <si>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</si>
  <si>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</si>
  <si>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</si>
  <si>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</si>
  <si>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</si>
  <si>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</si>
  <si>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</si>
  <si>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</si>
  <si>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</si>
  <si>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</si>
  <si>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</si>
  <si>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</si>
  <si>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</si>
  <si>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</si>
  <si>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</si>
  <si>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</si>
  <si>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</si>
  <si>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</si>
  <si>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</si>
  <si>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</si>
  <si>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</si>
  <si>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</si>
  <si>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</si>
  <si>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</si>
  <si>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</si>
  <si>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</si>
  <si>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</si>
  <si>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</si>
  <si>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</si>
  <si>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</si>
  <si>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</si>
  <si>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</si>
  <si>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</si>
  <si>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</si>
  <si>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</si>
  <si>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</si>
  <si>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</si>
  <si>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</si>
  <si>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</si>
  <si>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</si>
  <si>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</si>
  <si>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</si>
  <si>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</si>
  <si>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</si>
  <si>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</si>
  <si>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</si>
  <si>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</si>
  <si>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</si>
  <si>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</si>
  <si>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</si>
  <si>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</si>
  <si>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</si>
  <si>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</si>
  <si>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</si>
  <si>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</si>
  <si>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</si>
  <si>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</si>
  <si>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</si>
  <si>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</si>
  <si>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</si>
  <si>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</si>
  <si>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</si>
  <si>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</si>
  <si>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</si>
  <si>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</si>
  <si>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</si>
  <si>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</si>
  <si>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</si>
  <si>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</si>
  <si>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</si>
  <si>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</si>
  <si>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</si>
  <si>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</si>
  <si>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</si>
  <si>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</si>
  <si>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</si>
  <si>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</si>
  <si>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</si>
  <si>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</si>
  <si>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</si>
  <si>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</si>
  <si>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</si>
  <si>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</si>
  <si>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</si>
  <si>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</si>
  <si>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</si>
  <si>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</si>
  <si>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</si>
  <si>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</si>
  <si>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</si>
  <si>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</si>
  <si>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</si>
  <si>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</si>
  <si>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</si>
  <si>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</si>
  <si>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</si>
  <si>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</si>
  <si>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</si>
  <si>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</si>
  <si>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</si>
  <si>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</si>
  <si>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</si>
  <si>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</si>
  <si>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</si>
  <si>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</si>
  <si>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</si>
  <si>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</si>
  <si>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</si>
  <si>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</si>
  <si>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</si>
  <si>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</si>
  <si>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</si>
  <si>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</si>
  <si>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</si>
  <si>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</si>
  <si>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</si>
  <si>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</si>
  <si>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</si>
  <si>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</si>
  <si>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</si>
  <si>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</si>
  <si>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</si>
  <si>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</si>
  <si>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</si>
  <si>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</si>
  <si>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</si>
  <si>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</si>
  <si>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</si>
  <si>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</si>
  <si>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</si>
  <si>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</si>
  <si>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</si>
  <si>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</si>
  <si>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</si>
  <si>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</si>
  <si>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</si>
  <si>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</si>
  <si>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</si>
  <si>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</si>
  <si>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</si>
  <si>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</si>
  <si>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</si>
  <si>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</si>
  <si>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</si>
  <si>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</si>
  <si>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</si>
  <si>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</si>
  <si>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</si>
  <si>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</si>
  <si>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</si>
  <si>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</si>
  <si>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</si>
  <si>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</si>
  <si>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</si>
  <si>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</si>
  <si>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</si>
  <si>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</si>
  <si>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</si>
  <si>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</si>
  <si>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</si>
  <si>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</si>
  <si>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</si>
  <si>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</si>
  <si>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</si>
  <si>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</si>
  <si>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</si>
  <si>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</si>
  <si>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</si>
  <si>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</si>
  <si>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</si>
  <si>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</si>
  <si>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</si>
  <si>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</si>
  <si>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</si>
  <si>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</si>
  <si>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</si>
  <si>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</si>
  <si>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</si>
  <si>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</si>
  <si>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</si>
  <si>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</si>
  <si>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</si>
  <si>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</si>
  <si>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</si>
  <si>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</si>
  <si>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</si>
  <si>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</si>
  <si>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</si>
  <si>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</si>
  <si>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</si>
  <si>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</si>
  <si>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</si>
  <si>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</si>
  <si>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</si>
  <si>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</si>
  <si>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</si>
  <si>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</si>
  <si>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</si>
  <si>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</si>
  <si>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</si>
  <si>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</si>
  <si>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</si>
  <si>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</si>
  <si>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</si>
  <si>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</si>
  <si>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</si>
  <si>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</si>
  <si>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</si>
  <si>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</si>
  <si>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</si>
  <si>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</si>
  <si>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</si>
  <si>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</si>
  <si>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</si>
  <si>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</si>
  <si>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</si>
  <si>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</si>
  <si>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</si>
  <si>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</si>
  <si>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</si>
  <si>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</si>
  <si>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</si>
  <si>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</si>
  <si>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</si>
  <si>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</si>
  <si>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</si>
  <si>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</si>
  <si>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</si>
  <si>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</si>
  <si>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</si>
  <si>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</si>
  <si>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</si>
  <si>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</si>
  <si>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</si>
  <si>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</si>
  <si>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</si>
  <si>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</si>
  <si>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</si>
  <si>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</si>
  <si>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</si>
  <si>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</si>
  <si>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</si>
  <si>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</si>
  <si>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</si>
  <si>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</si>
  <si>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</si>
  <si>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</si>
  <si>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</si>
  <si>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</si>
  <si>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</si>
  <si>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</si>
  <si>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</si>
  <si>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</si>
  <si>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</si>
  <si>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</si>
  <si>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</si>
  <si>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</si>
  <si>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</si>
  <si>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</si>
  <si>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</si>
  <si>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</si>
  <si>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</si>
  <si>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</si>
  <si>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</si>
  <si>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</si>
  <si>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</si>
  <si>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</si>
  <si>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</si>
  <si>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</si>
  <si>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</si>
  <si>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</si>
  <si>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</si>
  <si>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</si>
  <si>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</si>
  <si>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</si>
  <si>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</si>
  <si>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</si>
  <si>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</si>
  <si>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</si>
  <si>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</si>
  <si>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</si>
  <si>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</si>
  <si>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</si>
  <si>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</si>
  <si>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</si>
  <si>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</si>
  <si>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</si>
  <si>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</si>
  <si>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</si>
  <si>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</si>
  <si>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</si>
  <si>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</si>
  <si>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</si>
  <si>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</si>
  <si>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</si>
  <si>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</si>
  <si>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</si>
  <si>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</si>
  <si>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</si>
  <si>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</si>
  <si>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</si>
  <si>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</si>
  <si>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</si>
  <si>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</si>
  <si>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</si>
  <si>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</si>
  <si>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</si>
  <si>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</si>
  <si>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</si>
  <si>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</si>
  <si>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</si>
  <si>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</si>
  <si>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</si>
  <si>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</si>
  <si>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</si>
  <si>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</si>
  <si>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</si>
  <si>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</si>
  <si>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</si>
  <si>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</si>
  <si>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</si>
  <si>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</si>
  <si>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</si>
  <si>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</si>
  <si>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</si>
  <si>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</si>
  <si>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</si>
  <si>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</si>
  <si>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</si>
  <si>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</si>
  <si>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</si>
  <si>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</si>
  <si>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</si>
  <si>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</si>
  <si>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</si>
  <si>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</si>
  <si>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</si>
  <si>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</si>
  <si>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</si>
  <si>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</si>
  <si>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</si>
  <si>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</si>
  <si>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</si>
  <si>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</si>
  <si>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</si>
  <si>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</si>
  <si>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</si>
  <si>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</si>
  <si>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</si>
  <si>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</si>
  <si>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</si>
  <si>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</si>
  <si>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</si>
  <si>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</si>
  <si>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</si>
  <si>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</si>
  <si>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</si>
  <si>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</si>
  <si>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</si>
  <si>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</si>
  <si>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</si>
  <si>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</si>
  <si>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</si>
  <si>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</si>
  <si>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</si>
  <si>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</si>
  <si>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</si>
  <si>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</si>
  <si>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</si>
  <si>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</si>
  <si>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</si>
  <si>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</si>
  <si>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</si>
  <si>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</si>
  <si>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</si>
  <si>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</si>
  <si>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</si>
  <si>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</si>
  <si>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</si>
  <si>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</si>
  <si>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</si>
  <si>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</si>
  <si>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</si>
  <si>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</si>
  <si>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</si>
  <si>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</si>
  <si>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</si>
  <si>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</si>
  <si>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</si>
  <si>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</si>
  <si>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</si>
  <si>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</si>
  <si>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</si>
  <si>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</si>
  <si>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</si>
  <si>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</si>
  <si>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</si>
  <si>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</si>
  <si>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</si>
  <si>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</si>
  <si>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</si>
  <si>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</si>
  <si>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</si>
  <si>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</si>
  <si>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</si>
  <si>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</si>
  <si>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</si>
  <si>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</si>
  <si>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</si>
  <si>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</si>
  <si>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</si>
  <si>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</si>
  <si>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</si>
  <si>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</si>
  <si>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</si>
  <si>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</si>
  <si>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</si>
  <si>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</si>
  <si>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</si>
  <si>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</si>
  <si>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</si>
  <si>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</si>
  <si>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</si>
  <si>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</si>
  <si>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</si>
  <si>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</si>
  <si>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</si>
  <si>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</si>
  <si>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</si>
  <si>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</si>
  <si>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</si>
  <si>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</si>
  <si>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</si>
  <si>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</si>
  <si>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</si>
  <si>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</si>
  <si>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</si>
  <si>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</si>
  <si>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</si>
  <si>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</si>
  <si>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</si>
  <si>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</si>
  <si>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</si>
  <si>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</si>
  <si>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</si>
  <si>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</si>
  <si>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</si>
  <si>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</si>
  <si>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</si>
  <si>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</si>
  <si>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</si>
  <si>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</si>
  <si>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</si>
  <si>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</si>
  <si>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</si>
  <si>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</si>
  <si>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</si>
  <si>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</si>
  <si>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</si>
  <si>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</si>
  <si>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</si>
  <si>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</si>
  <si>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</si>
  <si>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</si>
  <si>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</si>
  <si>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</si>
  <si>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</si>
  <si>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</si>
  <si>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</si>
  <si>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</si>
  <si>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</si>
  <si>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</si>
  <si>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</si>
  <si>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</si>
  <si>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</si>
  <si>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</si>
  <si>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</si>
  <si>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</si>
  <si>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</si>
  <si>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</si>
  <si>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</si>
  <si>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</si>
  <si>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</si>
  <si>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</si>
  <si>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</si>
  <si>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</si>
  <si>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</si>
  <si>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</si>
  <si>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</si>
  <si>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</si>
  <si>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</si>
  <si>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</si>
  <si>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</si>
  <si>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</si>
  <si>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</si>
  <si>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</si>
  <si>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</si>
  <si>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</si>
  <si>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</si>
  <si>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</si>
  <si>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</si>
  <si>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</si>
  <si>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</si>
  <si>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</si>
  <si>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</si>
  <si>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</si>
  <si>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</si>
  <si>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</si>
  <si>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</si>
  <si>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</si>
  <si>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</si>
  <si>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</si>
  <si>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</si>
  <si>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</si>
  <si>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</si>
  <si>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</si>
  <si>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</si>
  <si>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</si>
  <si>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</si>
  <si>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</si>
  <si>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</si>
  <si>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</si>
  <si>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</si>
  <si>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</si>
  <si>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</si>
  <si>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</si>
  <si>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</si>
  <si>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</si>
  <si>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</si>
  <si>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</si>
  <si>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</si>
  <si>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</si>
  <si>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</si>
  <si>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</si>
  <si>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</si>
  <si>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</si>
  <si>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</si>
  <si>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</si>
  <si>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</si>
  <si>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</si>
  <si>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</si>
  <si>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</si>
  <si>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</si>
  <si>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</si>
  <si>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</si>
  <si>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</si>
  <si>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</si>
  <si>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</si>
  <si>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</si>
  <si>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</si>
  <si>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</si>
  <si>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</si>
  <si>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</si>
  <si>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</si>
  <si>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</si>
  <si>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</si>
  <si>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</si>
  <si>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</si>
  <si>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</si>
  <si>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</si>
  <si>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</si>
  <si>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</si>
  <si>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</si>
  <si>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</si>
  <si>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</si>
  <si>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</si>
  <si>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</si>
  <si>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</si>
  <si>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</si>
  <si>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</si>
  <si>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</si>
  <si>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</si>
  <si>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</si>
  <si>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</si>
  <si>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</si>
  <si>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</si>
  <si>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</si>
  <si>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</si>
  <si>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</si>
  <si>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</si>
  <si>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</si>
  <si>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</si>
  <si>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</si>
  <si>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</si>
  <si>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</si>
  <si>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</si>
  <si>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</si>
  <si>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</si>
  <si>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</si>
  <si>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</si>
  <si>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</si>
  <si>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</si>
  <si>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</si>
  <si>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</si>
  <si>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</si>
  <si>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</si>
  <si>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</si>
  <si>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</si>
  <si>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</si>
  <si>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</si>
  <si>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</si>
  <si>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</si>
  <si>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</si>
  <si>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</si>
  <si>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</si>
  <si>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</si>
  <si>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</si>
  <si>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</si>
  <si>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</si>
  <si>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</si>
  <si>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</si>
  <si>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</si>
  <si>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</si>
  <si>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</si>
  <si>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</si>
  <si>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</si>
  <si>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</si>
  <si>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</si>
  <si>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</si>
  <si>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</si>
  <si>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</si>
  <si>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</si>
  <si>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</si>
  <si>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</si>
  <si>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</si>
  <si>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</si>
  <si>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</si>
  <si>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</si>
  <si>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</si>
  <si>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</si>
  <si>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</si>
  <si>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</si>
  <si>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</si>
  <si>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</si>
  <si>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</si>
  <si>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</si>
  <si>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</si>
  <si>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</si>
  <si>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</si>
  <si>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</si>
  <si>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</si>
  <si>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</si>
  <si>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</si>
  <si>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</si>
  <si>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</si>
  <si>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</si>
  <si>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</si>
  <si>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</si>
  <si>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</si>
  <si>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</si>
  <si>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</si>
  <si>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</si>
  <si>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</si>
  <si>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</si>
  <si>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</si>
  <si>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</si>
  <si>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</si>
  <si>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</si>
  <si>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</si>
  <si>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</si>
  <si>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</si>
  <si>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</si>
  <si>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</si>
  <si>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</si>
  <si>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</si>
  <si>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</si>
  <si>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</si>
  <si>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</si>
  <si>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</si>
  <si>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</si>
  <si>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</si>
  <si>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</si>
  <si>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</si>
  <si>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</si>
  <si>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</si>
  <si>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</si>
  <si>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</si>
  <si>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</si>
  <si>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</si>
  <si>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</si>
  <si>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</si>
  <si>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</si>
  <si>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</si>
  <si>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</si>
  <si>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</si>
  <si>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</si>
  <si>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</si>
  <si>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</si>
  <si>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</si>
  <si>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</si>
  <si>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</si>
  <si>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</si>
  <si>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</si>
  <si>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</si>
  <si>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</si>
  <si>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</si>
  <si>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</si>
  <si>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</si>
  <si>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</si>
  <si>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</si>
  <si>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</si>
  <si>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</si>
  <si>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</si>
  <si>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</si>
  <si>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</si>
  <si>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</si>
  <si>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</si>
  <si>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</si>
  <si>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</si>
  <si>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</si>
  <si>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</si>
  <si>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</si>
  <si>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</si>
  <si>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</si>
  <si>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</si>
  <si>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</si>
  <si>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</si>
  <si>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</si>
  <si>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</si>
  <si>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</si>
  <si>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</si>
  <si>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</si>
  <si>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</si>
  <si>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</si>
  <si>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</si>
  <si>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</si>
  <si>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</si>
  <si>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</si>
  <si>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</si>
  <si>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</si>
  <si>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</si>
  <si>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</si>
  <si>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</si>
  <si>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</si>
  <si>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</si>
  <si>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</si>
  <si>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</si>
  <si>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</si>
  <si>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</si>
  <si>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</si>
  <si>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</si>
  <si>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</si>
  <si>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</si>
  <si>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</si>
  <si>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</si>
  <si>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</si>
  <si>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</si>
  <si>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</si>
  <si>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</si>
  <si>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</si>
  <si>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</si>
  <si>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</si>
  <si>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</si>
  <si>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</si>
  <si>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</si>
  <si>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</si>
  <si>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</si>
  <si>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</si>
  <si>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</si>
  <si>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</si>
  <si>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</si>
  <si>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</si>
  <si>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</si>
  <si>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</si>
  <si>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</si>
  <si>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</si>
  <si>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</si>
  <si>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</si>
  <si>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</si>
  <si>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</si>
  <si>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</si>
  <si>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</si>
  <si>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</si>
  <si>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</si>
  <si>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</si>
  <si>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</si>
  <si>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</si>
  <si>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</si>
  <si>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</si>
  <si>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</si>
  <si>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</si>
  <si>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</si>
  <si>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</si>
  <si>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</si>
  <si>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</si>
  <si>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</si>
  <si>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</si>
  <si>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</si>
  <si>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</si>
  <si>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</si>
  <si>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</si>
  <si>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</si>
  <si>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</si>
  <si>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</si>
  <si>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</si>
  <si>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</si>
  <si>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</si>
  <si>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</si>
  <si>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</si>
  <si>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</si>
  <si>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</si>
  <si>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</si>
  <si>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</si>
  <si>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</si>
  <si>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</si>
  <si>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</si>
  <si>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</si>
  <si>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</si>
  <si>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</si>
  <si>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</si>
  <si>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</si>
  <si>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</si>
  <si>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</si>
  <si>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</si>
  <si>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</si>
  <si>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</si>
  <si>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</si>
  <si>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</si>
  <si>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</si>
  <si>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</si>
  <si>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</si>
  <si>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</si>
  <si>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</si>
  <si>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</si>
  <si>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</si>
  <si>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</si>
  <si>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</si>
  <si>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</si>
  <si>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</si>
  <si>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</si>
  <si>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</si>
  <si>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</si>
  <si>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</si>
  <si>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</si>
  <si>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</si>
  <si>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</si>
  <si>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</si>
  <si>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</si>
  <si>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</si>
  <si>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</si>
  <si>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</si>
  <si>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</si>
  <si>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</si>
  <si>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</si>
  <si>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</si>
  <si>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</si>
  <si>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</si>
  <si>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</si>
  <si>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</si>
  <si>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</si>
  <si>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</si>
  <si>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</si>
  <si>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</si>
  <si>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</si>
  <si>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</si>
  <si>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</si>
  <si>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</si>
  <si>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</si>
  <si>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</si>
  <si>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</si>
  <si>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</si>
  <si>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</si>
  <si>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</si>
  <si>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</si>
  <si>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</si>
  <si>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</si>
  <si>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</si>
  <si>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</si>
  <si>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</si>
  <si>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</si>
  <si>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</si>
  <si>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</si>
  <si>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</si>
  <si>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</si>
  <si>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</si>
  <si>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</si>
  <si>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</si>
  <si>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</si>
  <si>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</si>
  <si>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</si>
  <si>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</si>
  <si>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</si>
  <si>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</si>
  <si>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</si>
  <si>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</si>
  <si>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</si>
  <si>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</si>
  <si>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</si>
  <si>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</si>
  <si>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</si>
  <si>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</si>
  <si>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</si>
  <si>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</si>
  <si>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</si>
  <si>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</si>
  <si>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</si>
  <si>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</si>
  <si>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</si>
  <si>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</si>
  <si>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</si>
  <si>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</si>
  <si>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</si>
  <si>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</si>
  <si>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</si>
  <si>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</si>
  <si>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</si>
  <si>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</si>
  <si>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</si>
  <si>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</si>
  <si>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</si>
  <si>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</si>
  <si>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</si>
  <si>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</si>
  <si>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</si>
  <si>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</si>
  <si>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</si>
  <si>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</si>
  <si>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</si>
  <si>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</si>
  <si>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</si>
  <si>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</si>
  <si>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</si>
  <si>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</si>
  <si>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</si>
  <si>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</si>
  <si>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</si>
  <si>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</si>
  <si>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</si>
  <si>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</si>
  <si>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</si>
  <si>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</si>
  <si>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</si>
  <si>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</si>
  <si>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</si>
  <si>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</si>
  <si>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</si>
  <si>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</si>
  <si>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</si>
  <si>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</si>
  <si>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</si>
  <si>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</si>
  <si>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</si>
  <si>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</si>
  <si>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</si>
  <si>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</si>
  <si>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</si>
  <si>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</si>
  <si>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</si>
  <si>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</si>
  <si>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</si>
  <si>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</si>
  <si>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</si>
  <si>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</si>
  <si>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</si>
  <si>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</si>
  <si>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</si>
  <si>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</si>
  <si>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</si>
  <si>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</si>
  <si>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</si>
  <si>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</si>
  <si>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</si>
  <si>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</si>
  <si>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</si>
  <si>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</si>
  <si>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</si>
  <si>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</si>
  <si>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</si>
  <si>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</si>
  <si>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</si>
  <si>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</si>
  <si>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</si>
  <si>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</si>
  <si>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</si>
  <si>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</si>
  <si>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</si>
  <si>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</si>
  <si>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</si>
  <si>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</si>
  <si>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</si>
  <si>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</si>
  <si>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</si>
  <si>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</si>
  <si>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</si>
  <si>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</si>
  <si>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</si>
  <si>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</si>
  <si>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</si>
  <si>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</si>
  <si>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</si>
  <si>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</si>
  <si>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</si>
  <si>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</si>
  <si>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</si>
  <si>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</si>
  <si>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</si>
  <si>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</si>
  <si>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</si>
  <si>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</si>
  <si>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</si>
  <si>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</si>
  <si>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</si>
  <si>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</si>
  <si>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</si>
  <si>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</si>
  <si>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</si>
  <si>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</si>
  <si>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</si>
  <si>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</si>
  <si>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</si>
  <si>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</si>
  <si>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</si>
  <si>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</si>
  <si>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</si>
  <si>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</si>
  <si>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</si>
  <si>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</si>
  <si>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</si>
  <si>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</si>
  <si>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</si>
  <si>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</si>
  <si>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</si>
  <si>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</si>
  <si>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</si>
  <si>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</si>
  <si>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</si>
  <si>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</si>
  <si>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</si>
  <si>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</si>
  <si>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</si>
  <si>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</si>
  <si>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</si>
  <si>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</si>
  <si>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</si>
  <si>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</si>
  <si>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</si>
  <si>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</si>
  <si>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</si>
  <si>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</si>
  <si>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</si>
  <si>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</si>
  <si>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</si>
  <si>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</si>
  <si>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</si>
  <si>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</si>
  <si>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</si>
  <si>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</si>
  <si>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</si>
  <si>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</si>
  <si>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</si>
  <si>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</si>
  <si>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</si>
  <si>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</si>
  <si>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</si>
  <si>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</si>
  <si>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</si>
  <si>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</si>
  <si>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</si>
  <si>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</si>
  <si>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</si>
  <si>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</si>
  <si>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</si>
  <si>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</si>
  <si>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</si>
  <si>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</si>
  <si>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</si>
  <si>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</si>
  <si>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</si>
  <si>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</si>
  <si>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</si>
  <si>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</si>
  <si>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</si>
  <si>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</si>
  <si>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</si>
  <si>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</si>
  <si>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</si>
  <si>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</si>
  <si>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</si>
  <si>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</si>
  <si>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</si>
  <si>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</si>
  <si>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</si>
  <si>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</si>
  <si>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</si>
  <si>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</si>
  <si>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</si>
  <si>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</si>
  <si>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</si>
  <si>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</si>
  <si>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</si>
  <si>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</si>
  <si>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</si>
  <si>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</si>
  <si>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</si>
  <si>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</si>
  <si>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</si>
  <si>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</si>
  <si>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</si>
  <si>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</si>
  <si>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</si>
  <si>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</si>
  <si>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</si>
  <si>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</si>
  <si>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</si>
  <si>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</si>
  <si>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</si>
  <si>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</si>
  <si>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</si>
  <si>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</si>
  <si>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</si>
  <si>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</si>
  <si>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</si>
  <si>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</si>
  <si>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</si>
  <si>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</si>
  <si>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</si>
  <si>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</si>
  <si>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</si>
  <si>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</si>
  <si>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</si>
  <si>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</si>
  <si>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</si>
  <si>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</si>
  <si>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</si>
  <si>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</si>
  <si>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</si>
  <si>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</si>
  <si>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</si>
  <si>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</si>
  <si>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</si>
  <si>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</si>
  <si>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</si>
  <si>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</si>
  <si>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</si>
  <si>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</si>
  <si>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</si>
  <si>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</si>
  <si>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</si>
  <si>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</si>
  <si>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</si>
  <si>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</si>
  <si>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</si>
  <si>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</si>
  <si>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</si>
  <si>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</si>
  <si>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</si>
  <si>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</si>
  <si>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</si>
  <si>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</si>
  <si>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</si>
  <si>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</si>
  <si>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</si>
  <si>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</si>
  <si>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</si>
  <si>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</si>
  <si>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</si>
  <si>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</si>
  <si>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</si>
  <si>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</si>
  <si>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</si>
  <si>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</si>
  <si>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</si>
  <si>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</si>
  <si>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</si>
  <si>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</si>
  <si>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</si>
  <si>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</si>
  <si>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</si>
  <si>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</si>
  <si>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</si>
  <si>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</si>
  <si>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</si>
  <si>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</si>
  <si>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</si>
  <si>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</si>
  <si>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</si>
  <si>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</si>
  <si>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</si>
  <si>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</si>
  <si>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</si>
  <si>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</si>
  <si>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</si>
  <si>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</si>
  <si>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</si>
  <si>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</si>
  <si>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</si>
  <si>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</si>
  <si>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</si>
  <si>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</si>
  <si>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</si>
  <si>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</si>
  <si>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</si>
  <si>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</si>
  <si>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</si>
  <si>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</si>
  <si>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</si>
  <si>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</si>
  <si>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</si>
  <si>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</si>
  <si>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</si>
  <si>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</si>
  <si>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</si>
  <si>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</si>
  <si>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</si>
  <si>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</si>
  <si>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</si>
  <si>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</si>
  <si>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</si>
  <si>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</si>
  <si>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</si>
  <si>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</si>
  <si>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</si>
  <si>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</si>
  <si>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</si>
  <si>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</si>
  <si>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</si>
  <si>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</si>
  <si>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</si>
  <si>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</si>
  <si>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</si>
  <si>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</si>
  <si>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</si>
  <si>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</si>
  <si>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</si>
  <si>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</si>
  <si>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</si>
  <si>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</si>
  <si>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</si>
  <si>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</si>
  <si>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</si>
  <si>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</si>
  <si>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</si>
  <si>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</si>
  <si>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</si>
  <si>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</si>
  <si>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</si>
  <si>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</si>
  <si>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</si>
  <si>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</si>
  <si>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</si>
  <si>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</si>
  <si>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</si>
  <si>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</si>
  <si>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</si>
  <si>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</si>
  <si>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</si>
  <si>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</si>
  <si>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</si>
  <si>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</si>
  <si>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</si>
  <si>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</si>
  <si>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</si>
  <si>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</si>
  <si>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</si>
  <si>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</si>
  <si>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</si>
  <si>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</si>
  <si>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</si>
  <si>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</si>
  <si>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</si>
  <si>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</si>
  <si>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</si>
  <si>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</si>
  <si>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</si>
  <si>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</si>
  <si>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</si>
  <si>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</si>
  <si>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</si>
  <si>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</si>
  <si>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</si>
  <si>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</si>
  <si>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</si>
  <si>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</si>
  <si>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</si>
  <si>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</si>
  <si>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</si>
  <si>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</si>
  <si>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</si>
  <si>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</si>
  <si>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</si>
  <si>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</si>
  <si>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</si>
  <si>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</si>
  <si>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</si>
  <si>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</si>
  <si>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</si>
  <si>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</si>
  <si>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</si>
  <si>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</si>
  <si>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</si>
  <si>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</si>
  <si>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</si>
  <si>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</si>
  <si>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</si>
  <si>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</si>
  <si>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</si>
  <si>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</si>
  <si>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</si>
  <si>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</si>
  <si>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</si>
  <si>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</si>
  <si>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</si>
  <si>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</si>
  <si>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</si>
  <si>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</si>
  <si>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</si>
  <si>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</si>
  <si>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</si>
  <si>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</si>
  <si>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</si>
  <si>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</si>
  <si>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</si>
  <si>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</si>
  <si>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</si>
  <si>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</si>
  <si>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</si>
  <si>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</si>
  <si>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</si>
  <si>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</si>
  <si>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</si>
  <si>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</si>
  <si>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</si>
  <si>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</si>
  <si>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</si>
  <si>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</si>
  <si>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</si>
  <si>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</si>
  <si>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</si>
  <si>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</si>
  <si>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</si>
  <si>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</si>
  <si>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</si>
  <si>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</si>
  <si>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</si>
  <si>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</si>
  <si>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</si>
  <si>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</si>
  <si>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</si>
  <si>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</si>
  <si>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</si>
  <si>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</si>
  <si>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</si>
  <si>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</si>
  <si>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</si>
  <si>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</si>
  <si>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</si>
  <si>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</si>
  <si>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</si>
  <si>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</si>
  <si>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</si>
  <si>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</si>
  <si>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</si>
  <si>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</si>
  <si>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</si>
  <si>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</si>
  <si>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</si>
  <si>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</si>
  <si>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</si>
  <si>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</si>
  <si>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</si>
  <si>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</si>
  <si>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</si>
  <si>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</si>
  <si>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</si>
  <si>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</si>
  <si>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</si>
  <si>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</si>
  <si>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</si>
  <si>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</si>
  <si>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</si>
  <si>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</si>
  <si>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</si>
  <si>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</si>
  <si>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</si>
  <si>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</si>
  <si>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</si>
  <si>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</si>
  <si>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</si>
  <si>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</si>
  <si>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</si>
  <si>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</si>
  <si>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</si>
  <si>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</si>
  <si>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</si>
  <si>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</si>
  <si>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</si>
  <si>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</si>
  <si>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</si>
  <si>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</si>
  <si>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</si>
  <si>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</si>
  <si>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</si>
  <si>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</si>
  <si>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</si>
  <si>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</si>
  <si>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</si>
  <si>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</si>
  <si>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</si>
  <si>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</si>
  <si>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</si>
  <si>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</si>
  <si>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</si>
  <si>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</si>
  <si>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</si>
  <si>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</si>
  <si>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</si>
  <si>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</si>
  <si>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</si>
  <si>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</si>
  <si>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</si>
  <si>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</si>
  <si>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</si>
  <si>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</si>
  <si>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</si>
  <si>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</si>
  <si>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</si>
  <si>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</si>
  <si>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</si>
  <si>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</si>
  <si>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</si>
  <si>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</si>
  <si>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</si>
  <si>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</si>
  <si>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</si>
  <si>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</si>
  <si>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</si>
  <si>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</si>
  <si>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</si>
  <si>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</si>
  <si>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</si>
  <si>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</si>
  <si>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</si>
  <si>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</si>
  <si>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</si>
  <si>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</si>
  <si>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</si>
  <si>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</si>
  <si>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</si>
  <si>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</si>
  <si>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</si>
  <si>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</si>
  <si>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</si>
  <si>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</si>
  <si>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</si>
  <si>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</si>
  <si>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</si>
  <si>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</si>
  <si>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</si>
  <si>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</si>
  <si>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</si>
  <si>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</si>
  <si>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</si>
  <si>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</si>
  <si>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</si>
  <si>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</si>
  <si>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</si>
  <si>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</si>
  <si>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</si>
  <si>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</si>
  <si>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</si>
  <si>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</si>
  <si>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</si>
  <si>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</si>
  <si>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</si>
  <si>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</si>
  <si>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</si>
  <si>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</si>
  <si>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</si>
  <si>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</si>
  <si>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</si>
  <si>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</si>
  <si>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</si>
  <si>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</si>
  <si>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</si>
  <si>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</si>
  <si>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</si>
  <si>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</si>
  <si>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</si>
  <si>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</si>
  <si>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</si>
  <si>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</si>
  <si>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</si>
  <si>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</si>
  <si>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</si>
  <si>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</si>
  <si>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</si>
  <si>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</si>
  <si>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</si>
  <si>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</si>
  <si>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</si>
  <si>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</si>
  <si>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</si>
  <si>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</si>
  <si>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</si>
  <si>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</si>
  <si>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</si>
  <si>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</si>
  <si>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</si>
  <si>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</si>
  <si>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</si>
  <si>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</si>
  <si>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</si>
  <si>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</si>
  <si>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</si>
  <si>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</si>
  <si>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</si>
  <si>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</si>
  <si>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</si>
  <si>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</si>
  <si>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</si>
  <si>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</si>
  <si>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</si>
  <si>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</si>
  <si>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</si>
  <si>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</si>
  <si>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</si>
  <si>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</si>
  <si>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</si>
  <si>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</si>
  <si>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</si>
  <si>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</si>
  <si>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</si>
  <si>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</si>
  <si>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</si>
  <si>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</si>
  <si>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</si>
  <si>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</si>
  <si>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</si>
  <si>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</si>
  <si>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</si>
  <si>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</si>
  <si>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</si>
  <si>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</si>
  <si>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</si>
  <si>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</si>
  <si>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</si>
  <si>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</si>
  <si>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</si>
  <si>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</si>
  <si>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</si>
  <si>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</si>
  <si>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</si>
  <si>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</si>
  <si>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</si>
  <si>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</si>
  <si>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</si>
  <si>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</si>
  <si>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</si>
  <si>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</si>
  <si>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</si>
  <si>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</si>
  <si>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</si>
  <si>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</si>
  <si>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</si>
  <si>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</si>
  <si>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</si>
  <si>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</si>
  <si>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</si>
  <si>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</si>
  <si>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</si>
  <si>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</si>
  <si>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</si>
  <si>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</si>
  <si>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</si>
  <si>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</si>
  <si>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</si>
  <si>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</si>
  <si>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</si>
  <si>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</si>
  <si>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</si>
  <si>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</si>
  <si>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</si>
  <si>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</si>
  <si>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</si>
  <si>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</si>
  <si>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</si>
  <si>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</si>
  <si>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</si>
  <si>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</si>
  <si>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</si>
  <si>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</si>
  <si>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</si>
  <si>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</si>
  <si>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</si>
  <si>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</si>
  <si>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</si>
  <si>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</si>
  <si>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</si>
  <si>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</si>
  <si>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</si>
  <si>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</si>
  <si>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</si>
  <si>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</si>
  <si>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</si>
  <si>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</si>
  <si>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</si>
  <si>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</si>
  <si>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</si>
  <si>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</si>
  <si>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</si>
  <si>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</si>
  <si>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</si>
  <si>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</si>
  <si>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</si>
  <si>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</si>
  <si>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</si>
  <si>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</si>
  <si>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</si>
  <si>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</si>
  <si>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</si>
  <si>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</si>
  <si>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</si>
  <si>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</si>
  <si>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</si>
  <si>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</si>
  <si>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</si>
  <si>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</si>
  <si>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</si>
  <si>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</si>
  <si>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</si>
  <si>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</si>
  <si>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</si>
  <si>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</si>
  <si>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</si>
  <si>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</si>
  <si>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</si>
  <si>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</si>
  <si>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</si>
  <si>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</si>
  <si>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</si>
  <si>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</si>
  <si>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</si>
  <si>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</si>
  <si>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</si>
  <si>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</si>
  <si>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</si>
  <si>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</si>
  <si>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</si>
  <si>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</si>
  <si>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</si>
  <si>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</si>
  <si>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</si>
  <si>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</si>
  <si>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</si>
  <si>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</si>
  <si>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</si>
  <si>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</si>
  <si>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</si>
  <si>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</si>
  <si>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</si>
  <si>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</si>
  <si>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</si>
  <si>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</si>
  <si>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</si>
  <si>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</si>
  <si>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</si>
  <si>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</si>
  <si>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</si>
  <si>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</si>
  <si>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</si>
  <si>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</si>
  <si>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</si>
  <si>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</si>
  <si>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</si>
  <si>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</si>
  <si>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</si>
  <si>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</si>
  <si>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</si>
  <si>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</si>
  <si>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</si>
  <si>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</si>
  <si>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</si>
  <si>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</si>
  <si>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</si>
  <si>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</si>
  <si>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</si>
  <si>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</si>
  <si>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</si>
  <si>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</si>
  <si>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</si>
  <si>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</si>
  <si>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</si>
  <si>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</si>
  <si>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</si>
  <si>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</si>
  <si>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</si>
  <si>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</si>
  <si>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</si>
  <si>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</si>
  <si>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</si>
  <si>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</si>
  <si>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</si>
  <si>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</si>
  <si>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</si>
  <si>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</si>
  <si>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</si>
  <si>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</si>
  <si>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</si>
  <si>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</si>
  <si>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</si>
  <si>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</si>
  <si>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</si>
  <si>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</si>
  <si>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</si>
  <si>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</si>
  <si>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</si>
  <si>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</si>
  <si>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</si>
  <si>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</si>
  <si>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</si>
  <si>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</si>
  <si>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</si>
  <si>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</si>
  <si>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</si>
  <si>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</si>
  <si>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</si>
  <si>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</si>
  <si>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</si>
  <si>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</si>
  <si>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</si>
  <si>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</si>
  <si>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</si>
  <si>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</si>
  <si>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</si>
  <si>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</si>
  <si>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</si>
  <si>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</si>
  <si>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</si>
  <si>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</si>
  <si>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</si>
  <si>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</si>
  <si>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</si>
  <si>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</si>
  <si>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</si>
  <si>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</si>
  <si>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</si>
  <si>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</si>
  <si>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</si>
  <si>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</si>
  <si>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</si>
  <si>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</si>
  <si>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</si>
  <si>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</si>
  <si>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</si>
  <si>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</si>
  <si>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</si>
  <si>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</si>
  <si>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</si>
  <si>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</si>
  <si>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</si>
  <si>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</si>
  <si>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</si>
  <si>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</si>
  <si>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</si>
  <si>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</si>
  <si>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</si>
  <si>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</si>
  <si>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</si>
  <si>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</si>
  <si>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</si>
  <si>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</si>
  <si>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</si>
  <si>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</si>
  <si>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</si>
  <si>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</si>
  <si>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</si>
  <si>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</si>
  <si>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</si>
  <si>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</si>
  <si>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</si>
  <si>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</si>
  <si>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</si>
  <si>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</si>
  <si>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</si>
  <si>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</si>
  <si>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</si>
  <si>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</si>
  <si>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</si>
  <si>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</si>
  <si>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</si>
  <si>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</si>
  <si>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</si>
  <si>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</si>
  <si>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</si>
  <si>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</si>
  <si>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</si>
  <si>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</si>
  <si>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</si>
  <si>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</si>
  <si>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</si>
  <si>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</si>
  <si>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</si>
  <si>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</si>
  <si>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</si>
  <si>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</si>
  <si>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</si>
  <si>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</si>
  <si>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</si>
  <si>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</si>
  <si>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</si>
  <si>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</si>
  <si>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</si>
  <si>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</si>
  <si>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</si>
  <si>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</si>
  <si>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</si>
  <si>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</si>
  <si>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</si>
  <si>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</si>
  <si>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</si>
  <si>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</si>
  <si>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</si>
  <si>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</si>
  <si>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</si>
  <si>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</si>
  <si>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</si>
  <si>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</si>
  <si>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</si>
  <si>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</si>
  <si>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</si>
  <si>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</si>
  <si>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</si>
  <si>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</si>
  <si>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</si>
  <si>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</si>
  <si>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</si>
  <si>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</si>
  <si>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</si>
  <si>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</si>
  <si>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</si>
  <si>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</si>
  <si>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</si>
  <si>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</si>
  <si>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</si>
  <si>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</si>
  <si>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</si>
  <si>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</si>
  <si>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</si>
  <si>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</si>
  <si>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</si>
  <si>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</si>
  <si>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</si>
  <si>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</si>
  <si>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</si>
  <si>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</si>
  <si>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</si>
  <si>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</si>
  <si>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</si>
  <si>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</si>
  <si>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</si>
  <si>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</si>
  <si>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</si>
  <si>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</si>
  <si>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</si>
  <si>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</si>
  <si>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</si>
  <si>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</si>
  <si>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</si>
  <si>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</si>
  <si>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</si>
  <si>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</si>
  <si>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</si>
  <si>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</si>
  <si>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</si>
  <si>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</si>
  <si>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</si>
  <si>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</si>
  <si>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</si>
  <si>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</si>
  <si>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</si>
  <si>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</si>
  <si>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</si>
  <si>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</si>
  <si>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</si>
  <si>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</si>
  <si>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</si>
  <si>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</si>
  <si>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</si>
  <si>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</si>
  <si>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</si>
  <si>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</si>
  <si>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</si>
  <si>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</si>
  <si>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</si>
  <si>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</si>
  <si>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</si>
  <si>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</si>
  <si>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</si>
  <si>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</si>
  <si>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</si>
  <si>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</si>
  <si>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</si>
  <si>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</si>
  <si>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</si>
  <si>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</si>
  <si>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</si>
  <si>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</si>
  <si>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</si>
  <si>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</si>
  <si>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</si>
  <si>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</si>
  <si>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</si>
  <si>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</si>
  <si>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</si>
  <si>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</si>
  <si>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</si>
  <si>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</si>
  <si>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</si>
  <si>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</si>
  <si>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</si>
  <si>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</si>
  <si>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</si>
  <si>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</si>
  <si>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</si>
  <si>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</si>
  <si>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</si>
  <si>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</si>
  <si>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</si>
  <si>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</si>
  <si>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</si>
  <si>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</si>
  <si>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</si>
  <si>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</si>
  <si>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</si>
  <si>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</si>
  <si>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</si>
  <si>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</si>
  <si>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</si>
  <si>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</si>
  <si>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</si>
  <si>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</si>
  <si>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</si>
  <si>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</si>
  <si>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</si>
  <si>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</si>
  <si>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</si>
  <si>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</si>
  <si>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</si>
  <si>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</si>
  <si>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</si>
  <si>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</si>
  <si>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</si>
  <si>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</si>
  <si>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</si>
  <si>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</si>
  <si>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</si>
  <si>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</si>
  <si>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</si>
  <si>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</si>
  <si>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</si>
  <si>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</si>
  <si>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</si>
  <si>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</si>
  <si>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</si>
  <si>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</si>
  <si>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</si>
  <si>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</si>
  <si>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</si>
  <si>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</si>
  <si>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</si>
  <si>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</si>
  <si>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</si>
  <si>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</si>
  <si>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</si>
  <si>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</si>
  <si>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</si>
  <si>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</si>
  <si>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</si>
  <si>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</si>
  <si>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</si>
  <si>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</si>
  <si>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</si>
  <si>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</si>
  <si>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</si>
  <si>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</si>
  <si>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</si>
  <si>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</si>
  <si>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</si>
  <si>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</si>
  <si>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</si>
  <si>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</si>
  <si>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</si>
  <si>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</si>
  <si>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</si>
  <si>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</si>
  <si>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</si>
  <si>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</si>
  <si>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</si>
  <si>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</si>
  <si>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</si>
  <si>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</si>
  <si>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</si>
  <si>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</si>
  <si>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</si>
  <si>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</si>
  <si>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</si>
  <si>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</si>
  <si>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</si>
  <si>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</si>
  <si>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</si>
  <si>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</si>
  <si>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</si>
  <si>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</si>
  <si>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</si>
  <si>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</si>
  <si>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</si>
  <si>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</si>
  <si>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</si>
  <si>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</si>
  <si>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</si>
  <si>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</si>
  <si>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</si>
  <si>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</si>
  <si>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</si>
  <si>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</si>
  <si>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</si>
  <si>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</si>
  <si>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</si>
  <si>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</si>
  <si>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</si>
  <si>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</si>
  <si>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</si>
  <si>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</si>
  <si>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</si>
  <si>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</si>
  <si>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</si>
  <si>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</si>
  <si>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</si>
  <si>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</si>
  <si>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</si>
  <si>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</si>
  <si>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</si>
  <si>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</si>
  <si>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</si>
  <si>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</si>
  <si>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</si>
  <si>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</si>
  <si>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</si>
  <si>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</si>
  <si>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</si>
  <si>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</si>
  <si>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</si>
  <si>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</si>
  <si>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</si>
  <si>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</si>
  <si>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</si>
  <si>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</si>
  <si>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</si>
  <si>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</si>
  <si>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</si>
  <si>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</si>
  <si>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</si>
  <si>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</si>
  <si>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</si>
  <si>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</si>
  <si>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</si>
  <si>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</si>
  <si>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</si>
  <si>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</si>
  <si>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</si>
  <si>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</si>
  <si>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</si>
  <si>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</si>
  <si>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</si>
  <si>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</si>
  <si>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</si>
  <si>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</si>
  <si>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</si>
  <si>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</si>
  <si>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</si>
  <si>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</si>
  <si>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</si>
  <si>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</si>
  <si>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</si>
  <si>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</si>
  <si>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</si>
  <si>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</si>
  <si>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</si>
  <si>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</si>
  <si>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</si>
  <si>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</si>
  <si>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</si>
  <si>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</si>
  <si>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</si>
  <si>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</si>
  <si>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</si>
  <si>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</si>
  <si>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</si>
  <si>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</si>
  <si>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</si>
  <si>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</si>
  <si>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</si>
  <si>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</si>
  <si>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</si>
  <si>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</si>
  <si>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</si>
  <si>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</si>
  <si>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</si>
  <si>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</si>
  <si>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</si>
  <si>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</si>
  <si>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</si>
  <si>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</si>
  <si>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</si>
  <si>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</si>
  <si>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</si>
  <si>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</si>
  <si>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</si>
  <si>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</si>
  <si>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</si>
  <si>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</si>
  <si>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</si>
  <si>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</si>
  <si>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</si>
  <si>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</si>
  <si>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</si>
  <si>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</si>
  <si>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</si>
  <si>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</si>
  <si>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</si>
  <si>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</si>
  <si>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</si>
  <si>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</si>
  <si>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</si>
  <si>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</si>
  <si>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</si>
  <si>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</si>
  <si>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</si>
  <si>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</si>
  <si>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</si>
  <si>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</si>
  <si>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</si>
  <si>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</si>
  <si>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</si>
  <si>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</si>
  <si>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</si>
  <si>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</si>
  <si>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</si>
  <si>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</si>
  <si>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</si>
  <si>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</si>
  <si>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</si>
  <si>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</si>
  <si>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</si>
  <si>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</si>
  <si>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</si>
  <si>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</si>
  <si>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</si>
  <si>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</si>
  <si>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</si>
  <si>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</si>
  <si>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</si>
  <si>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</si>
  <si>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</si>
  <si>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</si>
  <si>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</si>
  <si>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</si>
  <si>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</si>
  <si>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</si>
  <si>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</si>
  <si>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</si>
  <si>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</si>
  <si>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</si>
  <si>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</si>
  <si>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</si>
  <si>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</si>
  <si>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</si>
  <si>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</si>
  <si>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</si>
  <si>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</si>
  <si>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</si>
  <si>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</si>
  <si>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</si>
  <si>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</si>
  <si>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</si>
  <si>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</si>
  <si>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</si>
  <si>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</si>
  <si>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</si>
  <si>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</si>
  <si>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</si>
  <si>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</si>
  <si>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</si>
  <si>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</si>
  <si>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</si>
  <si>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</si>
  <si>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</si>
  <si>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</si>
  <si>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</si>
  <si>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</si>
  <si>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</si>
  <si>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</si>
  <si>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</si>
  <si>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</si>
  <si>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</si>
  <si>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</si>
  <si>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</si>
  <si>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</si>
  <si>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</si>
  <si>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</si>
  <si>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</si>
  <si>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</si>
  <si>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</si>
  <si>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</si>
  <si>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</si>
  <si>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</si>
  <si>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</si>
  <si>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</si>
  <si>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</si>
  <si>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</si>
  <si>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</si>
  <si>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</si>
  <si>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</si>
  <si>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</si>
  <si>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</si>
  <si>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</si>
  <si>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</si>
  <si>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</si>
  <si>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</si>
  <si>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</si>
  <si>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</si>
  <si>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</si>
  <si>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</si>
  <si>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</si>
  <si>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</si>
  <si>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</si>
  <si>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</si>
  <si>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</si>
  <si>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</si>
  <si>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</si>
  <si>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</si>
  <si>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</si>
  <si>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</si>
  <si>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</si>
  <si>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</si>
  <si>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</si>
  <si>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</si>
  <si>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</si>
  <si>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</si>
  <si>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</si>
  <si>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</si>
  <si>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</si>
  <si>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</si>
  <si>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</si>
  <si>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</si>
  <si>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</si>
  <si>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</si>
  <si>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</si>
  <si>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</si>
  <si>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</si>
  <si>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</si>
  <si>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</si>
  <si>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</si>
  <si>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</si>
  <si>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</si>
  <si>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</si>
  <si>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</si>
  <si>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</si>
  <si>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</si>
  <si>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</si>
  <si>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</si>
  <si>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</si>
  <si>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</si>
  <si>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</si>
  <si>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</si>
  <si>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</si>
  <si>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</si>
  <si>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</si>
  <si>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</si>
  <si>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</si>
  <si>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</si>
  <si>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</si>
  <si>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</si>
  <si>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</si>
  <si>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</si>
  <si>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</si>
  <si>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</si>
  <si>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</si>
  <si>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</si>
  <si>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</si>
  <si>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</si>
  <si>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</si>
  <si>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</si>
  <si>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</si>
  <si>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</si>
  <si>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</si>
  <si>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</si>
  <si>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</si>
  <si>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</si>
  <si>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</si>
  <si>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</si>
  <si>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</si>
  <si>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</si>
  <si>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</si>
  <si>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</si>
  <si>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</si>
  <si>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</si>
  <si>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</si>
  <si>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</si>
  <si>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</si>
  <si>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</si>
  <si>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</si>
  <si>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</si>
  <si>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</si>
  <si>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</si>
  <si>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</si>
  <si>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</si>
  <si>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</si>
  <si>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</si>
  <si>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</si>
  <si>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</si>
  <si>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</si>
  <si>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</si>
  <si>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</si>
  <si>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</si>
  <si>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</si>
  <si>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</si>
  <si>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</si>
  <si>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</si>
  <si>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</si>
  <si>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</si>
  <si>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</si>
  <si>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</si>
  <si>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</si>
  <si>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</si>
  <si>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</si>
  <si>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</si>
  <si>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</si>
  <si>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</si>
  <si>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</si>
  <si>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</si>
  <si>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</si>
  <si>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</si>
  <si>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</si>
  <si>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</si>
  <si>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</si>
  <si>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</si>
  <si>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</si>
  <si>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</si>
  <si>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</si>
  <si>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</si>
  <si>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</si>
  <si>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</si>
  <si>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</si>
  <si>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</si>
  <si>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</si>
  <si>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</si>
  <si>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</si>
  <si>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</si>
  <si>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</si>
  <si>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</si>
  <si>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</si>
  <si>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</si>
  <si>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</si>
  <si>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</si>
  <si>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</si>
  <si>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</si>
  <si>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</si>
  <si>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</si>
  <si>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</si>
  <si>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</si>
  <si>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</si>
  <si>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</si>
  <si>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</si>
  <si>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</si>
  <si>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</si>
  <si>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</si>
  <si>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</si>
  <si>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</si>
  <si>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</si>
  <si>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</si>
  <si>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</si>
  <si>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</si>
  <si>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</si>
  <si>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</si>
  <si>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</si>
  <si>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</si>
  <si>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</si>
  <si>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</si>
  <si>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</si>
  <si>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</si>
  <si>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</si>
  <si>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</si>
  <si>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</si>
  <si>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</si>
  <si>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</si>
  <si>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</si>
  <si>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</si>
  <si>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</si>
  <si>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</si>
  <si>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</si>
  <si>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</si>
  <si>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</si>
  <si>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</si>
  <si>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</si>
  <si>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</si>
  <si>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</si>
  <si>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</si>
  <si>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</si>
  <si>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</si>
  <si>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</si>
  <si>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</si>
  <si>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</si>
  <si>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</si>
  <si>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</si>
  <si>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</si>
  <si>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</si>
  <si>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</si>
  <si>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</si>
  <si>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</si>
  <si>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</si>
  <si>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</si>
  <si>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</si>
  <si>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</si>
  <si>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</si>
  <si>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</si>
  <si>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</si>
  <si>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</si>
  <si>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</si>
  <si>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</si>
  <si>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</si>
  <si>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</si>
  <si>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</si>
  <si>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</si>
  <si>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</si>
  <si>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</si>
  <si>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</si>
  <si>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</si>
  <si>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</si>
  <si>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</si>
  <si>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</si>
  <si>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</si>
  <si>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</si>
  <si>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</si>
  <si>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</si>
  <si>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</si>
  <si>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</si>
  <si>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</si>
  <si>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</si>
  <si>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</si>
  <si>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</si>
  <si>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</si>
  <si>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</si>
  <si>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</si>
  <si>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</si>
  <si>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</si>
  <si>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</si>
  <si>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</si>
  <si>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</si>
  <si>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</si>
  <si>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</si>
  <si>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</si>
  <si>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</si>
  <si>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</si>
  <si>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</si>
  <si>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</si>
  <si>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</si>
  <si>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</si>
  <si>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</si>
  <si>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</si>
  <si>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</si>
  <si>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</si>
  <si>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</si>
  <si>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</si>
  <si>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</si>
  <si>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</si>
  <si>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</si>
  <si>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</si>
  <si>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</si>
  <si>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</si>
  <si>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</si>
  <si>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</si>
  <si>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</si>
  <si>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</si>
  <si>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</si>
  <si>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</si>
  <si>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</si>
  <si>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</si>
  <si>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</si>
  <si>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</si>
  <si>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</si>
  <si>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</si>
  <si>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</si>
  <si>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</si>
  <si>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</si>
  <si>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</si>
  <si>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</si>
  <si>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</si>
  <si>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</si>
  <si>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</si>
  <si>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</si>
  <si>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</si>
  <si>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</si>
  <si>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</si>
  <si>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</si>
  <si>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</si>
  <si>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</si>
  <si>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</si>
  <si>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</si>
  <si>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</si>
  <si>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</si>
  <si>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</si>
  <si>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</si>
  <si>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</si>
  <si>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</si>
  <si>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</si>
  <si>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</si>
  <si>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</si>
  <si>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</si>
  <si>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</si>
  <si>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</si>
  <si>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</si>
  <si>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</si>
  <si>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</si>
  <si>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</si>
  <si>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</si>
  <si>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</si>
  <si>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</si>
  <si>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</si>
  <si>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</si>
  <si>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</si>
  <si>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</si>
  <si>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</si>
  <si>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</si>
  <si>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</si>
  <si>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</si>
  <si>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</si>
  <si>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</si>
  <si>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</si>
  <si>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</si>
  <si>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</si>
  <si>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</si>
  <si>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</si>
  <si>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</si>
  <si>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</si>
  <si>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</si>
  <si>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</si>
  <si>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</si>
  <si>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</si>
  <si>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</si>
  <si>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</si>
  <si>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</si>
  <si>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</si>
  <si>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</si>
  <si>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</si>
  <si>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</si>
  <si>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</si>
  <si>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</si>
  <si>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</si>
  <si>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</si>
  <si>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</si>
  <si>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</si>
  <si>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</si>
  <si>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</si>
  <si>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</si>
  <si>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</si>
  <si>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</si>
  <si>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</si>
  <si>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</si>
  <si>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</si>
  <si>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</si>
  <si>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</si>
  <si>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</si>
  <si>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</si>
  <si>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</si>
  <si>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</si>
  <si>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</si>
  <si>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</si>
  <si>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</si>
  <si>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</si>
  <si>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</si>
  <si>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</si>
  <si>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</si>
  <si>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</si>
  <si>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</si>
  <si>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</si>
  <si>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</si>
  <si>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</si>
  <si>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</si>
  <si>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</si>
  <si>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</si>
  <si>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</si>
  <si>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</si>
  <si>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</si>
  <si>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</si>
  <si>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</si>
  <si>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</si>
  <si>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</si>
  <si>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</si>
  <si>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</si>
  <si>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</si>
  <si>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</si>
  <si>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</si>
  <si>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</si>
  <si>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</si>
  <si>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</si>
  <si>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</si>
  <si>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</si>
  <si>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</si>
  <si>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</si>
  <si>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</si>
  <si>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</si>
  <si>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</si>
  <si>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</si>
  <si>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</si>
  <si>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</si>
  <si>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</si>
  <si>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</si>
  <si>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</si>
  <si>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</si>
  <si>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</si>
  <si>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</si>
  <si>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</si>
  <si>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</si>
  <si>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</si>
  <si>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</si>
  <si>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</si>
  <si>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</si>
  <si>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</si>
  <si>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</si>
  <si>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</si>
  <si>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</si>
  <si>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</si>
  <si>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</si>
  <si>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</si>
  <si>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</si>
  <si>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</si>
  <si>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</si>
  <si>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</si>
  <si>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</si>
  <si>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</si>
  <si>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</si>
  <si>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</si>
  <si>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</si>
  <si>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</si>
  <si>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</si>
  <si>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</si>
  <si>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</si>
  <si>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</si>
  <si>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</si>
  <si>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</si>
  <si>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</si>
  <si>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</si>
  <si>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</si>
  <si>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</si>
  <si>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</si>
  <si>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</si>
  <si>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</si>
  <si>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</si>
  <si>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</si>
  <si>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</si>
  <si>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</si>
  <si>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</si>
  <si>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</si>
  <si>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</si>
  <si>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</si>
  <si>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</si>
  <si>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</si>
  <si>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</si>
  <si>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</si>
  <si>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</si>
  <si>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</si>
  <si>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</si>
  <si>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</si>
  <si>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</si>
  <si>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</si>
  <si>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</si>
  <si>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</si>
  <si>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</si>
  <si>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</si>
  <si>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</si>
  <si>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</si>
  <si>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</si>
  <si>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</si>
  <si>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</si>
  <si>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</si>
  <si>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</si>
  <si>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</si>
  <si>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</si>
  <si>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</si>
  <si>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</si>
  <si>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</si>
  <si>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</si>
  <si>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</si>
  <si>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</si>
  <si>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</si>
  <si>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</si>
  <si>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</si>
  <si>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</si>
  <si>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</si>
  <si>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</si>
  <si>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</si>
  <si>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</si>
  <si>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</si>
  <si>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</si>
  <si>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</si>
  <si>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</si>
  <si>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</si>
  <si>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</si>
  <si>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</si>
  <si>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</si>
  <si>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</si>
  <si>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</si>
  <si>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</si>
  <si>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</si>
  <si>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</si>
  <si>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</si>
  <si>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</si>
  <si>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</si>
  <si>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</si>
  <si>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</si>
  <si>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</si>
  <si>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</si>
  <si>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</si>
  <si>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</si>
  <si>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</si>
  <si>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</si>
  <si>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</si>
  <si>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</si>
  <si>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</si>
  <si>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</si>
  <si>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</si>
  <si>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</si>
  <si>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</si>
  <si>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</si>
  <si>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</si>
  <si>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</si>
  <si>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</si>
  <si>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</si>
  <si>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</si>
  <si>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</si>
  <si>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</si>
  <si>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</si>
  <si>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</si>
  <si>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</si>
  <si>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</si>
  <si>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</si>
  <si>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</si>
  <si>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</si>
  <si>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</si>
  <si>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</si>
  <si>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</si>
  <si>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</si>
  <si>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</si>
  <si>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</si>
  <si>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</si>
  <si>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</si>
  <si>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</si>
  <si>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</si>
  <si>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</si>
  <si>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</si>
  <si>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</si>
  <si>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</si>
  <si>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</si>
  <si>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</si>
  <si>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</si>
  <si>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</si>
  <si>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</si>
  <si>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</si>
  <si>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</si>
  <si>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</si>
  <si>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</si>
  <si>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</si>
  <si>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</si>
  <si>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</si>
  <si>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</si>
  <si>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</si>
  <si>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</si>
  <si>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</si>
  <si>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</si>
  <si>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</si>
  <si>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</si>
  <si>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</si>
  <si>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</si>
  <si>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</si>
  <si>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</si>
  <si>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</si>
  <si>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</si>
  <si>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</si>
  <si>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</si>
  <si>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</si>
  <si>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</si>
  <si>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</si>
  <si>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</si>
  <si>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</si>
  <si>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</si>
  <si>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</si>
  <si>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</si>
  <si>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</si>
  <si>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</si>
  <si>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</si>
  <si>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</si>
  <si>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</si>
  <si>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</si>
  <si>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</si>
  <si>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</si>
  <si>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</si>
  <si>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</si>
  <si>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</si>
  <si>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</si>
  <si>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</si>
  <si>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</si>
  <si>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</si>
  <si>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</si>
  <si>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</si>
  <si>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</si>
  <si>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</si>
  <si>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</si>
  <si>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</si>
  <si>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</si>
  <si>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</si>
  <si>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</si>
  <si>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</si>
  <si>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</si>
  <si>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</si>
  <si>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</si>
  <si>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</si>
  <si>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</si>
  <si>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</si>
  <si>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</si>
  <si>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</si>
  <si>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</si>
  <si>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</si>
  <si>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</si>
  <si>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</si>
  <si>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</si>
  <si>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</si>
  <si>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</si>
  <si>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</si>
  <si>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</si>
  <si>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</si>
  <si>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</si>
  <si>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</si>
  <si>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</si>
  <si>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</si>
  <si>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</si>
  <si>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</si>
  <si>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</si>
  <si>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</si>
  <si>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</si>
  <si>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</si>
  <si>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</si>
  <si>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</si>
  <si>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</si>
  <si>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</si>
  <si>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</si>
  <si>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</si>
  <si>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</si>
  <si>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</si>
  <si>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</si>
  <si>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</si>
  <si>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</si>
  <si>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</si>
  <si>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</si>
  <si>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</si>
  <si>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</si>
  <si>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</si>
  <si>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</si>
  <si>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</si>
  <si>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</si>
  <si>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</si>
  <si>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</si>
  <si>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</si>
  <si>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</si>
  <si>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</si>
  <si>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</si>
  <si>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</si>
  <si>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</si>
  <si>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</si>
  <si>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</si>
  <si>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</si>
  <si>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</si>
  <si>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</si>
  <si>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</si>
  <si>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</si>
  <si>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</si>
  <si>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</si>
  <si>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</si>
  <si>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</si>
  <si>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</si>
  <si>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</si>
  <si>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</si>
  <si>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</si>
  <si>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</si>
  <si>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</si>
  <si>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</si>
  <si>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</si>
  <si>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</si>
  <si>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</si>
  <si>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</si>
  <si>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</si>
  <si>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</si>
  <si>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</si>
  <si>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</si>
  <si>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</si>
  <si>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</si>
  <si>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</si>
  <si>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</si>
  <si>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</si>
  <si>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</si>
  <si>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</si>
  <si>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</si>
  <si>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</si>
  <si>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</si>
  <si>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</si>
  <si>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</si>
  <si>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</si>
  <si>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</si>
  <si>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</si>
  <si>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</si>
  <si>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</si>
  <si>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</si>
  <si>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</si>
  <si>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</si>
  <si>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</si>
  <si>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</si>
  <si>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</si>
  <si>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</si>
  <si>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</si>
  <si>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</si>
  <si>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</si>
  <si>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</si>
  <si>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</si>
  <si>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</si>
  <si>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</si>
  <si>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</si>
  <si>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</si>
  <si>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</si>
  <si>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</si>
  <si>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</si>
  <si>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</si>
  <si>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</si>
  <si>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</si>
  <si>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</si>
  <si>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</si>
  <si>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</si>
  <si>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</si>
  <si>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</si>
  <si>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</si>
  <si>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</si>
  <si>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</si>
  <si>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</si>
  <si>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</si>
  <si>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</si>
  <si>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</si>
  <si>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</si>
  <si>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</si>
  <si>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</si>
  <si>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</si>
  <si>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</si>
  <si>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</si>
  <si>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</si>
  <si>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</si>
  <si>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</si>
  <si>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</si>
  <si>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</si>
  <si>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</si>
  <si>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</si>
  <si>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</si>
  <si>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</si>
  <si>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</si>
  <si>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</si>
  <si>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</si>
  <si>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</si>
  <si>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</si>
  <si>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</si>
  <si>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</si>
  <si>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</si>
  <si>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</si>
  <si>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</si>
  <si>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</si>
  <si>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</si>
  <si>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</si>
  <si>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</si>
  <si>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</si>
  <si>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</si>
  <si>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</si>
  <si>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</si>
  <si>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</si>
  <si>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</si>
  <si>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</si>
  <si>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</si>
  <si>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</si>
  <si>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</si>
  <si>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</si>
  <si>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</si>
  <si>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</si>
  <si>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</si>
  <si>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</si>
  <si>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</si>
  <si>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</si>
  <si>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</si>
  <si>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</si>
  <si>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</si>
  <si>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</si>
  <si>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</si>
  <si>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</si>
  <si>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</si>
  <si>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</si>
  <si>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</si>
  <si>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</si>
  <si>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</si>
  <si>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</si>
  <si>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</si>
  <si>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</si>
  <si>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</si>
  <si>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</si>
  <si>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</si>
  <si>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</si>
  <si>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</si>
  <si>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</si>
  <si>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</si>
  <si>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</si>
  <si>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</si>
  <si>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</si>
  <si>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</si>
  <si>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</si>
  <si>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</si>
  <si>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</si>
  <si>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</si>
  <si>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</si>
  <si>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</si>
  <si>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</si>
  <si>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</si>
  <si>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</si>
  <si>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</si>
  <si>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</si>
  <si>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</si>
  <si>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</si>
  <si>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</si>
  <si>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</si>
  <si>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</si>
  <si>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</si>
  <si>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</si>
  <si>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</si>
  <si>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</si>
  <si>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</si>
  <si>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</si>
  <si>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</si>
  <si>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</si>
  <si>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</si>
  <si>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</si>
  <si>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</si>
  <si>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</si>
  <si>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</si>
  <si>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</si>
  <si>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</si>
  <si>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</si>
  <si>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</si>
  <si>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</si>
  <si>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</si>
  <si>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</si>
  <si>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</si>
  <si>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</si>
  <si>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</si>
  <si>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</si>
  <si>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</si>
  <si>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</si>
  <si>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</si>
  <si>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</si>
  <si>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</si>
  <si>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</si>
  <si>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</si>
  <si>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</si>
  <si>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</si>
  <si>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</si>
  <si>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</si>
  <si>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</si>
  <si>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</si>
  <si>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</si>
  <si>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</si>
  <si>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</si>
  <si>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</si>
  <si>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</si>
  <si>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</si>
  <si>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</si>
  <si>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</si>
  <si>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</si>
  <si>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</si>
  <si>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</si>
  <si>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</si>
  <si>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</si>
  <si>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</si>
  <si>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</si>
  <si>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</si>
  <si>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</si>
  <si>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</si>
  <si>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</si>
  <si>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</si>
  <si>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</si>
  <si>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</si>
  <si>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</si>
  <si>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</si>
  <si>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</si>
  <si>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</si>
  <si>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</si>
  <si>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</si>
  <si>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</si>
  <si>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</si>
  <si>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</si>
  <si>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</si>
  <si>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</si>
  <si>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</si>
  <si>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</si>
  <si>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</si>
  <si>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</si>
  <si>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</si>
  <si>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</si>
  <si>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</si>
  <si>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</si>
  <si>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</si>
  <si>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</si>
  <si>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</si>
  <si>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</si>
  <si>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</si>
  <si>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</si>
  <si>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</si>
  <si>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</si>
  <si>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</si>
  <si>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</si>
  <si>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</si>
  <si>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</si>
  <si>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</si>
  <si>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</si>
  <si>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</si>
  <si>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</si>
  <si>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</si>
  <si>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</si>
  <si>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</si>
  <si>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</si>
  <si>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</si>
  <si>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</si>
  <si>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</si>
  <si>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</si>
  <si>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</si>
  <si>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</si>
  <si>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</si>
  <si>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</si>
  <si>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</si>
  <si>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</si>
  <si>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</si>
  <si>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</si>
  <si>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</si>
  <si>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</si>
  <si>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</si>
  <si>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</si>
  <si>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</si>
  <si>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</si>
  <si>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</si>
  <si>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</si>
  <si>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</si>
  <si>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</si>
  <si>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</si>
  <si>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</si>
  <si>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</si>
  <si>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</si>
  <si>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</si>
  <si>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</si>
  <si>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</si>
  <si>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</si>
  <si>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</si>
  <si>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</si>
  <si>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</si>
  <si>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</si>
  <si>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</si>
  <si>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</si>
  <si>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</si>
  <si>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</si>
  <si>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</si>
  <si>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</si>
  <si>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</si>
  <si>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</si>
  <si>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</si>
  <si>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</si>
  <si>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</si>
  <si>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</si>
  <si>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</si>
  <si>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</si>
  <si>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</si>
  <si>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</si>
  <si>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</si>
  <si>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</si>
  <si>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</si>
  <si>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</si>
  <si>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</si>
  <si>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</si>
  <si>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</si>
  <si>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</si>
  <si>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</si>
  <si>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</si>
  <si>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</si>
  <si>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</si>
  <si>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</si>
  <si>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</si>
  <si>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</si>
  <si>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</si>
  <si>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</si>
  <si>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</si>
  <si>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</si>
  <si>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</si>
  <si>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</si>
  <si>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</si>
  <si>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</si>
  <si>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</si>
  <si>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</si>
  <si>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</si>
  <si>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</si>
  <si>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</si>
  <si>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</si>
  <si>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</si>
  <si>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</si>
  <si>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</si>
  <si>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</si>
  <si>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</si>
  <si>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</si>
  <si>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</si>
  <si>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</si>
  <si>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</si>
  <si>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</si>
  <si>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</si>
  <si>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</si>
  <si>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</si>
  <si>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</si>
  <si>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</si>
  <si>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</si>
  <si>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</si>
  <si>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</si>
  <si>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</si>
  <si>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</si>
  <si>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</si>
  <si>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</si>
  <si>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</si>
  <si>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</si>
  <si>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</si>
  <si>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</si>
  <si>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</si>
  <si>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</si>
  <si>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</si>
  <si>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</si>
  <si>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</si>
  <si>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</si>
  <si>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</si>
  <si>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</si>
  <si>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</si>
  <si>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</si>
  <si>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</si>
  <si>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</si>
  <si>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</si>
  <si>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</si>
  <si>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</si>
  <si>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</si>
  <si>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</si>
  <si>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</si>
  <si>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</si>
  <si>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</si>
  <si>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</si>
  <si>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</si>
  <si>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</si>
  <si>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</si>
  <si>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</si>
  <si>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</si>
  <si>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</si>
  <si>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</si>
  <si>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</si>
  <si>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</si>
  <si>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</si>
  <si>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</si>
  <si>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</si>
  <si>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</si>
  <si>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</si>
  <si>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</si>
  <si>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</si>
  <si>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</si>
  <si>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</si>
  <si>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</si>
  <si>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</si>
  <si>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</si>
  <si>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</si>
  <si>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</si>
  <si>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</si>
  <si>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</si>
  <si>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</si>
  <si>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</si>
  <si>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</si>
  <si>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</si>
  <si>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</si>
  <si>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</si>
  <si>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</si>
  <si>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</si>
  <si>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</si>
  <si>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</si>
  <si>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</si>
  <si>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</si>
  <si>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</si>
  <si>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</si>
  <si>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</si>
  <si>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</si>
  <si>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</si>
  <si>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</si>
  <si>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</si>
  <si>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</si>
  <si>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</si>
  <si>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</si>
  <si>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</si>
  <si>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</si>
  <si>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</si>
  <si>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</si>
  <si>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</si>
  <si>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</si>
  <si>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</si>
  <si>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</si>
  <si>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</si>
  <si>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</si>
  <si>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</si>
  <si>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</si>
  <si>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</si>
  <si>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</si>
  <si>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</si>
  <si>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</si>
  <si>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</si>
  <si>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</si>
  <si>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</si>
  <si>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</si>
  <si>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</si>
  <si>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</si>
  <si>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</si>
  <si>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</si>
  <si>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</si>
  <si>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</si>
  <si>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</si>
  <si>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</si>
  <si>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</si>
  <si>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</si>
  <si>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</si>
  <si>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</si>
  <si>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</si>
  <si>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</si>
  <si>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</si>
  <si>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</si>
  <si>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</si>
  <si>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</si>
  <si>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</si>
  <si>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</si>
  <si>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</si>
  <si>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</si>
  <si>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</si>
  <si>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</si>
  <si>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</si>
  <si>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</si>
  <si>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</si>
  <si>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</si>
  <si>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</si>
  <si>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</si>
  <si>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</si>
  <si>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</si>
  <si>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</si>
  <si>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</si>
  <si>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</si>
  <si>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</si>
  <si>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</si>
  <si>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</si>
  <si>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</si>
  <si>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</si>
  <si>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</si>
  <si>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</si>
  <si>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</si>
  <si>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</si>
  <si>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</si>
  <si>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</si>
  <si>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</si>
  <si>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</si>
  <si>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</si>
  <si>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</si>
  <si>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</si>
  <si>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</si>
  <si>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</si>
  <si>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</si>
  <si>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</si>
  <si>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</si>
  <si>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</si>
  <si>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</si>
  <si>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</si>
  <si>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</si>
  <si>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</si>
  <si>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</si>
  <si>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</si>
  <si>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</si>
  <si>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</si>
  <si>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</si>
  <si>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</si>
  <si>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</si>
  <si>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</si>
  <si>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</si>
  <si>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</si>
  <si>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</si>
  <si>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</si>
  <si>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</si>
  <si>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</si>
  <si>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</si>
  <si>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</si>
  <si>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</si>
  <si>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</si>
  <si>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</si>
  <si>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</si>
  <si>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</si>
  <si>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</si>
  <si>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</si>
  <si>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</si>
  <si>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</si>
  <si>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</si>
  <si>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</si>
  <si>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</si>
  <si>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</si>
  <si>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</si>
  <si>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</si>
  <si>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</si>
  <si>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</si>
  <si>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</si>
  <si>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</si>
  <si>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</si>
  <si>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</si>
  <si>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</si>
  <si>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</si>
  <si>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</si>
  <si>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</si>
  <si>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</si>
  <si>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</si>
  <si>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</si>
  <si>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</si>
  <si>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</si>
  <si>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</si>
  <si>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</si>
  <si>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</si>
  <si>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</si>
  <si>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</si>
  <si>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</si>
  <si>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</si>
  <si>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</si>
  <si>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</si>
  <si>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</si>
  <si>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</si>
  <si>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</si>
  <si>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</si>
  <si>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</si>
  <si>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</si>
  <si>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</si>
  <si>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</si>
  <si>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</si>
  <si>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</si>
  <si>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</si>
  <si>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</si>
  <si>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</si>
  <si>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</si>
  <si>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</si>
  <si>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</si>
  <si>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</si>
  <si>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</si>
  <si>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</si>
  <si>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</si>
  <si>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</si>
  <si>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</si>
  <si>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</si>
  <si>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</si>
  <si>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</si>
  <si>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</si>
  <si>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</si>
  <si>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</si>
  <si>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</si>
  <si>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</si>
  <si>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</si>
  <si>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</si>
  <si>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</si>
  <si>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</si>
  <si>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</si>
  <si>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</si>
  <si>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</si>
  <si>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</si>
  <si>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</si>
  <si>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</si>
  <si>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</si>
  <si>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</si>
  <si>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</si>
  <si>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</si>
  <si>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</si>
  <si>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</si>
  <si>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</si>
  <si>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</si>
  <si>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</si>
  <si>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</si>
  <si>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</si>
  <si>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</si>
  <si>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</si>
  <si>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</si>
  <si>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</si>
  <si>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</si>
  <si>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</si>
  <si>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</si>
  <si>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</si>
  <si>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</si>
  <si>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</si>
  <si>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</si>
  <si>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</si>
  <si>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</si>
  <si>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</si>
  <si>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</si>
  <si>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</si>
  <si>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</si>
  <si>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</si>
  <si>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</si>
  <si>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</si>
  <si>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</si>
  <si>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</si>
  <si>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</si>
  <si>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</si>
  <si>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</si>
  <si>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</si>
  <si>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</si>
  <si>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</si>
  <si>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</si>
  <si>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</si>
  <si>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</si>
  <si>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</si>
  <si>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</si>
  <si>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</si>
  <si>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</si>
  <si>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</si>
  <si>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</si>
  <si>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</si>
  <si>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</si>
  <si>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</si>
  <si>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</si>
  <si>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</si>
  <si>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</si>
  <si>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</si>
  <si>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</si>
  <si>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</si>
  <si>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</si>
  <si>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</si>
  <si>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</si>
  <si>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</si>
  <si>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</si>
  <si>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</si>
  <si>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</si>
  <si>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</si>
  <si>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</si>
  <si>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</si>
  <si>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</si>
  <si>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</si>
  <si>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</si>
  <si>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</si>
  <si>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</si>
  <si>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</si>
  <si>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</si>
  <si>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</si>
  <si>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</si>
  <si>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</si>
  <si>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</si>
  <si>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</si>
  <si>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</si>
  <si>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</si>
  <si>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</si>
  <si>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</si>
  <si>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</si>
  <si>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</si>
  <si>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</si>
  <si>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</si>
  <si>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</si>
  <si>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</si>
  <si>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</si>
  <si>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</si>
  <si>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</si>
  <si>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</si>
  <si>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</si>
  <si>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</si>
  <si>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</si>
  <si>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</si>
  <si>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</si>
  <si>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</si>
  <si>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</si>
  <si>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</si>
  <si>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</si>
  <si>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</si>
  <si>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</si>
  <si>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</si>
  <si>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</si>
  <si>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</si>
  <si>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</si>
  <si>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</si>
  <si>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</si>
  <si>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</si>
  <si>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</si>
  <si>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</si>
  <si>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</si>
  <si>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</si>
  <si>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</si>
  <si>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</si>
  <si>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</si>
  <si>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</si>
  <si>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</si>
  <si>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</si>
  <si>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</si>
  <si>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</si>
  <si>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</si>
  <si>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</si>
  <si>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</si>
  <si>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</si>
  <si>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</si>
  <si>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</si>
  <si>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</si>
  <si>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</si>
  <si>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</si>
  <si>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</si>
  <si>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</si>
  <si>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</si>
  <si>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</si>
  <si>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</si>
  <si>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</si>
  <si>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</si>
  <si>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</si>
  <si>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</si>
  <si>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</si>
  <si>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</si>
  <si>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</si>
  <si>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</si>
  <si>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</si>
  <si>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</si>
  <si>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</si>
  <si>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</si>
  <si>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</si>
  <si>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</si>
  <si>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</si>
  <si>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</si>
  <si>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</si>
  <si>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</si>
  <si>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</si>
  <si>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</si>
  <si>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</si>
  <si>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</si>
  <si>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</si>
  <si>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</si>
  <si>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</si>
  <si>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</si>
  <si>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</si>
  <si>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</si>
  <si>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</si>
  <si>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</si>
  <si>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</si>
  <si>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</si>
  <si>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</si>
  <si>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</si>
  <si>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</si>
  <si>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</si>
  <si>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</si>
  <si>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</si>
  <si>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</si>
  <si>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</si>
  <si>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</si>
  <si>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</si>
  <si>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</si>
  <si>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</si>
  <si>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</si>
  <si>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</si>
  <si>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</si>
  <si>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</si>
  <si>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</si>
  <si>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</si>
  <si>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</si>
  <si>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</si>
  <si>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</si>
  <si>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</si>
  <si>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</si>
  <si>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</si>
  <si>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</si>
  <si>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</si>
  <si>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</si>
  <si>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</si>
  <si>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</si>
  <si>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</si>
  <si>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</si>
  <si>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</si>
  <si>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</si>
  <si>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</si>
  <si>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</si>
  <si>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</si>
  <si>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</si>
  <si>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</si>
  <si>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</si>
  <si>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</si>
  <si>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</si>
  <si>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</si>
  <si>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</si>
  <si>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</si>
  <si>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</si>
  <si>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</si>
  <si>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</si>
  <si>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</si>
  <si>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</si>
  <si>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</si>
  <si>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</si>
  <si>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</si>
  <si>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</si>
  <si>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</si>
  <si>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</si>
  <si>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</si>
  <si>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</si>
  <si>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</si>
  <si>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</si>
  <si>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</si>
  <si>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</si>
  <si>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</si>
  <si>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</si>
  <si>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</si>
  <si>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</si>
  <si>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</si>
  <si>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</si>
  <si>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</si>
  <si>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</si>
  <si>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</si>
  <si>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</si>
  <si>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</si>
  <si>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</si>
  <si>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</si>
  <si>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</si>
  <si>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</si>
  <si>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</si>
  <si>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</si>
  <si>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</si>
  <si>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</si>
  <si>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</si>
  <si>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</si>
  <si>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</si>
  <si>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</si>
  <si>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</si>
  <si>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</si>
  <si>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</si>
  <si>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</si>
  <si>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</si>
  <si>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</si>
  <si>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</si>
  <si>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</si>
  <si>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</si>
  <si>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</si>
  <si>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</si>
  <si>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</si>
  <si>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</si>
  <si>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</si>
  <si>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</si>
  <si>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</si>
  <si>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</si>
  <si>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</si>
  <si>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</si>
  <si>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</si>
  <si>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</si>
  <si>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</si>
  <si>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</si>
  <si>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</si>
  <si>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</si>
  <si>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</si>
  <si>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</si>
  <si>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</si>
  <si>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</si>
  <si>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</si>
  <si>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</si>
  <si>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</si>
  <si>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</si>
  <si>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</si>
  <si>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</si>
  <si>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</si>
  <si>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</si>
  <si>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</si>
  <si>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</si>
  <si>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</si>
  <si>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</si>
  <si>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</si>
  <si>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</si>
  <si>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</si>
  <si>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</si>
  <si>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</si>
  <si>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</si>
  <si>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</si>
  <si>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</si>
  <si>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</si>
  <si>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</si>
  <si>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</si>
  <si>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</si>
  <si>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</si>
  <si>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</si>
  <si>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</si>
  <si>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</si>
  <si>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</si>
  <si>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</si>
  <si>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</si>
  <si>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</si>
  <si>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</si>
  <si>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</si>
  <si>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</si>
  <si>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</si>
  <si>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</si>
  <si>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</si>
  <si>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</si>
  <si>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</si>
  <si>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</si>
  <si>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</si>
  <si>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</si>
  <si>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</si>
  <si>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</si>
  <si>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</si>
  <si>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</si>
  <si>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</si>
  <si>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</si>
  <si>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</si>
  <si>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</si>
  <si>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</si>
  <si>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</si>
  <si>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</si>
  <si>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</si>
  <si>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</si>
  <si>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</si>
  <si>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</si>
  <si>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</si>
  <si>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</si>
  <si>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</si>
  <si>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</si>
  <si>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</si>
  <si>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</si>
  <si>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</si>
  <si>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</si>
  <si>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</si>
  <si>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</si>
  <si>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</si>
  <si>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</si>
  <si>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</si>
  <si>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</si>
  <si>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</si>
  <si>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</si>
  <si>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</si>
  <si>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</si>
  <si>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</si>
  <si>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</si>
  <si>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</si>
  <si>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</si>
  <si>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</si>
  <si>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</si>
  <si>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</si>
  <si>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</si>
  <si>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</si>
  <si>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</si>
  <si>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</si>
  <si>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</si>
  <si>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</si>
  <si>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</si>
  <si>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</si>
  <si>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</si>
  <si>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</si>
  <si>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</si>
  <si>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</si>
  <si>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</si>
  <si>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</si>
  <si>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</si>
  <si>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</si>
  <si>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</si>
  <si>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</si>
  <si>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</si>
  <si>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</si>
  <si>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</si>
  <si>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</si>
  <si>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</si>
  <si>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</si>
  <si>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</si>
  <si>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</si>
  <si>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</si>
  <si>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</si>
  <si>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</si>
  <si>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</si>
  <si>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</si>
  <si>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</si>
  <si>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</si>
  <si>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</si>
  <si>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</si>
  <si>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</si>
  <si>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</si>
  <si>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</si>
  <si>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</si>
  <si>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</si>
  <si>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</si>
  <si>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</si>
  <si>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</si>
  <si>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</si>
  <si>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</si>
  <si>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</si>
  <si>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</si>
  <si>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</si>
  <si>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</si>
  <si>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</si>
  <si>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</si>
  <si>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</si>
  <si>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</si>
  <si>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</si>
  <si>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</si>
  <si>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</si>
  <si>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</si>
  <si>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</si>
  <si>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</si>
  <si>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</si>
  <si>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</si>
  <si>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</si>
  <si>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</si>
  <si>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</si>
  <si>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</si>
  <si>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</si>
  <si>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</si>
  <si>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</si>
  <si>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</si>
  <si>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</si>
  <si>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</si>
  <si>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</si>
  <si>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</si>
  <si>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</si>
  <si>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</si>
  <si>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</si>
  <si>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</si>
  <si>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</si>
  <si>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</si>
  <si>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</si>
  <si>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</si>
  <si>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</si>
  <si>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</si>
  <si>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</si>
  <si>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</si>
  <si>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</si>
  <si>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</si>
  <si>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</si>
  <si>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</si>
  <si>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</si>
  <si>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</si>
  <si>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</si>
  <si>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</si>
  <si>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</si>
  <si>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</si>
  <si>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</si>
  <si>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</si>
  <si>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</si>
  <si>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</si>
  <si>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</si>
  <si>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</si>
  <si>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</si>
  <si>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</si>
  <si>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</si>
  <si>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</si>
  <si>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</si>
  <si>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</si>
  <si>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</si>
  <si>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</si>
  <si>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</si>
  <si>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</si>
  <si>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</si>
  <si>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</si>
  <si>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</si>
  <si>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</si>
  <si>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</si>
  <si>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</si>
  <si>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</si>
  <si>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</si>
  <si>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</si>
  <si>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</si>
  <si>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</si>
  <si>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</si>
  <si>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</si>
  <si>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</si>
  <si>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</si>
  <si>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</si>
  <si>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</si>
  <si>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</si>
  <si>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</si>
  <si>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</si>
  <si>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</si>
  <si>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</si>
  <si>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</si>
  <si>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</si>
  <si>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</si>
  <si>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</si>
  <si>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</si>
  <si>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</si>
  <si>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</si>
  <si>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</si>
  <si>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</si>
  <si>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</si>
  <si>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</si>
  <si>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</si>
  <si>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</si>
  <si>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</si>
  <si>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</si>
  <si>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</si>
  <si>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</si>
  <si>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</si>
  <si>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</si>
  <si>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</si>
  <si>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</si>
  <si>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</si>
  <si>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</si>
  <si>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</si>
  <si>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</si>
  <si>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</si>
  <si>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</si>
  <si>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</si>
  <si>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</si>
  <si>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</si>
  <si>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</si>
  <si>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</si>
  <si>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</si>
  <si>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</si>
  <si>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</si>
  <si>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</si>
  <si>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</si>
  <si>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</si>
  <si>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</si>
  <si>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</si>
  <si>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</si>
  <si>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</si>
  <si>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</si>
  <si>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</si>
  <si>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</si>
  <si>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</si>
  <si>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</si>
  <si>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</si>
  <si>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</si>
  <si>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</si>
  <si>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</si>
  <si>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</si>
  <si>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</si>
  <si>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</si>
  <si>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</si>
  <si>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</si>
  <si>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</si>
  <si>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</si>
  <si>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</si>
  <si>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</si>
  <si>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</si>
  <si>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</si>
  <si>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</si>
  <si>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</si>
  <si>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</si>
  <si>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</si>
  <si>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</si>
  <si>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</si>
  <si>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</si>
  <si>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</si>
  <si>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</si>
  <si>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</si>
  <si>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</si>
  <si>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</si>
  <si>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</si>
  <si>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</si>
  <si>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</si>
  <si>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</si>
  <si>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</si>
  <si>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</si>
  <si>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</si>
  <si>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</si>
  <si>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</si>
  <si>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</si>
  <si>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</si>
  <si>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</si>
  <si>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</si>
  <si>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</si>
  <si>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</si>
  <si>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</si>
  <si>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</si>
  <si>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</si>
  <si>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</si>
  <si>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</si>
  <si>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</si>
  <si>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</si>
  <si>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</si>
  <si>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</si>
  <si>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</si>
  <si>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</si>
  <si>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</si>
  <si>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</si>
  <si>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</si>
  <si>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</si>
  <si>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</si>
  <si>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</si>
  <si>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</si>
  <si>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</si>
  <si>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</si>
  <si>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</si>
  <si>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</si>
  <si>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</si>
  <si>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</si>
  <si>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</si>
  <si>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</si>
  <si>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</si>
  <si>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</si>
  <si>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</si>
  <si>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</si>
  <si>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</si>
  <si>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</si>
  <si>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</si>
  <si>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</si>
  <si>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</si>
  <si>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</si>
  <si>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</si>
  <si>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</si>
  <si>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</si>
  <si>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</si>
  <si>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</si>
  <si>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</si>
  <si>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</si>
  <si>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</si>
  <si>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</si>
  <si>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</si>
  <si>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</si>
  <si>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</si>
  <si>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</si>
  <si>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</si>
  <si>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</si>
  <si>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</si>
  <si>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</si>
  <si>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</si>
  <si>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</si>
  <si>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</si>
  <si>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</si>
  <si>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</si>
  <si>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</si>
  <si>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</si>
  <si>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</si>
  <si>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</si>
  <si>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</si>
  <si>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</si>
  <si>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</si>
  <si>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</si>
  <si>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</si>
  <si>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</si>
  <si>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</si>
  <si>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</si>
  <si>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</si>
  <si>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</si>
  <si>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</si>
  <si>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</si>
  <si>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</si>
  <si>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</si>
  <si>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</si>
  <si>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</si>
  <si>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</si>
  <si>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</si>
  <si>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</si>
  <si>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</si>
  <si>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</si>
  <si>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</si>
  <si>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</si>
  <si>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</si>
  <si>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</si>
  <si>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</si>
  <si>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</si>
  <si>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</si>
  <si>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</si>
  <si>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</si>
  <si>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</si>
  <si>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</si>
  <si>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</si>
  <si>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</si>
  <si>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</si>
  <si>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</si>
  <si>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</si>
  <si>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</si>
  <si>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</si>
  <si>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</si>
  <si>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</si>
  <si>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</si>
  <si>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</si>
  <si>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</si>
  <si>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</si>
  <si>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</si>
  <si>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</si>
  <si>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</si>
  <si>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</si>
  <si>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</si>
  <si>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</si>
  <si>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</si>
  <si>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</si>
  <si>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</si>
  <si>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</si>
  <si>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</si>
  <si>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</si>
  <si>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</si>
  <si>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</si>
  <si>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</si>
  <si>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</si>
  <si>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</si>
  <si>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</si>
  <si>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</si>
  <si>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</si>
  <si>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</si>
  <si>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</si>
  <si>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</si>
  <si>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</si>
  <si>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</si>
  <si>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</si>
  <si>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</si>
  <si>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</si>
  <si>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</si>
  <si>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</si>
  <si>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</si>
  <si>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</si>
  <si>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</si>
  <si>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</si>
  <si>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</si>
  <si>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</si>
  <si>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</si>
  <si>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</si>
  <si>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</si>
  <si>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</si>
  <si>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</si>
  <si>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</si>
  <si>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</si>
  <si>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</si>
  <si>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</si>
  <si>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</si>
  <si>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</si>
  <si>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</si>
  <si>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</si>
  <si>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</si>
  <si>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</si>
  <si>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</si>
  <si>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</si>
  <si>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</si>
  <si>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</si>
  <si>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</si>
  <si>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</si>
  <si>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</si>
  <si>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</si>
  <si>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</si>
  <si>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</si>
  <si>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</si>
  <si>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</si>
  <si>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</si>
  <si>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</si>
  <si>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</si>
  <si>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</si>
  <si>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</si>
  <si>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</si>
  <si>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</si>
  <si>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</si>
  <si>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</si>
  <si>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</si>
  <si>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</si>
  <si>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</si>
  <si>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</si>
  <si>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</si>
  <si>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</si>
  <si>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</si>
  <si>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</si>
  <si>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</si>
  <si>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</si>
  <si>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</si>
  <si>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</si>
  <si>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</si>
  <si>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</si>
  <si>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</si>
  <si>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</si>
  <si>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</si>
  <si>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</si>
  <si>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</si>
  <si>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</si>
  <si>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</si>
  <si>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</si>
  <si>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</si>
  <si>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</si>
  <si>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</si>
  <si>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</si>
  <si>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</si>
  <si>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</si>
  <si>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</si>
  <si>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</si>
  <si>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</si>
  <si>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</si>
  <si>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</si>
  <si>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</si>
  <si>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</si>
  <si>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</si>
  <si>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</si>
  <si>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</si>
  <si>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</si>
  <si>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</si>
  <si>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</si>
  <si>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</si>
  <si>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</si>
  <si>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</si>
  <si>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</si>
  <si>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</si>
  <si>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</si>
  <si>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</si>
  <si>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</si>
  <si>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</si>
  <si>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</si>
  <si>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</si>
  <si>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</si>
  <si>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</si>
  <si>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</si>
  <si>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</si>
  <si>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</si>
  <si>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</si>
  <si>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</si>
  <si>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</si>
  <si>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</si>
  <si>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</si>
  <si>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</si>
  <si>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</si>
  <si>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</si>
  <si>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</si>
  <si>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</si>
  <si>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</si>
  <si>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</si>
  <si>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</si>
  <si>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</si>
  <si>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</si>
  <si>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</si>
  <si>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</si>
  <si>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</si>
  <si>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</si>
  <si>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</si>
  <si>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</si>
  <si>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</si>
  <si>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</si>
  <si>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</si>
  <si>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</si>
  <si>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</si>
  <si>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</si>
  <si>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</si>
  <si>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</si>
  <si>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</si>
  <si>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</si>
  <si>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</si>
  <si>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</si>
  <si>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</si>
  <si>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</si>
  <si>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</si>
  <si>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</si>
  <si>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</si>
  <si>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</si>
  <si>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</si>
  <si>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</si>
  <si>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</si>
  <si>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</si>
  <si>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</si>
  <si>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</si>
  <si>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</si>
  <si>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</si>
  <si>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</si>
  <si>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</si>
  <si>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</si>
  <si>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</si>
  <si>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</si>
  <si>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</si>
  <si>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</si>
  <si>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</si>
  <si>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</si>
  <si>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</si>
  <si>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</si>
  <si>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</si>
  <si>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</si>
  <si>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</si>
  <si>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</si>
  <si>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</si>
  <si>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</si>
  <si>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</si>
  <si>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</si>
  <si>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</si>
  <si>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</si>
  <si>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</si>
  <si>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</si>
  <si>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</si>
  <si>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</si>
  <si>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</si>
  <si>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</si>
  <si>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</si>
  <si>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</si>
  <si>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</si>
  <si>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</si>
  <si>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</si>
  <si>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</si>
  <si>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</si>
  <si>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</si>
  <si>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</si>
  <si>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</si>
  <si>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</si>
  <si>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</si>
  <si>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</si>
  <si>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</si>
  <si>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</si>
  <si>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</si>
  <si>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</si>
  <si>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</si>
  <si>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</si>
  <si>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</si>
  <si>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</si>
  <si>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</si>
  <si>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</si>
  <si>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</si>
  <si>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</si>
  <si>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</si>
  <si>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</si>
  <si>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</si>
  <si>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</si>
  <si>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</si>
  <si>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</si>
  <si>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</si>
  <si>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</si>
  <si>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</si>
  <si>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</si>
  <si>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</si>
  <si>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</si>
  <si>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</si>
  <si>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</si>
  <si>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</si>
  <si>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</si>
  <si>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</si>
  <si>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</si>
  <si>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</si>
  <si>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</si>
  <si>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</si>
  <si>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</si>
  <si>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</si>
  <si>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</si>
  <si>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</si>
  <si>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</si>
  <si>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</si>
  <si>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</si>
  <si>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</si>
  <si>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</si>
  <si>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</si>
  <si>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</si>
  <si>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</si>
  <si>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</si>
  <si>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</si>
  <si>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</si>
  <si>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</si>
  <si>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</si>
  <si>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</si>
  <si>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</si>
  <si>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</si>
  <si>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</si>
  <si>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</si>
  <si>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</si>
  <si>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</si>
  <si>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</si>
  <si>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</si>
  <si>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</si>
  <si>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</si>
  <si>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</si>
  <si>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</si>
  <si>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</si>
  <si>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</si>
  <si>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</si>
  <si>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</si>
  <si>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</si>
  <si>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</si>
  <si>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</si>
  <si>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</si>
  <si>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</si>
  <si>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</si>
  <si>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</si>
  <si>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</si>
  <si>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</si>
  <si>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</si>
  <si>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</si>
  <si>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</si>
  <si>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</si>
  <si>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</si>
  <si>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</si>
  <si>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</si>
  <si>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</si>
  <si>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</si>
  <si>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</si>
  <si>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</si>
  <si>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</si>
  <si>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</si>
  <si>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</si>
  <si>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</si>
  <si>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</si>
  <si>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</si>
  <si>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</si>
  <si>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</si>
  <si>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</si>
  <si>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</si>
  <si>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</si>
  <si>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</si>
  <si>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</si>
  <si>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</si>
  <si>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</si>
  <si>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</si>
  <si>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</si>
  <si>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</si>
  <si>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</si>
  <si>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</si>
  <si>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</si>
  <si>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</si>
  <si>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</si>
  <si>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</si>
  <si>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</si>
  <si>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</si>
  <si>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</si>
  <si>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</si>
  <si>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</si>
  <si>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</si>
  <si>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</si>
  <si>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</si>
  <si>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</si>
  <si>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</si>
  <si>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</si>
  <si>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</si>
  <si>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</si>
  <si>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</si>
  <si>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</si>
  <si>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</si>
  <si>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</si>
  <si>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</si>
  <si>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</si>
  <si>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</si>
  <si>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</si>
  <si>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</si>
  <si>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</si>
  <si>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</si>
  <si>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</si>
  <si>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</si>
  <si>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</si>
  <si>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</si>
  <si>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</si>
  <si>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</si>
  <si>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</si>
  <si>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</si>
  <si>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</si>
  <si>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</si>
  <si>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</si>
  <si>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</si>
  <si>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</si>
  <si>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</si>
  <si>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</si>
  <si>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</si>
  <si>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</si>
  <si>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</si>
  <si>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</si>
  <si>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</si>
  <si>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</si>
  <si>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</si>
  <si>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</si>
  <si>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</si>
  <si>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</si>
  <si>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</si>
  <si>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</si>
  <si>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</si>
  <si>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</si>
  <si>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</si>
  <si>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</si>
  <si>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</si>
  <si>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</si>
  <si>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</si>
  <si>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</si>
  <si>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</si>
  <si>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</si>
  <si>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</si>
  <si>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</si>
  <si>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</si>
  <si>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</si>
  <si>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</si>
  <si>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</si>
  <si>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</si>
  <si>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</si>
  <si>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</si>
  <si>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</si>
  <si>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</si>
  <si>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</si>
  <si>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</si>
  <si>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</si>
  <si>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</si>
  <si>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</si>
  <si>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</si>
  <si>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</si>
  <si>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</si>
  <si>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</si>
  <si>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</si>
  <si>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</si>
  <si>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</si>
  <si>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</si>
  <si>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</si>
  <si>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</si>
  <si>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</si>
  <si>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</si>
  <si>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</si>
  <si>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</si>
  <si>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</si>
  <si>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</si>
  <si>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</si>
  <si>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</si>
  <si>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</si>
  <si>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</si>
  <si>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</si>
  <si>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</si>
  <si>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</si>
  <si>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</si>
  <si>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</si>
  <si>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</si>
  <si>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</si>
  <si>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</si>
  <si>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</si>
  <si>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</si>
  <si>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</si>
  <si>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</si>
  <si>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</si>
  <si>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</si>
  <si>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</si>
  <si>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</si>
  <si>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</si>
  <si>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</si>
  <si>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</si>
  <si>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</si>
  <si>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</si>
  <si>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</si>
  <si>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</si>
  <si>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</si>
  <si>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</si>
  <si>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</si>
  <si>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</si>
  <si>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</si>
  <si>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</si>
  <si>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</si>
  <si>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</si>
  <si>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</si>
  <si>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</si>
  <si>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</si>
  <si>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</si>
  <si>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</si>
  <si>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</si>
  <si>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</si>
  <si>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</si>
  <si>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</si>
  <si>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</si>
  <si>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</si>
  <si>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</si>
  <si>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</si>
  <si>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</si>
  <si>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</si>
  <si>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</si>
  <si>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</si>
  <si>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</si>
  <si>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</si>
  <si>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</si>
  <si>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</si>
  <si>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</si>
  <si>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</si>
  <si>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</si>
  <si>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</si>
  <si>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</si>
  <si>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</si>
  <si>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</si>
  <si>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</si>
  <si>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</si>
  <si>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</si>
  <si>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</si>
  <si>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</si>
  <si>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</si>
  <si>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</si>
  <si>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</si>
  <si>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</si>
  <si>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</si>
  <si>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</si>
  <si>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</si>
  <si>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</si>
  <si>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</si>
  <si>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</si>
  <si>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</si>
  <si>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</si>
  <si>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</si>
  <si>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</si>
  <si>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</si>
  <si>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</si>
  <si>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</si>
  <si>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</si>
  <si>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</si>
  <si>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</si>
  <si>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</si>
  <si>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</si>
  <si>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</si>
  <si>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</si>
  <si>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</si>
  <si>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</si>
  <si>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</si>
  <si>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</si>
  <si>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</si>
  <si>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</si>
  <si>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</si>
  <si>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</si>
  <si>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</si>
  <si>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</si>
  <si>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</si>
  <si>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</si>
  <si>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</si>
  <si>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</si>
  <si>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</si>
  <si>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</si>
  <si>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</si>
  <si>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</si>
  <si>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</si>
  <si>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</si>
  <si>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</si>
  <si>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</si>
  <si>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</si>
  <si>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</si>
  <si>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</si>
  <si>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</si>
  <si>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</si>
  <si>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</si>
  <si>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</si>
  <si>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</si>
  <si>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</si>
  <si>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</si>
  <si>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</si>
  <si>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</si>
  <si>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</si>
  <si>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</si>
  <si>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</si>
  <si>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</si>
  <si>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</si>
  <si>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</si>
  <si>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</si>
  <si>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</si>
  <si>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</si>
  <si>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</si>
  <si>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</si>
  <si>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</si>
  <si>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</si>
  <si>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</si>
  <si>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</si>
  <si>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</si>
  <si>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</si>
  <si>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</si>
  <si>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</si>
  <si>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</si>
  <si>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</si>
  <si>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</si>
  <si>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</si>
  <si>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</si>
  <si>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</si>
  <si>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</si>
  <si>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</si>
  <si>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</si>
  <si>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</si>
  <si>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</si>
  <si>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</si>
  <si>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</si>
  <si>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</si>
  <si>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</si>
  <si>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</si>
  <si>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</si>
  <si>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</si>
  <si>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</si>
  <si>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</si>
  <si>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</si>
  <si>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</si>
  <si>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</si>
  <si>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</si>
  <si>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</si>
  <si>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</si>
  <si>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</si>
  <si>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</si>
  <si>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</si>
  <si>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</si>
  <si>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</si>
  <si>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</si>
  <si>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</si>
  <si>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</si>
  <si>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</si>
  <si>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</si>
  <si>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</si>
  <si>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</si>
  <si>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</si>
  <si>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</si>
  <si>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</si>
  <si>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</si>
  <si>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</si>
  <si>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</si>
  <si>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</si>
  <si>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</si>
  <si>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</si>
  <si>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</si>
  <si>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</si>
  <si>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</si>
  <si>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</si>
  <si>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</si>
  <si>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</si>
  <si>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</si>
  <si>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</si>
  <si>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</si>
  <si>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</si>
  <si>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</si>
  <si>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</si>
  <si>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</si>
  <si>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</si>
  <si>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</si>
  <si>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</si>
  <si>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</si>
  <si>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</si>
  <si>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</si>
  <si>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</si>
  <si>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</si>
  <si>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</si>
  <si>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</si>
  <si>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</si>
  <si>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</si>
  <si>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</si>
  <si>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</si>
  <si>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</si>
  <si>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</si>
  <si>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</si>
  <si>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</si>
  <si>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</si>
  <si>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</si>
  <si>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</si>
  <si>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</si>
  <si>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</si>
  <si>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</si>
  <si>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</si>
  <si>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</si>
  <si>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</si>
  <si>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</si>
  <si>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</si>
  <si>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</si>
  <si>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</si>
  <si>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</si>
  <si>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</si>
  <si>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</si>
  <si>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</si>
  <si>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</si>
  <si>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</si>
  <si>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</si>
  <si>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</si>
  <si>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</si>
  <si>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</si>
  <si>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</si>
  <si>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</si>
  <si>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</si>
  <si>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</si>
  <si>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</si>
  <si>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</si>
  <si>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</si>
  <si>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</si>
  <si>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</si>
  <si>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</si>
  <si>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</si>
  <si>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</si>
  <si>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</si>
  <si>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</si>
  <si>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</si>
  <si>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</si>
  <si>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</si>
  <si>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</si>
  <si>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</si>
  <si>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</si>
  <si>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</si>
  <si>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</si>
  <si>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</si>
  <si>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</si>
  <si>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</si>
  <si>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</si>
  <si>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</si>
  <si>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</si>
  <si>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</si>
  <si>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</si>
  <si>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</si>
  <si>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</si>
  <si>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</si>
  <si>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</si>
  <si>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</si>
  <si>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</si>
  <si>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</si>
  <si>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</si>
  <si>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</si>
  <si>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</si>
  <si>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</si>
  <si>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</si>
  <si>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</si>
  <si>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</si>
  <si>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</si>
  <si>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</si>
  <si>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</si>
  <si>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</si>
  <si>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</si>
  <si>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</si>
  <si>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</si>
  <si>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</si>
  <si>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</si>
  <si>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</si>
  <si>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</si>
  <si>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</si>
  <si>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</si>
  <si>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</si>
  <si>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</si>
  <si>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</si>
  <si>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</si>
  <si>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</si>
  <si>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</si>
  <si>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</si>
  <si>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</si>
  <si>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</si>
  <si>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</si>
  <si>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</si>
  <si>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</si>
  <si>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</si>
  <si>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</si>
  <si>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</si>
  <si>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</si>
  <si>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</si>
  <si>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</si>
  <si>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</si>
  <si>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</si>
  <si>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</si>
  <si>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</si>
  <si>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</si>
  <si>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</si>
  <si>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</si>
  <si>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</si>
  <si>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</si>
  <si>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</si>
  <si>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</si>
  <si>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</si>
  <si>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</si>
  <si>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</si>
  <si>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</si>
  <si>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</si>
  <si>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</si>
  <si>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</si>
  <si>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</si>
  <si>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</si>
  <si>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</si>
  <si>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</si>
  <si>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</si>
  <si>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</si>
  <si>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</si>
  <si>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</si>
  <si>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</si>
  <si>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</si>
  <si>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</si>
  <si>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</si>
  <si>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</si>
  <si>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</si>
  <si>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</si>
  <si>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</si>
  <si>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</si>
  <si>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</si>
  <si>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</si>
  <si>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</si>
  <si>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</si>
  <si>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</si>
  <si>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</si>
  <si>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</si>
  <si>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</si>
  <si>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</si>
  <si>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</si>
  <si>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</si>
  <si>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</si>
  <si>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</si>
  <si>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</si>
  <si>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</si>
  <si>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</si>
  <si>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</si>
  <si>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</si>
  <si>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</si>
  <si>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</si>
  <si>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</si>
  <si>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</si>
  <si>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</si>
  <si>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</si>
  <si>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</si>
  <si>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</si>
  <si>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</si>
  <si>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</si>
  <si>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</si>
  <si>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</si>
  <si>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</si>
  <si>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</si>
  <si>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</si>
  <si>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</si>
  <si>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</si>
  <si>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</si>
  <si>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</si>
  <si>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</si>
  <si>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</si>
  <si>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</si>
  <si>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</si>
  <si>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</si>
  <si>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</si>
  <si>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</si>
  <si>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</si>
  <si>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</si>
  <si>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</si>
  <si>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</si>
  <si>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</si>
  <si>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</si>
  <si>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</si>
  <si>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</si>
  <si>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</si>
  <si>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</si>
  <si>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</si>
  <si>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</si>
  <si>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</si>
  <si>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</si>
  <si>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</si>
  <si>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</si>
  <si>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</si>
  <si>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</si>
  <si>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</si>
  <si>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</si>
  <si>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</si>
  <si>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</si>
  <si>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</si>
  <si>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</si>
  <si>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</si>
  <si>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</si>
  <si>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</si>
  <si>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</si>
  <si>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</si>
  <si>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</si>
  <si>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</si>
  <si>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</si>
  <si>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</si>
  <si>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</si>
  <si>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</si>
  <si>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</si>
  <si>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</si>
  <si>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</si>
  <si>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</si>
  <si>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</si>
  <si>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</si>
  <si>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</si>
  <si>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</si>
  <si>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</si>
  <si>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</si>
  <si>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</si>
  <si>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</si>
  <si>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</si>
  <si>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</si>
  <si>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</si>
  <si>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</si>
  <si>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</si>
  <si>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</si>
  <si>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</si>
  <si>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</si>
  <si>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</si>
  <si>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</si>
  <si>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</si>
  <si>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</si>
  <si>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</si>
  <si>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</si>
  <si>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</si>
  <si>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</si>
  <si>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</si>
  <si>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</si>
  <si>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</si>
  <si>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</si>
  <si>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</si>
  <si>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</si>
  <si>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</si>
  <si>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</si>
  <si>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</si>
  <si>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</si>
  <si>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</si>
  <si>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</si>
  <si>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</si>
  <si>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</si>
  <si>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</si>
  <si>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</si>
  <si>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</si>
  <si>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</si>
  <si>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</si>
  <si>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</si>
  <si>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</si>
  <si>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</si>
  <si>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</si>
  <si>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</si>
  <si>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</si>
  <si>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</si>
  <si>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</si>
  <si>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</si>
  <si>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</si>
  <si>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</si>
  <si>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</si>
  <si>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</si>
  <si>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</si>
  <si>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</si>
  <si>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</si>
  <si>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</si>
  <si>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</si>
  <si>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</si>
  <si>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</si>
  <si>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</si>
  <si>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</si>
  <si>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</si>
  <si>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</si>
  <si>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</si>
  <si>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</si>
  <si>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</si>
  <si>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</si>
  <si>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</si>
  <si>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</si>
  <si>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</si>
  <si>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</si>
  <si>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</si>
  <si>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</si>
  <si>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</si>
  <si>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</si>
  <si>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</si>
  <si>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</si>
  <si>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</si>
  <si>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</si>
  <si>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</si>
  <si>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</si>
  <si>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</si>
  <si>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</si>
  <si>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</si>
  <si>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</si>
  <si>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</si>
  <si>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</si>
  <si>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</si>
  <si>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</si>
  <si>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</si>
  <si>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</si>
  <si>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</si>
  <si>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</si>
  <si>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</si>
  <si>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</si>
  <si>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</si>
  <si>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</si>
  <si>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</si>
  <si>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</si>
  <si>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</si>
  <si>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</si>
  <si>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</si>
  <si>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</si>
  <si>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</si>
  <si>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</si>
  <si>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</si>
  <si>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</si>
  <si>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</si>
  <si>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</si>
  <si>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</si>
  <si>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</si>
  <si>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</si>
  <si>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</si>
  <si>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</si>
  <si>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</si>
  <si>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</si>
  <si>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</si>
  <si>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</si>
  <si>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</si>
  <si>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</si>
  <si>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</si>
  <si>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</si>
  <si>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</si>
  <si>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</si>
  <si>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</si>
  <si>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</si>
  <si>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</si>
  <si>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</si>
  <si>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</si>
  <si>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</si>
  <si>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</si>
  <si>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</si>
  <si>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</si>
  <si>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</si>
  <si>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</si>
  <si>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</si>
  <si>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</si>
  <si>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</si>
  <si>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</si>
  <si>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</si>
  <si>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</si>
  <si>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</si>
  <si>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</si>
  <si>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</si>
  <si>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</si>
  <si>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</si>
  <si>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</si>
  <si>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</si>
  <si>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</si>
  <si>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</si>
  <si>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</si>
  <si>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</si>
  <si>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</si>
  <si>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</si>
  <si>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</si>
  <si>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</si>
  <si>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</si>
  <si>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</si>
  <si>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</si>
  <si>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</si>
  <si>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</si>
  <si>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</si>
  <si>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</si>
  <si>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</si>
  <si>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</si>
  <si>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</si>
  <si>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</si>
  <si>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</si>
  <si>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</si>
  <si>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</si>
  <si>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</si>
  <si>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</si>
  <si>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</si>
  <si>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</si>
  <si>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</si>
  <si>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</si>
  <si>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</si>
  <si>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</si>
  <si>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</si>
  <si>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</si>
  <si>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</si>
  <si>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</si>
  <si>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</si>
  <si>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</si>
  <si>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</si>
  <si>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</si>
  <si>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</si>
  <si>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</si>
  <si>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</si>
  <si>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</si>
  <si>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</si>
  <si>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</si>
  <si>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</si>
  <si>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</si>
  <si>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</si>
  <si>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</si>
  <si>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</si>
  <si>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</si>
  <si>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</si>
  <si>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</si>
  <si>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</si>
  <si>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</si>
  <si>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</si>
  <si>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</si>
  <si>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</si>
  <si>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</si>
  <si>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</si>
  <si>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</si>
  <si>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</si>
  <si>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</si>
  <si>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</si>
  <si>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</si>
  <si>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</si>
  <si>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</si>
  <si>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</si>
  <si>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</si>
  <si>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</si>
  <si>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</si>
  <si>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</si>
  <si>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</si>
  <si>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</si>
  <si>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</si>
  <si>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</si>
  <si>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</si>
  <si>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</si>
  <si>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</si>
  <si>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</si>
  <si>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</si>
  <si>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</si>
  <si>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</si>
  <si>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</si>
  <si>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</si>
  <si>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</si>
  <si>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</si>
  <si>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</si>
  <si>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</si>
  <si>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</si>
  <si>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</si>
  <si>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</si>
  <si>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</si>
  <si>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</si>
  <si>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</si>
  <si>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</si>
  <si>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</si>
  <si>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</si>
  <si>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</si>
  <si>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</si>
  <si>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</si>
  <si>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</si>
  <si>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</si>
  <si>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</si>
  <si>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</si>
  <si>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</si>
  <si>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</si>
  <si>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</si>
  <si>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</si>
  <si>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</si>
  <si>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</si>
  <si>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</si>
  <si>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</si>
  <si>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</si>
  <si>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</si>
  <si>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</si>
  <si>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</si>
  <si>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</si>
  <si>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</si>
  <si>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</si>
  <si>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</si>
  <si>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</si>
  <si>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</si>
  <si>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</si>
  <si>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</si>
  <si>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</si>
  <si>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</si>
  <si>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</si>
  <si>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</si>
  <si>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</si>
  <si>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</si>
  <si>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</si>
  <si>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</si>
  <si>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</si>
  <si>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</si>
  <si>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</si>
  <si>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</si>
  <si>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</si>
  <si>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</si>
  <si>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</si>
  <si>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</si>
  <si>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</si>
  <si>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</si>
  <si>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</si>
  <si>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</si>
  <si>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</si>
  <si>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</si>
  <si>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</si>
  <si>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</si>
  <si>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</si>
  <si>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</si>
  <si>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</si>
  <si>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</si>
  <si>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</si>
  <si>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</si>
  <si>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</si>
  <si>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</si>
  <si>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</si>
  <si>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</si>
  <si>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</si>
  <si>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</si>
  <si>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</si>
  <si>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</si>
  <si>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</si>
  <si>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</si>
  <si>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</si>
  <si>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</si>
  <si>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</si>
  <si>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</si>
  <si>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</si>
  <si>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</si>
  <si>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</si>
  <si>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</si>
  <si>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</si>
  <si>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</si>
  <si>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</si>
  <si>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</si>
  <si>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</si>
  <si>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</si>
  <si>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</si>
  <si>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</si>
  <si>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</si>
  <si>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</si>
  <si>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</si>
  <si>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</si>
  <si>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</si>
  <si>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</si>
  <si>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</si>
  <si>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</si>
  <si>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</si>
  <si>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</si>
  <si>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</si>
  <si>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</si>
  <si>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</si>
  <si>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</si>
  <si>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</si>
  <si>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</si>
  <si>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</si>
  <si>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</si>
  <si>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</si>
  <si>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</si>
  <si>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</si>
  <si>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</si>
  <si>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</si>
  <si>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</si>
  <si>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</si>
  <si>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</si>
  <si>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</si>
  <si>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</si>
  <si>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</si>
  <si>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</si>
  <si>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</si>
  <si>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</si>
  <si>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</si>
  <si>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</si>
  <si>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</si>
  <si>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</si>
  <si>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</si>
  <si>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</si>
  <si>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</si>
  <si>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</si>
  <si>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</si>
  <si>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</si>
  <si>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</si>
  <si>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</si>
  <si>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</si>
  <si>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</si>
  <si>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</si>
  <si>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</si>
  <si>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</si>
  <si>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</si>
  <si>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</si>
  <si>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</si>
  <si>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</si>
  <si>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</si>
  <si>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</si>
  <si>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</si>
  <si>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</si>
  <si>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</si>
  <si>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</si>
  <si>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</si>
  <si>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</si>
  <si>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</si>
  <si>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</si>
  <si>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</si>
  <si>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</si>
  <si>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</si>
  <si>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</si>
  <si>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</si>
  <si>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</si>
  <si>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</si>
  <si>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</si>
  <si>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</si>
  <si>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</si>
  <si>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</si>
  <si>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</si>
  <si>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</si>
  <si>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</si>
  <si>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</si>
  <si>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</si>
  <si>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</si>
  <si>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</si>
  <si>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</si>
  <si>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</si>
  <si>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</si>
  <si>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</si>
  <si>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</si>
  <si>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</si>
  <si>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</si>
  <si>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</si>
  <si>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</si>
  <si>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</si>
  <si>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</si>
  <si>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</si>
  <si>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</si>
  <si>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</si>
  <si>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</si>
  <si>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</si>
  <si>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</si>
  <si>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</si>
  <si>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</si>
  <si>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</si>
  <si>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</si>
  <si>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</si>
  <si>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</si>
  <si>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</si>
  <si>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</si>
  <si>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</si>
  <si>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</si>
  <si>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</si>
  <si>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</si>
  <si>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</si>
  <si>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</si>
  <si>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</si>
  <si>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</si>
  <si>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</si>
  <si>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</si>
  <si>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</si>
  <si>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</si>
  <si>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</si>
  <si>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</si>
  <si>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</si>
  <si>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</si>
  <si>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</si>
  <si>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</si>
  <si>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</si>
  <si>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</si>
  <si>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</si>
  <si>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</si>
  <si>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</si>
  <si>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</si>
  <si>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</si>
  <si>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</si>
  <si>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</si>
  <si>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</si>
  <si>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</si>
  <si>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</si>
  <si>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</si>
  <si>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</si>
  <si>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</si>
  <si>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</si>
  <si>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</si>
  <si>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</si>
  <si>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</si>
  <si>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</si>
  <si>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</si>
  <si>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</si>
  <si>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</si>
  <si>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</si>
  <si>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</si>
  <si>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</si>
  <si>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</si>
  <si>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</si>
  <si>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</si>
  <si>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</si>
  <si>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</si>
  <si>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</si>
  <si>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</si>
  <si>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</si>
  <si>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</si>
  <si>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</si>
  <si>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</si>
  <si>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</si>
  <si>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</si>
  <si>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</si>
  <si>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</si>
  <si>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</si>
  <si>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</si>
  <si>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</si>
  <si>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</si>
  <si>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</si>
  <si>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</si>
  <si>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</si>
  <si>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</si>
  <si>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</si>
  <si>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</si>
  <si>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</si>
  <si>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</si>
  <si>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</si>
  <si>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</si>
  <si>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</si>
  <si>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</si>
  <si>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</si>
  <si>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</si>
  <si>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</si>
  <si>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</si>
  <si>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</si>
  <si>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</si>
  <si>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</si>
  <si>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</si>
  <si>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</si>
  <si>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</si>
  <si>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</si>
  <si>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</si>
  <si>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</si>
  <si>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</si>
  <si>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</si>
  <si>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</si>
  <si>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</si>
  <si>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</si>
  <si>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</si>
  <si>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</si>
  <si>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</si>
  <si>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</si>
  <si>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</si>
  <si>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</si>
  <si>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</si>
  <si>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</si>
  <si>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</si>
  <si>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</si>
  <si>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</si>
  <si>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</si>
  <si>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</si>
  <si>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</si>
  <si>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</si>
  <si>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</si>
  <si>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</si>
  <si>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</si>
  <si>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</si>
  <si>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</si>
  <si>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</si>
  <si>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</si>
  <si>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</si>
  <si>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</si>
  <si>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</si>
  <si>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</si>
  <si>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</si>
  <si>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</si>
  <si>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</si>
  <si>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</si>
  <si>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</si>
  <si>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</si>
  <si>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</si>
  <si>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</si>
  <si>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</si>
  <si>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</si>
  <si>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</si>
  <si>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</si>
  <si>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</si>
  <si>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</si>
  <si>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</si>
  <si>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</si>
  <si>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</si>
  <si>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</si>
  <si>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</si>
  <si>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</si>
  <si>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</si>
  <si>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</si>
  <si>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</si>
  <si>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</si>
  <si>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</si>
  <si>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</si>
  <si>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</si>
  <si>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</si>
  <si>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</si>
  <si>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</si>
  <si>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</si>
  <si>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</si>
  <si>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</si>
  <si>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</si>
  <si>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</si>
  <si>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</si>
  <si>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</si>
  <si>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</si>
  <si>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</si>
  <si>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</si>
  <si>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</si>
  <si>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</si>
  <si>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</si>
  <si>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</si>
  <si>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</si>
  <si>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</si>
  <si>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</si>
  <si>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</si>
  <si>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</si>
  <si>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</si>
  <si>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</si>
  <si>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</si>
  <si>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</si>
  <si>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</si>
  <si>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</si>
  <si>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</si>
  <si>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</si>
  <si>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</si>
  <si>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</si>
  <si>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</si>
  <si>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</si>
  <si>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</si>
  <si>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</si>
  <si>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</si>
  <si>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</si>
  <si>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</si>
  <si>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</si>
  <si>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</si>
  <si>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</si>
  <si>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</si>
  <si>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</si>
  <si>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</si>
  <si>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</si>
  <si>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</si>
  <si>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</si>
  <si>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</si>
  <si>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</si>
  <si>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</si>
  <si>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</si>
  <si>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</si>
  <si>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</si>
  <si>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</si>
  <si>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</si>
  <si>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</si>
  <si>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</si>
  <si>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</si>
  <si>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</si>
  <si>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</si>
  <si>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</si>
  <si>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</si>
  <si>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</si>
  <si>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</si>
  <si>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</si>
  <si>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</si>
  <si>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</si>
  <si>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</si>
  <si>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</si>
  <si>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</si>
  <si>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</si>
  <si>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</si>
  <si>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</si>
  <si>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</si>
  <si>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</si>
  <si>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</si>
  <si>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</si>
  <si>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</si>
  <si>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</si>
  <si>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</si>
  <si>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</si>
  <si>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</si>
  <si>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</si>
  <si>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</si>
  <si>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</si>
  <si>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</si>
  <si>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</si>
  <si>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</si>
  <si>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</si>
  <si>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</si>
  <si>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</si>
  <si>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</si>
  <si>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</si>
  <si>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</si>
  <si>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</si>
  <si>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</si>
  <si>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</si>
  <si>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</si>
  <si>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</si>
  <si>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</si>
  <si>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</si>
  <si>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</si>
  <si>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</si>
  <si>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</si>
  <si>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</si>
  <si>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</si>
  <si>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</si>
  <si>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</si>
  <si>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</si>
  <si>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</si>
  <si>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</si>
  <si>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</si>
  <si>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</si>
  <si>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</si>
  <si>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</si>
  <si>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</si>
  <si>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</si>
  <si>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</si>
  <si>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</si>
  <si>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</si>
  <si>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</si>
  <si>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</si>
  <si>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</si>
  <si>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</si>
  <si>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</si>
  <si>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</si>
  <si>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</si>
  <si>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</si>
  <si>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</si>
  <si>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</si>
  <si>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</si>
  <si>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</si>
  <si>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</si>
  <si>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</si>
  <si>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</si>
  <si>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</si>
  <si>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</si>
  <si>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</si>
  <si>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</si>
  <si>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</si>
  <si>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</si>
  <si>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</si>
  <si>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</si>
  <si>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</si>
  <si>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</si>
  <si>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</si>
  <si>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</si>
  <si>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</si>
  <si>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</si>
  <si>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</si>
  <si>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</si>
  <si>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</si>
  <si>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</si>
  <si>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</si>
  <si>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</si>
  <si>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</si>
  <si>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</si>
  <si>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</si>
  <si>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</si>
  <si>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</si>
  <si>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</si>
  <si>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</si>
  <si>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</si>
  <si>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</si>
  <si>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</si>
  <si>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</si>
  <si>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</si>
  <si>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</si>
  <si>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</si>
  <si>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</si>
  <si>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</si>
  <si>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</si>
  <si>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</si>
  <si>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</si>
  <si>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</si>
  <si>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</si>
  <si>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</si>
  <si>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</si>
  <si>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</si>
  <si>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</si>
  <si>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</si>
  <si>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</si>
  <si>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</si>
  <si>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</si>
  <si>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</si>
  <si>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</si>
  <si>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</si>
  <si>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</si>
  <si>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</si>
  <si>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</si>
  <si>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</si>
  <si>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</si>
  <si>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</si>
  <si>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</si>
  <si>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</si>
  <si>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</si>
  <si>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</si>
  <si>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</si>
  <si>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</si>
  <si>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</si>
  <si>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</si>
  <si>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</si>
  <si>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</si>
  <si>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</si>
  <si>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</si>
  <si>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</si>
  <si>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</si>
  <si>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</si>
  <si>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</si>
  <si>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</si>
  <si>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</si>
  <si>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</si>
  <si>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</si>
  <si>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</si>
  <si>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</si>
  <si>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</si>
  <si>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</si>
  <si>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</si>
  <si>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</si>
  <si>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</si>
  <si>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</si>
  <si>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</si>
  <si>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</si>
  <si>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</si>
  <si>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</si>
  <si>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</si>
  <si>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</si>
  <si>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</si>
  <si>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</si>
  <si>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</si>
  <si>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</si>
  <si>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</si>
  <si>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</si>
  <si>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</si>
  <si>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</si>
  <si>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</si>
  <si>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</si>
  <si>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</si>
  <si>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</si>
  <si>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</si>
  <si>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</si>
  <si>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</si>
  <si>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</si>
  <si>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</si>
  <si>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</si>
  <si>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</si>
  <si>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</si>
  <si>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</si>
  <si>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</si>
  <si>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</si>
  <si>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</si>
  <si>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</si>
  <si>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</si>
  <si>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</si>
  <si>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</si>
  <si>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</si>
  <si>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</si>
  <si>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</si>
  <si>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</si>
  <si>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</si>
  <si>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</si>
  <si>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</si>
  <si>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</si>
  <si>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</si>
  <si>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</si>
  <si>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</si>
  <si>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</si>
  <si>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</si>
  <si>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</si>
  <si>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</si>
  <si>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</si>
  <si>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</si>
  <si>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</si>
  <si>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</si>
  <si>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</si>
  <si>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</si>
  <si>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</si>
  <si>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</si>
  <si>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</si>
  <si>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</si>
  <si>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</si>
  <si>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</si>
  <si>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</si>
  <si>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</si>
  <si>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</si>
  <si>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</si>
  <si>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</si>
  <si>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</si>
  <si>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</si>
  <si>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</si>
  <si>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</si>
  <si>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</si>
  <si>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</si>
  <si>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</si>
  <si>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</si>
  <si>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</si>
  <si>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</si>
  <si>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</si>
  <si>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</si>
  <si>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</si>
  <si>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</si>
  <si>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</si>
  <si>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</si>
  <si>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</si>
  <si>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</si>
  <si>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</si>
  <si>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</si>
  <si>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</si>
  <si>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</si>
  <si>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</si>
  <si>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</si>
  <si>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</si>
  <si>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</si>
  <si>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</si>
  <si>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</si>
  <si>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</si>
  <si>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</si>
  <si>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</si>
  <si>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</si>
  <si>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</si>
  <si>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</si>
  <si>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</si>
  <si>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</si>
  <si>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</si>
  <si>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</si>
  <si>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</si>
  <si>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</si>
  <si>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</si>
  <si>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</si>
  <si>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</si>
  <si>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</si>
  <si>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</si>
  <si>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</si>
  <si>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</si>
  <si>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</si>
  <si>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</si>
  <si>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</si>
  <si>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</si>
  <si>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</si>
  <si>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</si>
  <si>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</si>
  <si>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</si>
  <si>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</si>
  <si>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</si>
  <si>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</si>
  <si>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</si>
  <si>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</si>
  <si>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</si>
  <si>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</si>
  <si>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</si>
  <si>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</si>
  <si>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</si>
  <si>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</si>
  <si>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</si>
  <si>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</si>
  <si>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</si>
  <si>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</si>
  <si>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</si>
  <si>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</si>
  <si>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</si>
  <si>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</si>
  <si>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</si>
  <si>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</si>
  <si>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</si>
  <si>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</si>
  <si>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</si>
  <si>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</si>
  <si>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</si>
  <si>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</si>
  <si>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</si>
  <si>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</si>
  <si>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</si>
  <si>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</si>
  <si>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</si>
  <si>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</si>
  <si>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</si>
  <si>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</si>
  <si>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</si>
  <si>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</si>
  <si>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</si>
  <si>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</si>
  <si>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</si>
  <si>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</si>
  <si>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</si>
  <si>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</si>
  <si>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</si>
  <si>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</si>
  <si>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</si>
  <si>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</si>
  <si>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</si>
  <si>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</si>
  <si>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</si>
  <si>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</si>
  <si>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</si>
  <si>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</si>
  <si>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</si>
  <si>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</si>
  <si>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</si>
  <si>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</si>
  <si>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</si>
  <si>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</si>
  <si>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</si>
  <si>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</si>
  <si>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</si>
  <si>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</si>
  <si>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</si>
  <si>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</si>
  <si>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</si>
  <si>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</si>
  <si>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</si>
  <si>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</si>
  <si>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</si>
  <si>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</si>
  <si>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</si>
  <si>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</si>
  <si>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</si>
  <si>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</si>
  <si>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</si>
  <si>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</si>
  <si>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</si>
  <si>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</si>
  <si>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</si>
  <si>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</si>
  <si>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</si>
  <si>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</si>
  <si>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</si>
  <si>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</si>
  <si>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</si>
  <si>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</si>
  <si>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</si>
  <si>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</si>
  <si>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</si>
  <si>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</si>
  <si>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</si>
  <si>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</si>
  <si>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</si>
  <si>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</si>
  <si>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</si>
  <si>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</si>
  <si>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</si>
  <si>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</si>
  <si>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</si>
  <si>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</si>
  <si>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</si>
  <si>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</si>
  <si>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</si>
  <si>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</si>
  <si>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</si>
  <si>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</si>
  <si>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</si>
  <si>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</si>
  <si>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</si>
  <si>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</si>
  <si>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</si>
  <si>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</si>
  <si>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</si>
  <si>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</si>
  <si>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</si>
  <si>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</si>
  <si>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</si>
  <si>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</si>
  <si>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</si>
  <si>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</si>
  <si>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</si>
  <si>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</si>
  <si>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</si>
  <si>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</si>
  <si>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</si>
  <si>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</si>
  <si>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</si>
  <si>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</si>
  <si>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</si>
  <si>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</si>
  <si>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</si>
  <si>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</si>
  <si>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</si>
  <si>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</si>
  <si>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</si>
  <si>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</si>
  <si>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</si>
  <si>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</si>
  <si>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</si>
  <si>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</si>
  <si>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</si>
  <si>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</si>
  <si>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</si>
  <si>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</si>
  <si>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</si>
  <si>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</si>
  <si>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</si>
  <si>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</si>
  <si>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</si>
  <si>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</si>
  <si>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</si>
  <si>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</si>
  <si>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</si>
  <si>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</si>
  <si>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</si>
  <si>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</si>
  <si>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</si>
  <si>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</si>
  <si>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</si>
  <si>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</si>
  <si>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</si>
  <si>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</si>
  <si>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</si>
  <si>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</si>
  <si>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</si>
  <si>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</si>
  <si>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</si>
  <si>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</si>
  <si>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</si>
  <si>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</si>
  <si>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</si>
  <si>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</si>
  <si>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</si>
  <si>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</si>
  <si>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</si>
  <si>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</si>
  <si>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</si>
  <si>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</si>
  <si>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</si>
  <si>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</si>
  <si>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</si>
  <si>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</si>
  <si>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</si>
  <si>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</si>
  <si>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</si>
  <si>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</si>
  <si>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</si>
  <si>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</si>
  <si>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</si>
  <si>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</si>
  <si>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</si>
  <si>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</si>
  <si>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</si>
  <si>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</si>
  <si>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</si>
  <si>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</si>
  <si>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</si>
  <si>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</si>
  <si>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</si>
  <si>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</si>
  <si>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</si>
  <si>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</si>
  <si>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</si>
  <si>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</si>
  <si>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</si>
  <si>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</si>
  <si>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</si>
  <si>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</si>
  <si>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</si>
  <si>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</si>
  <si>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</si>
  <si>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</si>
  <si>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</si>
  <si>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</si>
  <si>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</si>
  <si>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</si>
  <si>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</si>
  <si>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</si>
  <si>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</si>
  <si>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</si>
  <si>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</si>
  <si>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</si>
  <si>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</si>
  <si>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</si>
  <si>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</si>
  <si>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</si>
  <si>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</si>
  <si>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</si>
  <si>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</si>
  <si>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</si>
  <si>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</si>
  <si>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</si>
  <si>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</si>
  <si>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</si>
  <si>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</si>
  <si>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</si>
  <si>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</si>
  <si>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</si>
  <si>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</si>
  <si>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</si>
  <si>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</si>
  <si>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</si>
  <si>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</si>
  <si>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</si>
  <si>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</si>
  <si>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</si>
  <si>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</si>
  <si>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</si>
  <si>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</si>
  <si>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</si>
  <si>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</si>
  <si>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</si>
  <si>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</si>
  <si>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</si>
  <si>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</si>
  <si>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</si>
  <si>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</si>
  <si>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</si>
  <si>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</si>
  <si>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</si>
  <si>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</si>
  <si>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</si>
  <si>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</si>
  <si>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</si>
  <si>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</si>
  <si>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</si>
  <si>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</si>
  <si>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</si>
  <si>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</si>
  <si>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</si>
  <si>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</si>
  <si>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</si>
  <si>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</si>
  <si>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</si>
  <si>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</si>
  <si>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</si>
  <si>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</si>
  <si>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</si>
  <si>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</si>
  <si>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</si>
  <si>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</si>
  <si>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</si>
  <si>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</si>
  <si>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</si>
  <si>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</si>
  <si>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</si>
  <si>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</si>
  <si>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</si>
  <si>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</si>
  <si>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</si>
  <si>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</si>
  <si>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</si>
  <si>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</si>
  <si>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</si>
  <si>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</si>
  <si>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</si>
  <si>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</si>
  <si>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</si>
  <si>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</si>
  <si>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</si>
  <si>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</si>
  <si>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</si>
  <si>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</si>
  <si>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</si>
  <si>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</si>
  <si>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</si>
  <si>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</si>
  <si>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</si>
  <si>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</si>
  <si>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</si>
  <si>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</si>
  <si>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</si>
  <si>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</si>
  <si>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</si>
  <si>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</si>
  <si>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</si>
  <si>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</si>
  <si>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</si>
  <si>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</si>
  <si>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</si>
  <si>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</si>
  <si>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</si>
  <si>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</si>
  <si>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</si>
  <si>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</si>
  <si>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</si>
  <si>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</si>
  <si>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</si>
  <si>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</si>
  <si>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</si>
  <si>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</si>
  <si>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</si>
  <si>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</si>
  <si>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</si>
  <si>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</si>
  <si>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</si>
  <si>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</si>
  <si>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</si>
  <si>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</si>
  <si>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</si>
  <si>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</si>
  <si>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</si>
  <si>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</si>
  <si>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</si>
  <si>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</si>
  <si>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</si>
  <si>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</si>
  <si>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</si>
  <si>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</si>
  <si>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</si>
  <si>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</si>
  <si>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</si>
  <si>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</si>
  <si>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</si>
  <si>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</si>
  <si>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</si>
  <si>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</si>
  <si>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</si>
  <si>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</si>
  <si>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</si>
  <si>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</si>
  <si>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</si>
  <si>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</si>
  <si>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</si>
  <si>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</si>
  <si>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</si>
  <si>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</si>
  <si>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</si>
  <si>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</si>
  <si>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</si>
  <si>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</si>
  <si>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</si>
  <si>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</si>
  <si>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</si>
  <si>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</si>
  <si>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</si>
  <si>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</si>
  <si>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</si>
  <si>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</si>
  <si>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</si>
  <si>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</si>
  <si>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</si>
  <si>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</si>
  <si>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</si>
  <si>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</si>
  <si>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</si>
  <si>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</si>
  <si>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</si>
  <si>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</si>
  <si>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</si>
  <si>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</si>
  <si>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</si>
  <si>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</si>
  <si>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</si>
  <si>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</si>
  <si>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</si>
  <si>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</si>
  <si>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</si>
  <si>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</si>
  <si>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</si>
  <si>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</si>
  <si>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</si>
  <si>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</si>
  <si>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</si>
  <si>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</si>
  <si>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</si>
  <si>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</si>
  <si>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</si>
  <si>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</si>
  <si>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</si>
  <si>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</si>
  <si>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</si>
  <si>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</si>
  <si>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</si>
  <si>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</si>
  <si>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</si>
  <si>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</si>
  <si>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</si>
  <si>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</si>
  <si>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</si>
  <si>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</si>
  <si>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</si>
  <si>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</si>
  <si>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</si>
  <si>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</si>
  <si>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</si>
  <si>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</si>
  <si>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</si>
  <si>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</si>
  <si>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</si>
  <si>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</si>
  <si>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</si>
  <si>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</si>
  <si>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</si>
  <si>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</si>
  <si>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</si>
  <si>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</si>
  <si>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</si>
  <si>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</si>
  <si>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</si>
  <si>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</si>
  <si>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</si>
  <si>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</si>
  <si>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</si>
  <si>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</si>
  <si>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</si>
  <si>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</si>
  <si>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</si>
  <si>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</si>
  <si>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</si>
  <si>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</si>
  <si>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</si>
  <si>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</si>
  <si>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</si>
  <si>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</si>
  <si>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</si>
  <si>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</si>
  <si>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</si>
  <si>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</si>
  <si>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</si>
  <si>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</si>
  <si>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</si>
  <si>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</si>
  <si>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</si>
  <si>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</si>
  <si>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</si>
  <si>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</si>
  <si>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</si>
  <si>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</si>
  <si>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</si>
  <si>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</si>
  <si>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</si>
  <si>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</si>
  <si>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</si>
  <si>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</si>
  <si>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</si>
  <si>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</si>
  <si>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</si>
  <si>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</si>
  <si>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</si>
  <si>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</si>
  <si>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</si>
  <si>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</si>
  <si>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</si>
  <si>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</si>
  <si>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</si>
  <si>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</si>
  <si>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</si>
  <si>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</si>
  <si>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</si>
  <si>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</si>
  <si>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</si>
  <si>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</si>
  <si>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</si>
  <si>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</si>
  <si>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</si>
  <si>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</si>
  <si>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</si>
  <si>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</si>
  <si>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</si>
  <si>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</si>
  <si>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</si>
  <si>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</si>
  <si>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</si>
  <si>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</si>
  <si>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</si>
  <si>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</si>
  <si>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</si>
  <si>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</si>
  <si>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</si>
  <si>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</si>
  <si>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</si>
  <si>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</si>
  <si>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</si>
  <si>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</si>
  <si>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</si>
  <si>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</si>
  <si>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</si>
  <si>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</si>
  <si>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</si>
  <si>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</si>
  <si>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</si>
  <si>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</si>
  <si>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</si>
  <si>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</si>
  <si>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</si>
  <si>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</si>
  <si>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</si>
  <si>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</si>
  <si>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</si>
  <si>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</si>
  <si>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</si>
  <si>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</si>
  <si>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</si>
  <si>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</si>
  <si>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</si>
  <si>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</si>
  <si>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</si>
  <si>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</si>
  <si>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</si>
  <si>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</si>
  <si>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</si>
  <si>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</si>
  <si>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</si>
  <si>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</si>
  <si>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</si>
  <si>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</si>
  <si>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</si>
  <si>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</si>
  <si>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</si>
  <si>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</si>
  <si>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</si>
  <si>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</si>
  <si>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</si>
  <si>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</si>
  <si>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</si>
  <si>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</si>
  <si>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</si>
  <si>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</si>
  <si>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</si>
  <si>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</si>
  <si>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</si>
  <si>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</si>
  <si>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</si>
  <si>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</si>
  <si>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</si>
  <si>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</si>
  <si>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</si>
  <si>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</si>
  <si>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</si>
  <si>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</si>
  <si>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</si>
  <si>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</si>
  <si>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</si>
  <si>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</si>
  <si>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</si>
  <si>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</si>
  <si>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</si>
  <si>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</si>
  <si>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</si>
  <si>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</si>
  <si>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</si>
  <si>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</si>
  <si>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</si>
  <si>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</si>
  <si>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</si>
  <si>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</si>
  <si>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</si>
  <si>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</si>
  <si>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</si>
  <si>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</si>
  <si>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</si>
  <si>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</si>
  <si>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</si>
  <si>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</si>
  <si>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</si>
  <si>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</si>
  <si>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</si>
  <si>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</si>
  <si>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</si>
  <si>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</si>
  <si>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</si>
  <si>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</si>
  <si>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</si>
  <si>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</si>
  <si>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</si>
  <si>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</si>
  <si>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</si>
  <si>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</si>
  <si>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</si>
  <si>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</si>
  <si>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</si>
  <si>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</si>
  <si>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</si>
  <si>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</si>
  <si>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</si>
  <si>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</si>
  <si>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</si>
  <si>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</si>
  <si>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</si>
  <si>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</si>
  <si>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</si>
  <si>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</si>
  <si>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</si>
  <si>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</si>
  <si>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</si>
  <si>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</si>
  <si>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</si>
  <si>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</si>
  <si>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</si>
  <si>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</si>
  <si>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</si>
  <si>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</si>
  <si>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</si>
  <si>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</si>
  <si>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</si>
  <si>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</si>
  <si>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</si>
  <si>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</si>
  <si>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</si>
  <si>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</si>
  <si>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</si>
  <si>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</si>
  <si>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</si>
  <si>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</si>
  <si>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</si>
  <si>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</si>
  <si>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</si>
  <si>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</si>
  <si>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</si>
  <si>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</si>
  <si>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</si>
  <si>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</si>
  <si>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</si>
  <si>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</si>
  <si>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</si>
  <si>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</si>
  <si>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</si>
  <si>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</si>
  <si>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</si>
  <si>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</si>
  <si>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</si>
  <si>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</si>
  <si>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</si>
  <si>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</si>
  <si>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</si>
  <si>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</si>
  <si>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</si>
  <si>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</si>
  <si>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</si>
  <si>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</si>
  <si>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</si>
  <si>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</si>
  <si>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</si>
  <si>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</si>
  <si>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</si>
  <si>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</si>
  <si>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</si>
  <si>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</si>
  <si>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</si>
  <si>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</si>
  <si>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</si>
  <si>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</si>
  <si>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</si>
  <si>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</si>
  <si>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</si>
  <si>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</si>
  <si>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</si>
  <si>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</si>
  <si>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</si>
  <si>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</si>
  <si>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</si>
  <si>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</si>
  <si>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</si>
  <si>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</si>
  <si>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</si>
  <si>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</si>
  <si>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</si>
  <si>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</si>
  <si>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</si>
  <si>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</si>
  <si>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</si>
  <si>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</si>
  <si>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</si>
  <si>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</si>
  <si>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</si>
  <si>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</si>
  <si>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</si>
  <si>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</si>
  <si>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</si>
  <si>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</si>
  <si>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</si>
  <si>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</si>
  <si>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</si>
  <si>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</si>
  <si>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</si>
  <si>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</si>
  <si>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</si>
  <si>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</si>
  <si>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</si>
  <si>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</si>
  <si>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</si>
  <si>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</si>
  <si>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</si>
  <si>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</si>
  <si>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</si>
  <si>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</si>
  <si>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</si>
  <si>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</si>
  <si>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</si>
  <si>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</si>
  <si>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</si>
  <si>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</si>
  <si>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</si>
  <si>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</si>
  <si>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</si>
  <si>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</si>
  <si>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</si>
  <si>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</si>
  <si>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</si>
  <si>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</si>
  <si>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</si>
  <si>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</si>
  <si>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</si>
  <si>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</si>
  <si>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</si>
  <si>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</si>
  <si>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</si>
  <si>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</si>
  <si>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</si>
  <si>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</si>
  <si>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</si>
  <si>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</si>
  <si>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</si>
  <si>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</si>
  <si>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</si>
  <si>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</si>
  <si>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</si>
  <si>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</si>
  <si>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</si>
  <si>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</si>
  <si>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</si>
  <si>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</si>
  <si>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</si>
  <si>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</si>
  <si>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</si>
  <si>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</si>
  <si>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</si>
  <si>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</si>
  <si>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</si>
  <si>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</si>
  <si>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</si>
  <si>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</si>
  <si>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</si>
  <si>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</si>
  <si>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</si>
  <si>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</si>
  <si>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</si>
  <si>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</si>
  <si>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</si>
  <si>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</si>
  <si>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</si>
  <si>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</si>
  <si>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</si>
  <si>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</si>
  <si>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</si>
  <si>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</si>
  <si>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</si>
  <si>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</si>
  <si>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</si>
  <si>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</si>
  <si>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</si>
  <si>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</si>
  <si>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</si>
  <si>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</si>
  <si>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</si>
  <si>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</si>
  <si>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</si>
  <si>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</si>
  <si>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</si>
  <si>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</si>
  <si>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</si>
  <si>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</si>
  <si>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</si>
  <si>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</si>
  <si>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</si>
  <si>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</si>
  <si>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</si>
  <si>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</si>
  <si>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</si>
  <si>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</si>
  <si>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</si>
  <si>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</si>
  <si>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</si>
  <si>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</si>
  <si>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</si>
  <si>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</si>
  <si>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</si>
  <si>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</si>
  <si>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</si>
  <si>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</si>
  <si>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</si>
  <si>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</si>
  <si>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</si>
  <si>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</si>
  <si>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</si>
  <si>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</si>
  <si>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</si>
  <si>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</si>
  <si>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</si>
  <si>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</si>
  <si>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</si>
  <si>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</si>
  <si>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</si>
  <si>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</si>
  <si>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</si>
  <si>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</si>
  <si>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</si>
  <si>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</si>
  <si>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</si>
  <si>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</si>
  <si>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</si>
  <si>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</si>
  <si>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</si>
  <si>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</si>
  <si>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</si>
  <si>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</si>
  <si>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</si>
  <si>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</si>
  <si>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</si>
  <si>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</si>
  <si>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</si>
  <si>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</si>
  <si>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</si>
  <si>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</si>
  <si>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</si>
  <si>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</si>
  <si>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</si>
  <si>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</si>
  <si>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</si>
  <si>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</si>
  <si>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</si>
  <si>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</si>
  <si>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</si>
  <si>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</si>
  <si>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</si>
  <si>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</si>
  <si>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</si>
  <si>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</si>
  <si>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</si>
  <si>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</si>
  <si>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</si>
  <si>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</si>
  <si>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</si>
  <si>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</si>
  <si>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</si>
  <si>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</si>
  <si>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</si>
  <si>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</si>
  <si>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</si>
  <si>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</si>
  <si>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</si>
  <si>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</si>
  <si>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</si>
  <si>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</si>
  <si>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</si>
  <si>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</si>
  <si>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</si>
  <si>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</si>
  <si>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</si>
  <si>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</si>
  <si>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</si>
  <si>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</si>
  <si>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</si>
  <si>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</si>
  <si>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</si>
  <si>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</si>
  <si>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</si>
  <si>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</si>
  <si>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</si>
  <si>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</si>
  <si>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</si>
  <si>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</si>
  <si>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</si>
  <si>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</si>
  <si>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</si>
  <si>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</si>
  <si>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</si>
  <si>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</si>
  <si>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</si>
  <si>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</si>
  <si>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</si>
  <si>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</si>
  <si>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</si>
  <si>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</si>
  <si>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</si>
  <si>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</si>
  <si>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</si>
  <si>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</si>
  <si>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</si>
  <si>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</si>
  <si>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</si>
  <si>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</si>
  <si>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</si>
  <si>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</si>
  <si>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</si>
  <si>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</si>
  <si>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</si>
  <si>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</si>
  <si>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</si>
  <si>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</si>
  <si>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</si>
  <si>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</si>
  <si>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</si>
  <si>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</si>
  <si>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</si>
  <si>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</si>
  <si>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</si>
  <si>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</si>
  <si>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</si>
  <si>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</si>
  <si>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</si>
  <si>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</si>
  <si>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</si>
  <si>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</si>
  <si>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</si>
  <si>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</si>
  <si>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</si>
  <si>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</si>
  <si>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</si>
  <si>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</si>
  <si>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</si>
  <si>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</si>
  <si>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</si>
  <si>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</si>
  <si>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</si>
  <si>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</si>
  <si>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</si>
  <si>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</si>
  <si>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</si>
  <si>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</si>
  <si>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</si>
  <si>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</si>
  <si>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</si>
  <si>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</si>
  <si>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</si>
  <si>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</si>
  <si>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</si>
  <si>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</si>
  <si>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</si>
  <si>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</si>
  <si>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</si>
  <si>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</si>
  <si>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</si>
  <si>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</si>
  <si>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</si>
  <si>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</si>
  <si>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</si>
  <si>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</si>
  <si>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</si>
  <si>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</si>
  <si>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</si>
  <si>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</si>
  <si>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</si>
  <si>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</si>
  <si>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</si>
  <si>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</si>
  <si>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</si>
  <si>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</si>
  <si>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</si>
  <si>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</si>
  <si>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</si>
  <si>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</si>
  <si>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</si>
  <si>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</si>
  <si>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</si>
  <si>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</si>
  <si>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</si>
  <si>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</si>
  <si>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</si>
  <si>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</si>
  <si>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</si>
  <si>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</si>
  <si>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</si>
  <si>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</si>
  <si>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</si>
  <si>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</si>
  <si>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</si>
  <si>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</si>
  <si>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</si>
  <si>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</si>
  <si>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</si>
  <si>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</si>
  <si>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</si>
  <si>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</si>
  <si>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</si>
  <si>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</si>
  <si>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</si>
  <si>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</si>
  <si>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</si>
  <si>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</si>
  <si>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</si>
  <si>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</si>
  <si>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kzb38</t>
  </si>
  <si>
    <t>MIVBBRUSSELFA</t>
  </si>
  <si>
    <t>MIVB BRUSSEL</t>
  </si>
  <si>
    <t>31/12/9999</t>
  </si>
  <si>
    <t xml:space="preserve"> </t>
  </si>
  <si>
    <t>S/N:</t>
  </si>
  <si>
    <t>18-10-2019</t>
  </si>
  <si>
    <t>Luminoscope   System 2019</t>
  </si>
  <si>
    <t>nummers.txt ok</t>
  </si>
  <si>
    <t>default geen</t>
  </si>
  <si>
    <t>+rails</t>
  </si>
  <si>
    <t>KB190288</t>
  </si>
  <si>
    <t>15/10/2019</t>
  </si>
  <si>
    <t>20191544 - Puurse bandencentrale bvba</t>
  </si>
  <si>
    <t>83111 - 08/10/2019</t>
  </si>
  <si>
    <t>DEALBI</t>
  </si>
  <si>
    <t>3329,00</t>
  </si>
  <si>
    <t>binnenland</t>
  </si>
  <si>
    <t>pdf</t>
  </si>
  <si>
    <t>KB190288.001</t>
  </si>
  <si>
    <t>LET USER</t>
  </si>
  <si>
    <t>PDF</t>
  </si>
  <si>
    <t>Puurs</t>
  </si>
  <si>
    <t>Puurse Bandencentrale Bvba</t>
  </si>
  <si>
    <t>usb.txt ok</t>
  </si>
  <si>
    <t>J</t>
  </si>
  <si>
    <t>160390_01-D2F01A MANUEL D’UTILISATEUR.pdf</t>
  </si>
  <si>
    <t>geunmounted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</si>
</sst>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5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0" fontId="0" fillId="0" borderId="16" xfId="0" applyNumberFormat="1" applyBorder="1"/>
    <xf numFmtId="0" fontId="21" fillId="14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3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6.emf"/><Relationship Id="rId2" Type="http://schemas.openxmlformats.org/officeDocument/2006/relationships/image" Target="../media/image9.emf"/><Relationship Id="rId16" Type="http://schemas.openxmlformats.org/officeDocument/2006/relationships/image" Target="../media/image10.emf"/><Relationship Id="rId1" Type="http://schemas.openxmlformats.org/officeDocument/2006/relationships/image" Target="../media/image8.emf"/><Relationship Id="rId6" Type="http://schemas.openxmlformats.org/officeDocument/2006/relationships/image" Target="../media/image14.emf"/><Relationship Id="rId11" Type="http://schemas.openxmlformats.org/officeDocument/2006/relationships/image" Target="../media/image15.emf"/><Relationship Id="rId5" Type="http://schemas.openxmlformats.org/officeDocument/2006/relationships/image" Target="../media/image13.emf"/><Relationship Id="rId15" Type="http://schemas.openxmlformats.org/officeDocument/2006/relationships/image" Target="../media/image17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30"/>
  <sheetViews>
    <sheetView zoomScale="90" zoomScaleNormal="90" workbookViewId="0">
      <selection activeCell="C21" sqref="C2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Puurse Bandencentrale Bvba</v>
      </c>
    </row>
    <row r="3" spans="1:3" ht="59.25" customHeight="1">
      <c r="A3" s="6" t="s">
        <v>0</v>
      </c>
      <c r="B3" s="3"/>
      <c r="C3" s="16" t="str">
        <f>Blad2!$B$26</f>
        <v>Puurs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20191544</v>
      </c>
    </row>
    <row r="6" spans="1:3" ht="54.2" customHeight="1">
      <c r="A6" s="6" t="s">
        <v>2</v>
      </c>
      <c r="B6" s="7"/>
      <c r="C6" s="12" t="str">
        <f>Blad2!$B$9</f>
        <v>KB190288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</v>
      </c>
    </row>
    <row r="10" spans="1:3" ht="40.15" customHeight="1">
      <c r="A10" s="8" t="s">
        <v>5</v>
      </c>
      <c r="B10" s="9"/>
      <c r="C10" s="19" t="str">
        <f>Blad2!$B$12 &amp; " " &amp;Blad2!$B$27</f>
        <v>1 +rails</v>
      </c>
    </row>
    <row r="11" spans="1:3" ht="15">
      <c r="C11" s="78" t="str">
        <f>Blad2!B31</f>
        <v xml:space="preserve"> </v>
      </c>
    </row>
    <row r="30" spans="2:2">
      <c r="B30" t="s">
        <v>356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E29" sqref="E29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 t="s">
        <v>189</v>
      </c>
      <c r="B1" s="51" t="s">
        <v>190</v>
      </c>
      <c r="C1" s="51" t="s">
        <v>191</v>
      </c>
      <c r="D1" s="49" t="s">
        <v>192</v>
      </c>
      <c r="E1" s="49" t="s">
        <v>193</v>
      </c>
      <c r="F1" s="49" t="s">
        <v>194</v>
      </c>
      <c r="G1" s="49" t="s">
        <v>195</v>
      </c>
      <c r="H1" s="49" t="s">
        <v>196</v>
      </c>
      <c r="I1" s="49" t="s">
        <v>197</v>
      </c>
      <c r="J1" s="49" t="s">
        <v>198</v>
      </c>
      <c r="K1" s="49" t="s">
        <v>199</v>
      </c>
      <c r="L1" s="49" t="s">
        <v>200</v>
      </c>
      <c r="M1" s="49" t="s">
        <v>201</v>
      </c>
      <c r="N1" s="49" t="s">
        <v>202</v>
      </c>
      <c r="O1" s="49" t="s">
        <v>203</v>
      </c>
      <c r="P1" s="49" t="s">
        <v>204</v>
      </c>
      <c r="Q1" s="49" t="s">
        <v>205</v>
      </c>
      <c r="R1" s="49" t="s">
        <v>206</v>
      </c>
      <c r="S1" s="49" t="s">
        <v>207</v>
      </c>
      <c r="T1" s="49" t="s">
        <v>208</v>
      </c>
      <c r="U1" s="49" t="s">
        <v>209</v>
      </c>
      <c r="V1" s="49" t="s">
        <v>210</v>
      </c>
      <c r="W1" s="49" t="s">
        <v>211</v>
      </c>
      <c r="X1" s="49" t="s">
        <v>212</v>
      </c>
      <c r="Y1" s="49" t="s">
        <v>213</v>
      </c>
      <c r="Z1" s="49" t="s">
        <v>214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350</v>
      </c>
      <c r="AV1" s="49" t="s">
        <v>351</v>
      </c>
    </row>
    <row r="2" spans="1:48" s="49" customFormat="1">
      <c r="A2" s="79" t="s">
        <v>16672</v>
      </c>
      <c r="B2" s="51" t="s">
        <v>33</v>
      </c>
      <c r="C2" s="51"/>
      <c r="E2" s="14" t="s">
        <v>16673</v>
      </c>
      <c r="F2" s="14">
        <v>43810</v>
      </c>
      <c r="G2" s="14" t="s">
        <v>16673</v>
      </c>
      <c r="H2" s="14" t="s">
        <v>16673</v>
      </c>
      <c r="I2" s="49" t="s">
        <v>16674</v>
      </c>
      <c r="J2" s="49" t="s">
        <v>16675</v>
      </c>
      <c r="K2" s="49" t="s">
        <v>216</v>
      </c>
      <c r="L2" s="49" t="s">
        <v>217</v>
      </c>
      <c r="M2" s="49" t="s">
        <v>222</v>
      </c>
      <c r="N2" s="49" t="s">
        <v>244</v>
      </c>
      <c r="O2" s="49" t="s">
        <v>218</v>
      </c>
      <c r="P2" s="49" t="s">
        <v>267</v>
      </c>
      <c r="R2" s="49" t="s">
        <v>165</v>
      </c>
      <c r="S2" s="49" t="s">
        <v>219</v>
      </c>
      <c r="T2" s="15">
        <v>33290000</v>
      </c>
      <c r="U2" s="49" t="s">
        <v>219</v>
      </c>
      <c r="V2" s="49" t="s">
        <v>320</v>
      </c>
      <c r="W2" s="49" t="s">
        <v>220</v>
      </c>
      <c r="X2" s="49" t="s">
        <v>246</v>
      </c>
      <c r="Z2" s="49">
        <v>36253</v>
      </c>
      <c r="AA2" s="49" t="s">
        <v>16676</v>
      </c>
      <c r="AB2" s="49">
        <v>20191544</v>
      </c>
      <c r="AC2" s="49" t="s">
        <v>16677</v>
      </c>
      <c r="AD2" s="49">
        <v>0</v>
      </c>
      <c r="AE2" s="84" t="s">
        <v>34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42</v>
      </c>
      <c r="AR2" s="14" t="s">
        <v>16664</v>
      </c>
      <c r="AS2" s="49" t="s">
        <v>165</v>
      </c>
      <c r="AT2" s="49">
        <v>0</v>
      </c>
      <c r="AU2" s="14" t="s">
        <v>16673</v>
      </c>
      <c r="AV2" s="49" t="str">
        <f>"0000000354820"</f>
        <v>0000000354820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300</v>
      </c>
      <c r="B4" s="39" t="s">
        <v>16661</v>
      </c>
      <c r="C4" s="39"/>
      <c r="E4" s="14"/>
      <c r="F4" s="14"/>
      <c r="G4" s="14"/>
      <c r="H4" s="14"/>
      <c r="Q4" s="93" t="s">
        <v>16686</v>
      </c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 t="s">
        <v>54</v>
      </c>
      <c r="E7" s="64" t="s">
        <v>16680</v>
      </c>
      <c r="F7" s="64" t="s">
        <v>16670</v>
      </c>
      <c r="G7" s="63" t="s">
        <v>16681</v>
      </c>
      <c r="H7" s="63" t="s">
        <v>16680</v>
      </c>
      <c r="I7" s="94" t="s">
        <v>16682</v>
      </c>
      <c r="J7" s="69"/>
      <c r="K7" s="69"/>
      <c r="L7" s="69"/>
      <c r="M7" s="70" t="s">
        <v>16688</v>
      </c>
      <c r="N7" s="70" t="s">
        <v>16687</v>
      </c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>
        <v>20191544</v>
      </c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 t="s">
        <v>16672</v>
      </c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 t="s">
        <v>33</v>
      </c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 t="s">
        <v>34</v>
      </c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>
        <v>1</v>
      </c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 t="s">
        <v>16676</v>
      </c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 t="s">
        <v>16665</v>
      </c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 t="s">
        <v>16678</v>
      </c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 t="s">
        <v>170</v>
      </c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 t="s">
        <v>54</v>
      </c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 t="s">
        <v>16667</v>
      </c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 t="s">
        <v>16670</v>
      </c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 t="s">
        <v>170</v>
      </c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 t="s">
        <v>180</v>
      </c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 t="s">
        <v>222</v>
      </c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 t="s">
        <v>16679</v>
      </c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>
        <v>1</v>
      </c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 t="s">
        <v>16684</v>
      </c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 t="s">
        <v>16683</v>
      </c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 t="s">
        <v>16671</v>
      </c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 t="s">
        <v>33</v>
      </c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 t="s">
        <v>16669</v>
      </c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 t="s">
        <v>16685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 t="s">
        <v>16665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/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 t="s">
        <v>16668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B35" s="54" t="s">
        <v>16666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r:id="rId1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autoPict="0" r:id="rId31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r:id="rId33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32" name="CommandButton9"/>
      </mc:Fallback>
    </mc:AlternateContent>
    <mc:AlternateContent xmlns:mc="http://schemas.openxmlformats.org/markup-compatibility/2006">
      <mc:Choice Requires="x14">
        <control shapeId="8208" r:id="rId34" name="CommandButton12">
          <controlPr autoLine="0" autoPict="0" r:id="rId3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3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8"/>
  <sheetViews>
    <sheetView topLeftCell="A57" workbookViewId="0">
      <selection activeCell="B91" sqref="B91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16002</v>
      </c>
      <c r="B84" s="52" t="s">
        <v>16003</v>
      </c>
    </row>
    <row r="85" spans="1:2">
      <c r="A85" s="52" t="s">
        <v>16655</v>
      </c>
      <c r="B85" s="52" t="s">
        <v>16656</v>
      </c>
    </row>
    <row r="86" spans="1:2">
      <c r="A86" s="52" t="s">
        <v>16657</v>
      </c>
      <c r="B86" s="52" t="s">
        <v>16658</v>
      </c>
    </row>
    <row r="87" spans="1:2">
      <c r="A87" s="52" t="s">
        <v>16659</v>
      </c>
      <c r="B87" s="52" t="s">
        <v>16660</v>
      </c>
    </row>
    <row r="88" spans="1:2">
      <c r="A88" s="52" t="s">
        <v>16662</v>
      </c>
      <c r="B88" s="52" t="s">
        <v>16663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16654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16004</v>
      </c>
      <c r="B2" t="s">
        <v>5902</v>
      </c>
      <c r="C2" t="s">
        <v>16005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16006</v>
      </c>
      <c r="B8" t="s">
        <v>5902</v>
      </c>
      <c r="C8" t="s">
        <v>16007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16008</v>
      </c>
      <c r="B18" t="s">
        <v>5902</v>
      </c>
      <c r="C18" t="s">
        <v>16009</v>
      </c>
      <c r="D18" t="str">
        <f>"0000000216043"</f>
        <v>0000000216043</v>
      </c>
    </row>
    <row r="19" spans="1:4">
      <c r="A19" t="s">
        <v>16010</v>
      </c>
      <c r="B19" t="s">
        <v>5902</v>
      </c>
      <c r="C19" t="s">
        <v>16011</v>
      </c>
      <c r="D19" t="str">
        <f>"0000000379786"</f>
        <v>0000000379786</v>
      </c>
    </row>
    <row r="20" spans="1:4">
      <c r="A20" t="s">
        <v>16012</v>
      </c>
      <c r="B20" t="s">
        <v>5902</v>
      </c>
      <c r="C20" t="s">
        <v>16013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16014</v>
      </c>
      <c r="B155" t="s">
        <v>5902</v>
      </c>
      <c r="C155" t="s">
        <v>16015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16016</v>
      </c>
      <c r="B175" t="s">
        <v>5902</v>
      </c>
      <c r="C175" t="s">
        <v>16017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16018</v>
      </c>
      <c r="B178" t="s">
        <v>5902</v>
      </c>
      <c r="C178" t="s">
        <v>16019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16020</v>
      </c>
      <c r="B187" t="s">
        <v>5902</v>
      </c>
      <c r="C187" t="s">
        <v>16021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16022</v>
      </c>
      <c r="B189" t="s">
        <v>5902</v>
      </c>
      <c r="C189" t="s">
        <v>16023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16024</v>
      </c>
      <c r="B191" t="s">
        <v>5902</v>
      </c>
      <c r="C191" t="s">
        <v>16025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16026</v>
      </c>
      <c r="B199" t="s">
        <v>5902</v>
      </c>
      <c r="C199" t="s">
        <v>16027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16028</v>
      </c>
      <c r="B209" t="s">
        <v>5902</v>
      </c>
      <c r="C209" t="s">
        <v>16029</v>
      </c>
      <c r="D209" t="str">
        <f>"0000000294386"</f>
        <v>0000000294386</v>
      </c>
    </row>
    <row r="210" spans="1:4">
      <c r="A210" t="s">
        <v>16030</v>
      </c>
      <c r="B210" t="s">
        <v>5902</v>
      </c>
      <c r="C210" t="s">
        <v>16031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16032</v>
      </c>
      <c r="B212" t="s">
        <v>5902</v>
      </c>
      <c r="C212" t="s">
        <v>16033</v>
      </c>
      <c r="D212" t="str">
        <f>"0000000209298"</f>
        <v>0000000209298</v>
      </c>
    </row>
    <row r="213" spans="1:4">
      <c r="A213" t="s">
        <v>16034</v>
      </c>
      <c r="B213" t="s">
        <v>5902</v>
      </c>
      <c r="C213" t="s">
        <v>16035</v>
      </c>
      <c r="D213" t="str">
        <f>"0000000209304"</f>
        <v>0000000209304</v>
      </c>
    </row>
    <row r="214" spans="1:4">
      <c r="A214" t="s">
        <v>16036</v>
      </c>
      <c r="B214" t="s">
        <v>5902</v>
      </c>
      <c r="C214" t="s">
        <v>16037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16038</v>
      </c>
      <c r="B243" t="s">
        <v>5902</v>
      </c>
      <c r="C243" t="s">
        <v>16039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16040</v>
      </c>
      <c r="B298" t="s">
        <v>5902</v>
      </c>
      <c r="C298" t="s">
        <v>16041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16042</v>
      </c>
      <c r="B308" t="s">
        <v>5902</v>
      </c>
      <c r="C308" t="s">
        <v>16043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16044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16045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16046</v>
      </c>
      <c r="B331" t="s">
        <v>5902</v>
      </c>
      <c r="C331" t="s">
        <v>16047</v>
      </c>
      <c r="D331" t="str">
        <f>"0000000294393"</f>
        <v>0000000294393</v>
      </c>
    </row>
    <row r="332" spans="1:4">
      <c r="A332" t="s">
        <v>16048</v>
      </c>
      <c r="B332" t="s">
        <v>5902</v>
      </c>
      <c r="C332" t="s">
        <v>16049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16050</v>
      </c>
      <c r="B334" t="s">
        <v>5902</v>
      </c>
      <c r="C334" t="s">
        <v>16051</v>
      </c>
      <c r="D334" t="str">
        <f>"0000000294409"</f>
        <v>0000000294409</v>
      </c>
    </row>
    <row r="335" spans="1:4">
      <c r="A335" t="s">
        <v>16052</v>
      </c>
      <c r="B335" t="s">
        <v>5902</v>
      </c>
      <c r="C335" t="s">
        <v>16053</v>
      </c>
      <c r="D335" t="str">
        <f>"0000000291088"</f>
        <v>0000000291088</v>
      </c>
    </row>
    <row r="336" spans="1:4">
      <c r="A336" t="s">
        <v>16054</v>
      </c>
      <c r="B336" t="s">
        <v>5902</v>
      </c>
      <c r="C336" t="s">
        <v>16055</v>
      </c>
      <c r="D336" t="str">
        <f>"0000000294416"</f>
        <v>0000000294416</v>
      </c>
    </row>
    <row r="337" spans="1:4">
      <c r="A337" t="s">
        <v>16056</v>
      </c>
      <c r="B337" t="s">
        <v>5902</v>
      </c>
      <c r="C337" t="s">
        <v>16057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16058</v>
      </c>
      <c r="B349" t="s">
        <v>5902</v>
      </c>
      <c r="C349" t="s">
        <v>16059</v>
      </c>
      <c r="D349" t="str">
        <f>"0000000094870"</f>
        <v>0000000094870</v>
      </c>
    </row>
    <row r="350" spans="1:4">
      <c r="A350" t="s">
        <v>16060</v>
      </c>
      <c r="B350" t="s">
        <v>5902</v>
      </c>
      <c r="C350" t="s">
        <v>16061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16062</v>
      </c>
      <c r="B355" t="s">
        <v>5902</v>
      </c>
      <c r="C355" t="s">
        <v>16063</v>
      </c>
      <c r="D355" t="str">
        <f>"0000000096812"</f>
        <v>0000000096812</v>
      </c>
    </row>
    <row r="356" spans="1:4">
      <c r="A356" t="s">
        <v>16064</v>
      </c>
      <c r="B356" t="s">
        <v>5902</v>
      </c>
      <c r="C356" t="s">
        <v>16065</v>
      </c>
      <c r="D356" t="str">
        <f>"0000000219501"</f>
        <v>0000000219501</v>
      </c>
    </row>
    <row r="357" spans="1:4">
      <c r="A357" t="s">
        <v>16066</v>
      </c>
      <c r="B357" t="s">
        <v>5902</v>
      </c>
      <c r="C357" t="s">
        <v>16067</v>
      </c>
      <c r="D357" t="str">
        <f>"0000000096829"</f>
        <v>0000000096829</v>
      </c>
    </row>
    <row r="358" spans="1:4">
      <c r="A358" t="s">
        <v>16068</v>
      </c>
      <c r="B358" t="s">
        <v>5902</v>
      </c>
      <c r="C358" t="s">
        <v>16069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16070</v>
      </c>
      <c r="B374" t="s">
        <v>5902</v>
      </c>
      <c r="C374" t="s">
        <v>16071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16072</v>
      </c>
      <c r="B379" t="s">
        <v>5902</v>
      </c>
      <c r="C379" t="s">
        <v>16073</v>
      </c>
      <c r="D379" t="str">
        <f>"0000000294423"</f>
        <v>0000000294423</v>
      </c>
    </row>
    <row r="380" spans="1:4">
      <c r="A380" t="s">
        <v>16074</v>
      </c>
      <c r="B380" t="s">
        <v>5902</v>
      </c>
      <c r="C380" t="s">
        <v>16075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16076</v>
      </c>
      <c r="B382" t="s">
        <v>5902</v>
      </c>
      <c r="C382" t="s">
        <v>16077</v>
      </c>
      <c r="D382" t="str">
        <f>"0000000294430"</f>
        <v>0000000294430</v>
      </c>
    </row>
    <row r="383" spans="1:4">
      <c r="A383" t="s">
        <v>16078</v>
      </c>
      <c r="B383" t="s">
        <v>5902</v>
      </c>
      <c r="C383" t="s">
        <v>16079</v>
      </c>
      <c r="D383" t="str">
        <f>"0000000225632"</f>
        <v>0000000225632</v>
      </c>
    </row>
    <row r="384" spans="1:4">
      <c r="A384" t="s">
        <v>16080</v>
      </c>
      <c r="B384" t="s">
        <v>5902</v>
      </c>
      <c r="C384" t="s">
        <v>16081</v>
      </c>
      <c r="D384" t="str">
        <f>"0000000107938"</f>
        <v>0000000107938</v>
      </c>
    </row>
    <row r="385" spans="1:4">
      <c r="A385" t="s">
        <v>16082</v>
      </c>
      <c r="B385" t="s">
        <v>5902</v>
      </c>
      <c r="C385" t="s">
        <v>16083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16084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16085</v>
      </c>
      <c r="B416" t="s">
        <v>5902</v>
      </c>
      <c r="C416" t="s">
        <v>16086</v>
      </c>
      <c r="D416" t="str">
        <f>"0000000342681"</f>
        <v>0000000342681</v>
      </c>
    </row>
    <row r="417" spans="1:4">
      <c r="A417" t="s">
        <v>16087</v>
      </c>
      <c r="B417" t="s">
        <v>5902</v>
      </c>
      <c r="C417" t="s">
        <v>16088</v>
      </c>
      <c r="D417" t="str">
        <f>"0000000204422"</f>
        <v>0000000204422</v>
      </c>
    </row>
    <row r="418" spans="1:4">
      <c r="A418" t="s">
        <v>16089</v>
      </c>
      <c r="B418" t="s">
        <v>5902</v>
      </c>
      <c r="C418" t="s">
        <v>16090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16091</v>
      </c>
      <c r="B423" t="s">
        <v>5902</v>
      </c>
      <c r="C423" t="s">
        <v>16092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16093</v>
      </c>
      <c r="B428" t="s">
        <v>5902</v>
      </c>
      <c r="C428" t="s">
        <v>16094</v>
      </c>
      <c r="D428" t="str">
        <f>"0000000151337"</f>
        <v>0000000151337</v>
      </c>
    </row>
    <row r="429" spans="1:4">
      <c r="A429" t="s">
        <v>16095</v>
      </c>
      <c r="B429" t="s">
        <v>5902</v>
      </c>
      <c r="C429" t="s">
        <v>16096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16097</v>
      </c>
      <c r="B431" t="s">
        <v>5902</v>
      </c>
      <c r="C431" t="s">
        <v>16098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16099</v>
      </c>
      <c r="B437" t="s">
        <v>5902</v>
      </c>
      <c r="C437" t="s">
        <v>16100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16101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16102</v>
      </c>
      <c r="B445" t="s">
        <v>5902</v>
      </c>
      <c r="C445" t="s">
        <v>16103</v>
      </c>
      <c r="D445" t="str">
        <f>"0000000294447"</f>
        <v>0000000294447</v>
      </c>
    </row>
    <row r="446" spans="1:4">
      <c r="A446" t="s">
        <v>16104</v>
      </c>
      <c r="B446" t="s">
        <v>5902</v>
      </c>
      <c r="C446" t="s">
        <v>16105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16106</v>
      </c>
      <c r="B464" t="s">
        <v>5902</v>
      </c>
      <c r="C464" t="s">
        <v>16107</v>
      </c>
      <c r="D464" t="str">
        <f>"0000000273091"</f>
        <v>0000000273091</v>
      </c>
    </row>
    <row r="465" spans="1:4">
      <c r="A465" t="s">
        <v>16108</v>
      </c>
      <c r="B465" t="s">
        <v>5902</v>
      </c>
      <c r="C465" t="s">
        <v>16109</v>
      </c>
      <c r="D465" t="str">
        <f>"0000000291149"</f>
        <v>0000000291149</v>
      </c>
    </row>
    <row r="466" spans="1:4">
      <c r="A466" t="s">
        <v>16110</v>
      </c>
      <c r="B466" t="s">
        <v>5902</v>
      </c>
      <c r="C466" t="s">
        <v>16111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16112</v>
      </c>
      <c r="B473" t="s">
        <v>5902</v>
      </c>
      <c r="C473" t="s">
        <v>16113</v>
      </c>
      <c r="D473" t="str">
        <f>"0000000205351"</f>
        <v>0000000205351</v>
      </c>
    </row>
    <row r="474" spans="1:4">
      <c r="A474" t="s">
        <v>16114</v>
      </c>
      <c r="B474" t="s">
        <v>5902</v>
      </c>
      <c r="C474" t="s">
        <v>16115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16116</v>
      </c>
      <c r="B480" t="s">
        <v>5902</v>
      </c>
      <c r="C480" t="s">
        <v>16117</v>
      </c>
      <c r="D480" t="str">
        <f>"0000000294454"</f>
        <v>0000000294454</v>
      </c>
    </row>
    <row r="481" spans="1:4">
      <c r="A481" t="s">
        <v>16118</v>
      </c>
      <c r="B481" t="s">
        <v>5902</v>
      </c>
      <c r="C481" t="s">
        <v>16119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16120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16121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16122</v>
      </c>
      <c r="B502" t="s">
        <v>5902</v>
      </c>
      <c r="C502" t="s">
        <v>16123</v>
      </c>
      <c r="D502" t="str">
        <f>"0000000184878"</f>
        <v>0000000184878</v>
      </c>
    </row>
    <row r="503" spans="1:4">
      <c r="A503" t="s">
        <v>16124</v>
      </c>
      <c r="B503" t="s">
        <v>5902</v>
      </c>
      <c r="C503" t="s">
        <v>16125</v>
      </c>
      <c r="D503" t="str">
        <f>"0000000184885"</f>
        <v>0000000184885</v>
      </c>
    </row>
    <row r="504" spans="1:4">
      <c r="A504" t="s">
        <v>16126</v>
      </c>
      <c r="B504" t="s">
        <v>5902</v>
      </c>
      <c r="C504" t="s">
        <v>16127</v>
      </c>
      <c r="D504" t="str">
        <f>"0000000186872"</f>
        <v>0000000186872</v>
      </c>
    </row>
    <row r="505" spans="1:4">
      <c r="A505" t="s">
        <v>16128</v>
      </c>
      <c r="B505" t="s">
        <v>5902</v>
      </c>
      <c r="C505" t="s">
        <v>16129</v>
      </c>
      <c r="D505" t="str">
        <f>"0000000184892"</f>
        <v>0000000184892</v>
      </c>
    </row>
    <row r="506" spans="1:4">
      <c r="A506" t="s">
        <v>16130</v>
      </c>
      <c r="B506" t="s">
        <v>5902</v>
      </c>
      <c r="C506" t="s">
        <v>16131</v>
      </c>
      <c r="D506" t="str">
        <f>"0000000185929"</f>
        <v>0000000185929</v>
      </c>
    </row>
    <row r="507" spans="1:4">
      <c r="A507" t="s">
        <v>16132</v>
      </c>
      <c r="B507" t="s">
        <v>5902</v>
      </c>
      <c r="C507" t="s">
        <v>16133</v>
      </c>
      <c r="D507" t="str">
        <f>"0000000184908"</f>
        <v>0000000184908</v>
      </c>
    </row>
    <row r="508" spans="1:4">
      <c r="A508" t="s">
        <v>16134</v>
      </c>
      <c r="B508" t="s">
        <v>5902</v>
      </c>
      <c r="C508" t="s">
        <v>16135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16136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16137</v>
      </c>
      <c r="B520" t="s">
        <v>5902</v>
      </c>
      <c r="C520" t="s">
        <v>16138</v>
      </c>
      <c r="D520" t="str">
        <f>"0000000194365"</f>
        <v>0000000194365</v>
      </c>
    </row>
    <row r="521" spans="1:4">
      <c r="A521" t="s">
        <v>16139</v>
      </c>
      <c r="B521" t="s">
        <v>5902</v>
      </c>
      <c r="C521" t="s">
        <v>16140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16141</v>
      </c>
      <c r="B524" t="s">
        <v>5902</v>
      </c>
      <c r="C524" t="s">
        <v>16142</v>
      </c>
      <c r="D524" t="str">
        <f>"0000000294461"</f>
        <v>0000000294461</v>
      </c>
    </row>
    <row r="525" spans="1:4">
      <c r="A525" t="s">
        <v>16143</v>
      </c>
      <c r="B525" t="s">
        <v>5902</v>
      </c>
      <c r="C525" t="s">
        <v>16144</v>
      </c>
      <c r="D525" t="str">
        <f>"0000000205924"</f>
        <v>0000000205924</v>
      </c>
    </row>
    <row r="526" spans="1:4">
      <c r="A526" t="s">
        <v>16145</v>
      </c>
      <c r="B526" t="s">
        <v>5902</v>
      </c>
      <c r="C526" t="s">
        <v>16146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16147</v>
      </c>
      <c r="B528" t="s">
        <v>5902</v>
      </c>
      <c r="C528" t="s">
        <v>16148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16149</v>
      </c>
      <c r="B531" t="s">
        <v>5902</v>
      </c>
      <c r="C531" t="s">
        <v>16150</v>
      </c>
      <c r="D531" t="str">
        <f>"0000000257534"</f>
        <v>0000000257534</v>
      </c>
    </row>
    <row r="532" spans="1:4">
      <c r="A532" t="s">
        <v>16151</v>
      </c>
      <c r="B532" t="s">
        <v>5902</v>
      </c>
      <c r="C532" t="s">
        <v>16152</v>
      </c>
      <c r="D532" t="str">
        <f>"0000000257527"</f>
        <v>0000000257527</v>
      </c>
    </row>
    <row r="533" spans="1:4">
      <c r="A533" t="s">
        <v>16153</v>
      </c>
      <c r="B533" t="s">
        <v>5902</v>
      </c>
      <c r="C533" t="s">
        <v>16154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16155</v>
      </c>
      <c r="B537" t="s">
        <v>5902</v>
      </c>
      <c r="C537" t="s">
        <v>16156</v>
      </c>
      <c r="D537" t="str">
        <f>"0000000294362"</f>
        <v>0000000294362</v>
      </c>
    </row>
    <row r="538" spans="1:4">
      <c r="A538" t="s">
        <v>16157</v>
      </c>
      <c r="B538" t="s">
        <v>5902</v>
      </c>
      <c r="C538" t="s">
        <v>16158</v>
      </c>
      <c r="D538" t="str">
        <f>"0000000198592"</f>
        <v>0000000198592</v>
      </c>
    </row>
    <row r="539" spans="1:4">
      <c r="A539" t="s">
        <v>16159</v>
      </c>
      <c r="B539" t="s">
        <v>5902</v>
      </c>
      <c r="C539" t="s">
        <v>16160</v>
      </c>
      <c r="D539" t="str">
        <f>"0000000294379"</f>
        <v>0000000294379</v>
      </c>
    </row>
    <row r="540" spans="1:4">
      <c r="A540" t="s">
        <v>16161</v>
      </c>
      <c r="B540" t="s">
        <v>5902</v>
      </c>
      <c r="C540" t="s">
        <v>16162</v>
      </c>
      <c r="D540" t="str">
        <f>"0000000198608"</f>
        <v>0000000198608</v>
      </c>
    </row>
    <row r="541" spans="1:4">
      <c r="A541" t="s">
        <v>16163</v>
      </c>
      <c r="B541" t="s">
        <v>5902</v>
      </c>
      <c r="C541" t="s">
        <v>16164</v>
      </c>
      <c r="D541" t="str">
        <f>"0000000308052"</f>
        <v>0000000308052</v>
      </c>
    </row>
    <row r="542" spans="1:4">
      <c r="A542" t="s">
        <v>16165</v>
      </c>
      <c r="B542" t="s">
        <v>5902</v>
      </c>
      <c r="C542" t="s">
        <v>16166</v>
      </c>
      <c r="D542" t="str">
        <f>"0000000308519"</f>
        <v>0000000308519</v>
      </c>
    </row>
    <row r="543" spans="1:4">
      <c r="A543" t="s">
        <v>16167</v>
      </c>
      <c r="B543" t="s">
        <v>5902</v>
      </c>
      <c r="C543" t="s">
        <v>16168</v>
      </c>
      <c r="D543" t="str">
        <f>"0000000311458"</f>
        <v>0000000311458</v>
      </c>
    </row>
    <row r="544" spans="1:4">
      <c r="A544" t="s">
        <v>16169</v>
      </c>
      <c r="B544" t="s">
        <v>5902</v>
      </c>
      <c r="C544" t="s">
        <v>16170</v>
      </c>
      <c r="D544" t="str">
        <f>"0000000311465"</f>
        <v>0000000311465</v>
      </c>
    </row>
    <row r="545" spans="1:4">
      <c r="A545" t="s">
        <v>16171</v>
      </c>
      <c r="B545" t="s">
        <v>5902</v>
      </c>
      <c r="C545" t="s">
        <v>16172</v>
      </c>
      <c r="D545" t="str">
        <f>"0000000293747"</f>
        <v>0000000293747</v>
      </c>
    </row>
    <row r="546" spans="1:4">
      <c r="A546" t="s">
        <v>16173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16174</v>
      </c>
      <c r="B553" t="s">
        <v>5902</v>
      </c>
      <c r="C553" t="s">
        <v>16175</v>
      </c>
      <c r="D553" t="str">
        <f>"0000000209182"</f>
        <v>0000000209182</v>
      </c>
    </row>
    <row r="554" spans="1:4">
      <c r="A554" t="s">
        <v>16176</v>
      </c>
      <c r="B554" t="s">
        <v>5902</v>
      </c>
      <c r="C554" t="s">
        <v>16177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16178</v>
      </c>
      <c r="B564" t="s">
        <v>5902</v>
      </c>
      <c r="C564" t="s">
        <v>16179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16180</v>
      </c>
      <c r="B572" t="s">
        <v>5902</v>
      </c>
      <c r="C572" t="s">
        <v>16181</v>
      </c>
      <c r="D572" t="str">
        <f>"0000000221610"</f>
        <v>0000000221610</v>
      </c>
    </row>
    <row r="573" spans="1:4">
      <c r="A573" t="s">
        <v>16182</v>
      </c>
      <c r="B573" t="s">
        <v>5902</v>
      </c>
      <c r="C573" t="s">
        <v>16183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16184</v>
      </c>
      <c r="B605" t="s">
        <v>5902</v>
      </c>
      <c r="C605" t="s">
        <v>16185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16186</v>
      </c>
      <c r="B607" t="s">
        <v>5902</v>
      </c>
      <c r="C607" t="s">
        <v>16187</v>
      </c>
      <c r="D607" t="str">
        <f>"0000000319034"</f>
        <v>0000000319034</v>
      </c>
    </row>
    <row r="608" spans="1:4">
      <c r="A608" t="s">
        <v>16188</v>
      </c>
      <c r="B608" t="s">
        <v>5902</v>
      </c>
      <c r="C608" t="s">
        <v>16189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16190</v>
      </c>
      <c r="B611" t="s">
        <v>5902</v>
      </c>
      <c r="C611" t="s">
        <v>16191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16192</v>
      </c>
      <c r="B629" t="s">
        <v>5902</v>
      </c>
      <c r="C629" t="s">
        <v>16193</v>
      </c>
      <c r="D629" t="str">
        <f>"0000000268196"</f>
        <v>0000000268196</v>
      </c>
    </row>
    <row r="630" spans="1:4">
      <c r="A630" t="s">
        <v>16194</v>
      </c>
      <c r="B630" t="s">
        <v>5902</v>
      </c>
      <c r="C630" t="s">
        <v>16195</v>
      </c>
      <c r="D630" t="str">
        <f>"0000000288248"</f>
        <v>0000000288248</v>
      </c>
    </row>
    <row r="631" spans="1:4">
      <c r="A631" t="s">
        <v>16196</v>
      </c>
      <c r="B631" t="s">
        <v>5902</v>
      </c>
      <c r="C631" t="s">
        <v>16197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16198</v>
      </c>
      <c r="B633" t="s">
        <v>5902</v>
      </c>
      <c r="C633" t="s">
        <v>16199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16200</v>
      </c>
      <c r="B638" t="s">
        <v>5902</v>
      </c>
      <c r="C638" t="s">
        <v>16201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16202</v>
      </c>
      <c r="B643" t="s">
        <v>5902</v>
      </c>
      <c r="C643" t="s">
        <v>16203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16204</v>
      </c>
      <c r="B683" t="s">
        <v>5902</v>
      </c>
      <c r="C683" t="s">
        <v>16205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16206</v>
      </c>
      <c r="B685" t="s">
        <v>5902</v>
      </c>
      <c r="C685" t="s">
        <v>16207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16208</v>
      </c>
      <c r="B687" t="s">
        <v>5902</v>
      </c>
      <c r="C687" t="s">
        <v>16209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16210</v>
      </c>
      <c r="B691" t="s">
        <v>5902</v>
      </c>
      <c r="C691" t="s">
        <v>16211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16212</v>
      </c>
      <c r="B707" t="s">
        <v>5902</v>
      </c>
      <c r="C707" t="s">
        <v>16213</v>
      </c>
      <c r="D707" t="str">
        <f>"0000000432269"</f>
        <v>0000000432269</v>
      </c>
    </row>
    <row r="708" spans="1:4">
      <c r="A708" t="s">
        <v>16214</v>
      </c>
      <c r="B708" t="s">
        <v>5902</v>
      </c>
      <c r="C708" t="s">
        <v>16215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16216</v>
      </c>
      <c r="B722" t="s">
        <v>5902</v>
      </c>
      <c r="C722" t="s">
        <v>16217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16218</v>
      </c>
      <c r="B729" t="s">
        <v>5902</v>
      </c>
      <c r="C729" t="s">
        <v>16219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16220</v>
      </c>
      <c r="B731" t="s">
        <v>5902</v>
      </c>
      <c r="C731" t="s">
        <v>16221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16222</v>
      </c>
      <c r="B737" t="s">
        <v>5902</v>
      </c>
      <c r="C737" t="s">
        <v>16223</v>
      </c>
      <c r="D737" t="str">
        <f>"0000000367790"</f>
        <v>0000000367790</v>
      </c>
    </row>
    <row r="738" spans="1:4">
      <c r="A738" t="s">
        <v>16224</v>
      </c>
      <c r="B738" t="s">
        <v>5902</v>
      </c>
      <c r="C738" t="s">
        <v>16225</v>
      </c>
      <c r="D738" t="str">
        <f>"0000000421966"</f>
        <v>0000000421966</v>
      </c>
    </row>
    <row r="739" spans="1:4">
      <c r="A739" t="s">
        <v>16226</v>
      </c>
      <c r="B739" t="s">
        <v>5902</v>
      </c>
      <c r="C739" t="s">
        <v>16227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16228</v>
      </c>
      <c r="B759" t="s">
        <v>5902</v>
      </c>
      <c r="C759" t="s">
        <v>16229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16230</v>
      </c>
      <c r="B779" t="s">
        <v>5902</v>
      </c>
      <c r="C779" t="s">
        <v>16231</v>
      </c>
      <c r="D779" t="str">
        <f>"0000000425957"</f>
        <v>0000000425957</v>
      </c>
    </row>
    <row r="780" spans="1:4">
      <c r="A780" t="s">
        <v>16232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16233</v>
      </c>
      <c r="B791" t="s">
        <v>5902</v>
      </c>
      <c r="C791" t="s">
        <v>16234</v>
      </c>
      <c r="D791" t="str">
        <f>"0000000388450"</f>
        <v>0000000388450</v>
      </c>
    </row>
    <row r="792" spans="1:4">
      <c r="A792" t="s">
        <v>16235</v>
      </c>
      <c r="B792" t="s">
        <v>5902</v>
      </c>
      <c r="C792" t="s">
        <v>16236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16237</v>
      </c>
      <c r="B807" t="s">
        <v>5902</v>
      </c>
      <c r="C807" t="s">
        <v>16238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16239</v>
      </c>
      <c r="B810" t="s">
        <v>5902</v>
      </c>
      <c r="C810" t="s">
        <v>16240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16241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16242</v>
      </c>
      <c r="B829" t="s">
        <v>5902</v>
      </c>
      <c r="C829" t="s">
        <v>16243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16244</v>
      </c>
      <c r="B880" t="s">
        <v>5902</v>
      </c>
      <c r="C880" t="s">
        <v>16245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16246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16247</v>
      </c>
      <c r="B907" t="s">
        <v>5902</v>
      </c>
      <c r="C907" t="s">
        <v>16248</v>
      </c>
      <c r="D907" t="str">
        <f>"0000000437103"</f>
        <v>0000000437103</v>
      </c>
    </row>
    <row r="908" spans="1:4">
      <c r="A908" t="s">
        <v>16249</v>
      </c>
      <c r="B908" t="s">
        <v>5902</v>
      </c>
      <c r="C908" t="s">
        <v>16250</v>
      </c>
      <c r="D908" t="s">
        <v>16251</v>
      </c>
    </row>
    <row r="909" spans="1:4">
      <c r="A909" t="s">
        <v>16252</v>
      </c>
      <c r="B909" t="s">
        <v>5902</v>
      </c>
      <c r="C909" t="s">
        <v>16253</v>
      </c>
      <c r="D909" t="s">
        <v>16254</v>
      </c>
    </row>
    <row r="910" spans="1:4">
      <c r="A910" t="s">
        <v>16255</v>
      </c>
      <c r="B910" t="s">
        <v>5902</v>
      </c>
      <c r="C910" t="s">
        <v>16256</v>
      </c>
      <c r="D910" t="str">
        <f>"0000000357319"</f>
        <v>0000000357319</v>
      </c>
    </row>
    <row r="911" spans="1:4">
      <c r="A911" t="s">
        <v>16257</v>
      </c>
      <c r="B911" t="s">
        <v>5902</v>
      </c>
      <c r="C911" t="s">
        <v>16258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16259</v>
      </c>
      <c r="B913" t="s">
        <v>5902</v>
      </c>
      <c r="C913" t="s">
        <v>16260</v>
      </c>
      <c r="D913" t="str">
        <f>"0000000199063"</f>
        <v>0000000199063</v>
      </c>
    </row>
    <row r="914" spans="1:4">
      <c r="A914" t="s">
        <v>16261</v>
      </c>
      <c r="B914" t="s">
        <v>5902</v>
      </c>
      <c r="C914" t="s">
        <v>16262</v>
      </c>
      <c r="D914" t="str">
        <f>"0000000421829"</f>
        <v>0000000421829</v>
      </c>
    </row>
    <row r="915" spans="1:4">
      <c r="A915" t="s">
        <v>16263</v>
      </c>
      <c r="B915" t="s">
        <v>5902</v>
      </c>
      <c r="C915" t="s">
        <v>16264</v>
      </c>
      <c r="D915" t="str">
        <f>"0000000242578"</f>
        <v>0000000242578</v>
      </c>
    </row>
    <row r="916" spans="1:4">
      <c r="A916" t="s">
        <v>16265</v>
      </c>
      <c r="B916" t="s">
        <v>5902</v>
      </c>
      <c r="C916" t="s">
        <v>16266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16267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16268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16269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16270</v>
      </c>
      <c r="D1355" t="s">
        <v>16271</v>
      </c>
    </row>
    <row r="1356" spans="1:4">
      <c r="A1356" t="s">
        <v>8759</v>
      </c>
      <c r="B1356" t="s">
        <v>8738</v>
      </c>
      <c r="C1356" t="s">
        <v>16272</v>
      </c>
      <c r="D1356" t="s">
        <v>16273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16274</v>
      </c>
      <c r="D1359" t="s">
        <v>16275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16276</v>
      </c>
      <c r="D1361" t="s">
        <v>16277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16278</v>
      </c>
      <c r="D1364" t="s">
        <v>16279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16280</v>
      </c>
      <c r="B1368" t="s">
        <v>8738</v>
      </c>
      <c r="C1368" t="s">
        <v>16281</v>
      </c>
      <c r="D1368" t="s">
        <v>16282</v>
      </c>
    </row>
    <row r="1369" spans="1:4">
      <c r="A1369" t="s">
        <v>16280</v>
      </c>
      <c r="B1369" t="s">
        <v>8738</v>
      </c>
      <c r="C1369" t="s">
        <v>16283</v>
      </c>
      <c r="D1369" t="s">
        <v>16284</v>
      </c>
    </row>
    <row r="1370" spans="1:4">
      <c r="A1370" t="s">
        <v>16280</v>
      </c>
      <c r="B1370" t="s">
        <v>8738</v>
      </c>
      <c r="C1370" t="s">
        <v>16285</v>
      </c>
      <c r="D1370" t="s">
        <v>16286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16287</v>
      </c>
      <c r="D1373" t="s">
        <v>16288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16289</v>
      </c>
      <c r="D1378" t="s">
        <v>16290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16291</v>
      </c>
      <c r="D1381" t="s">
        <v>16292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16293</v>
      </c>
      <c r="D1383" t="s">
        <v>16294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16295</v>
      </c>
      <c r="B1385" t="s">
        <v>8738</v>
      </c>
      <c r="C1385" t="s">
        <v>16296</v>
      </c>
      <c r="D1385" t="s">
        <v>16297</v>
      </c>
    </row>
    <row r="1386" spans="1:4">
      <c r="A1386" t="s">
        <v>16295</v>
      </c>
      <c r="B1386" t="s">
        <v>8738</v>
      </c>
      <c r="C1386" t="s">
        <v>16298</v>
      </c>
      <c r="D1386" t="s">
        <v>16299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16300</v>
      </c>
      <c r="D1388" t="s">
        <v>16301</v>
      </c>
    </row>
    <row r="1389" spans="1:4">
      <c r="A1389" t="s">
        <v>8808</v>
      </c>
      <c r="B1389" t="s">
        <v>8738</v>
      </c>
      <c r="C1389" t="s">
        <v>16302</v>
      </c>
      <c r="D1389" t="s">
        <v>16303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16304</v>
      </c>
      <c r="D1391" t="s">
        <v>16305</v>
      </c>
    </row>
    <row r="1392" spans="1:4">
      <c r="A1392" t="s">
        <v>8810</v>
      </c>
      <c r="B1392" t="s">
        <v>8738</v>
      </c>
      <c r="C1392" t="s">
        <v>16306</v>
      </c>
      <c r="D1392" t="s">
        <v>16307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16308</v>
      </c>
      <c r="D1394" t="s">
        <v>16309</v>
      </c>
    </row>
    <row r="1395" spans="1:4">
      <c r="A1395" t="s">
        <v>8813</v>
      </c>
      <c r="B1395" t="s">
        <v>8738</v>
      </c>
      <c r="C1395" t="s">
        <v>16310</v>
      </c>
      <c r="D1395" t="s">
        <v>16311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15761</v>
      </c>
      <c r="B1398" t="s">
        <v>8738</v>
      </c>
      <c r="C1398" t="s">
        <v>15762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16312</v>
      </c>
      <c r="D1400" t="s">
        <v>16313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16314</v>
      </c>
      <c r="B1402" t="s">
        <v>8738</v>
      </c>
      <c r="C1402" t="s">
        <v>16315</v>
      </c>
      <c r="D1402" t="s">
        <v>16316</v>
      </c>
    </row>
    <row r="1403" spans="1:4">
      <c r="A1403" t="s">
        <v>16314</v>
      </c>
      <c r="B1403" t="s">
        <v>8738</v>
      </c>
      <c r="C1403" t="s">
        <v>16317</v>
      </c>
      <c r="D1403" t="s">
        <v>16318</v>
      </c>
    </row>
    <row r="1404" spans="1:4">
      <c r="A1404" t="s">
        <v>16314</v>
      </c>
      <c r="B1404" t="s">
        <v>8738</v>
      </c>
      <c r="C1404" t="s">
        <v>16319</v>
      </c>
      <c r="D1404" t="s">
        <v>16320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16321</v>
      </c>
      <c r="D1406" t="s">
        <v>16322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16323</v>
      </c>
      <c r="D1408" t="s">
        <v>16324</v>
      </c>
    </row>
    <row r="1409" spans="1:4">
      <c r="A1409" t="s">
        <v>16325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16326</v>
      </c>
      <c r="D1411" t="s">
        <v>16327</v>
      </c>
    </row>
    <row r="1412" spans="1:4">
      <c r="A1412" t="s">
        <v>8835</v>
      </c>
      <c r="B1412" t="s">
        <v>8738</v>
      </c>
      <c r="C1412" t="s">
        <v>16328</v>
      </c>
      <c r="D1412" t="s">
        <v>16329</v>
      </c>
    </row>
    <row r="1413" spans="1:4">
      <c r="A1413" t="s">
        <v>8835</v>
      </c>
      <c r="B1413" t="s">
        <v>8738</v>
      </c>
      <c r="C1413" t="s">
        <v>16330</v>
      </c>
      <c r="D1413" t="s">
        <v>16331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16332</v>
      </c>
      <c r="D1415" t="s">
        <v>16333</v>
      </c>
    </row>
    <row r="1416" spans="1:4">
      <c r="A1416" t="s">
        <v>8838</v>
      </c>
      <c r="B1416" t="s">
        <v>8738</v>
      </c>
      <c r="C1416" t="s">
        <v>16334</v>
      </c>
      <c r="D1416" t="s">
        <v>16335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16336</v>
      </c>
      <c r="D1418" t="s">
        <v>16337</v>
      </c>
    </row>
    <row r="1419" spans="1:4">
      <c r="A1419" t="s">
        <v>8841</v>
      </c>
      <c r="B1419" t="s">
        <v>8738</v>
      </c>
      <c r="C1419" t="s">
        <v>16338</v>
      </c>
      <c r="D1419" t="s">
        <v>16339</v>
      </c>
    </row>
    <row r="1420" spans="1:4">
      <c r="A1420" t="s">
        <v>8841</v>
      </c>
      <c r="B1420" t="s">
        <v>8738</v>
      </c>
      <c r="C1420" t="s">
        <v>16340</v>
      </c>
      <c r="D1420" t="s">
        <v>16341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16342</v>
      </c>
      <c r="D1422" t="s">
        <v>16343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16344</v>
      </c>
      <c r="D1424" t="s">
        <v>16345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16346</v>
      </c>
      <c r="D1426" t="s">
        <v>16347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16348</v>
      </c>
      <c r="D1428" t="s">
        <v>16349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16350</v>
      </c>
      <c r="B1430" t="s">
        <v>8738</v>
      </c>
      <c r="C1430" t="s">
        <v>16351</v>
      </c>
      <c r="D1430" t="s">
        <v>16352</v>
      </c>
    </row>
    <row r="1431" spans="1:4">
      <c r="A1431" t="s">
        <v>16350</v>
      </c>
      <c r="B1431" t="s">
        <v>8738</v>
      </c>
      <c r="C1431" t="s">
        <v>16353</v>
      </c>
      <c r="D1431" t="s">
        <v>16354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16355</v>
      </c>
      <c r="D1434" t="s">
        <v>16356</v>
      </c>
    </row>
    <row r="1435" spans="1:4">
      <c r="A1435" t="s">
        <v>8860</v>
      </c>
      <c r="B1435" t="s">
        <v>8738</v>
      </c>
      <c r="C1435" t="s">
        <v>16357</v>
      </c>
      <c r="D1435" t="s">
        <v>16358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16359</v>
      </c>
      <c r="D1437" t="s">
        <v>16360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16361</v>
      </c>
      <c r="D1439" t="s">
        <v>16362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16363</v>
      </c>
      <c r="D1443" t="s">
        <v>16364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16365</v>
      </c>
      <c r="B1445" t="s">
        <v>8738</v>
      </c>
      <c r="C1445" t="s">
        <v>16366</v>
      </c>
      <c r="D1445" t="s">
        <v>16367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16368</v>
      </c>
      <c r="D1448" t="s">
        <v>16369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16370</v>
      </c>
      <c r="D1450" t="s">
        <v>16371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16372</v>
      </c>
      <c r="D1460" t="s">
        <v>16373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16374</v>
      </c>
      <c r="D1463" t="s">
        <v>16375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16376</v>
      </c>
      <c r="D1465" t="s">
        <v>16377</v>
      </c>
    </row>
    <row r="1466" spans="1:4">
      <c r="A1466" t="s">
        <v>8916</v>
      </c>
      <c r="B1466" t="s">
        <v>8738</v>
      </c>
      <c r="C1466" t="s">
        <v>16378</v>
      </c>
      <c r="D1466" t="s">
        <v>16379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16380</v>
      </c>
      <c r="D1472" t="s">
        <v>16381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16382</v>
      </c>
      <c r="D1474" t="s">
        <v>16383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16384</v>
      </c>
      <c r="D1482" t="s">
        <v>16385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16386</v>
      </c>
      <c r="D1485" t="s">
        <v>16387</v>
      </c>
    </row>
    <row r="1486" spans="1:4">
      <c r="A1486" t="s">
        <v>8953</v>
      </c>
      <c r="B1486" t="s">
        <v>8738</v>
      </c>
      <c r="C1486" t="s">
        <v>16388</v>
      </c>
      <c r="D1486" t="s">
        <v>16389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16390</v>
      </c>
      <c r="D1489" t="s">
        <v>16391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16392</v>
      </c>
      <c r="D1491" t="s">
        <v>16393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16394</v>
      </c>
      <c r="D1493" t="s">
        <v>16395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16396</v>
      </c>
      <c r="D1496" t="s">
        <v>16397</v>
      </c>
    </row>
    <row r="1497" spans="1:4">
      <c r="A1497" t="s">
        <v>16398</v>
      </c>
      <c r="B1497" t="s">
        <v>8738</v>
      </c>
      <c r="C1497" t="s">
        <v>16399</v>
      </c>
      <c r="D1497" t="s">
        <v>16400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16401</v>
      </c>
      <c r="D1499" t="s">
        <v>16402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16403</v>
      </c>
      <c r="D1501" t="s">
        <v>16404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16405</v>
      </c>
      <c r="D1503" t="s">
        <v>16406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16407</v>
      </c>
      <c r="D1506" t="s">
        <v>16408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16409</v>
      </c>
      <c r="D1511" t="s">
        <v>16410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16411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16411</v>
      </c>
      <c r="B1514" t="s">
        <v>8738</v>
      </c>
      <c r="C1514" t="s">
        <v>16412</v>
      </c>
      <c r="D1514" t="s">
        <v>16413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16414</v>
      </c>
      <c r="D1520" t="s">
        <v>16415</v>
      </c>
    </row>
    <row r="1521" spans="1:4">
      <c r="A1521" t="s">
        <v>8996</v>
      </c>
      <c r="B1521" t="s">
        <v>8738</v>
      </c>
      <c r="C1521" t="s">
        <v>16416</v>
      </c>
      <c r="D1521" t="s">
        <v>16417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16418</v>
      </c>
      <c r="D1523" t="s">
        <v>16419</v>
      </c>
    </row>
    <row r="1524" spans="1:4">
      <c r="A1524" t="s">
        <v>8998</v>
      </c>
      <c r="B1524" t="s">
        <v>8738</v>
      </c>
      <c r="C1524" t="s">
        <v>16420</v>
      </c>
      <c r="D1524" t="s">
        <v>16421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16422</v>
      </c>
      <c r="D1527" t="s">
        <v>16423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16424</v>
      </c>
      <c r="D1529" t="s">
        <v>16425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16426</v>
      </c>
      <c r="D1531" t="s">
        <v>16427</v>
      </c>
    </row>
    <row r="1532" spans="1:4">
      <c r="A1532" t="s">
        <v>9006</v>
      </c>
      <c r="B1532" t="s">
        <v>8738</v>
      </c>
      <c r="C1532" t="s">
        <v>16428</v>
      </c>
      <c r="D1532" t="s">
        <v>16429</v>
      </c>
    </row>
    <row r="1533" spans="1:4">
      <c r="A1533" t="s">
        <v>9006</v>
      </c>
      <c r="B1533" t="s">
        <v>8738</v>
      </c>
      <c r="C1533" t="s">
        <v>16430</v>
      </c>
      <c r="D1533" t="s">
        <v>16431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16432</v>
      </c>
      <c r="D1535" t="s">
        <v>16433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16434</v>
      </c>
      <c r="D1537" t="s">
        <v>16435</v>
      </c>
    </row>
    <row r="1538" spans="1:4">
      <c r="A1538" t="s">
        <v>9010</v>
      </c>
      <c r="B1538" t="s">
        <v>8738</v>
      </c>
      <c r="C1538" t="s">
        <v>16436</v>
      </c>
      <c r="D1538" t="s">
        <v>16437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16438</v>
      </c>
      <c r="D1540" t="s">
        <v>16439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16440</v>
      </c>
      <c r="D1542" t="s">
        <v>16441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16442</v>
      </c>
      <c r="D1545" t="s">
        <v>16443</v>
      </c>
    </row>
    <row r="1546" spans="1:4">
      <c r="A1546" t="s">
        <v>9018</v>
      </c>
      <c r="B1546" t="s">
        <v>8738</v>
      </c>
      <c r="C1546" t="s">
        <v>16444</v>
      </c>
      <c r="D1546" t="s">
        <v>16445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16446</v>
      </c>
      <c r="D1548" t="s">
        <v>16447</v>
      </c>
    </row>
    <row r="1549" spans="1:4">
      <c r="A1549" t="s">
        <v>16448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16448</v>
      </c>
      <c r="B1550" t="s">
        <v>8738</v>
      </c>
      <c r="C1550" t="s">
        <v>16449</v>
      </c>
      <c r="D1550" t="s">
        <v>16450</v>
      </c>
    </row>
    <row r="1551" spans="1:4">
      <c r="A1551" t="s">
        <v>16451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16448</v>
      </c>
      <c r="B1552" t="s">
        <v>8738</v>
      </c>
      <c r="C1552" t="s">
        <v>16452</v>
      </c>
      <c r="D1552" t="s">
        <v>16453</v>
      </c>
    </row>
    <row r="1553" spans="1:4">
      <c r="A1553" t="s">
        <v>16448</v>
      </c>
      <c r="B1553" t="s">
        <v>8738</v>
      </c>
      <c r="C1553" t="s">
        <v>16454</v>
      </c>
      <c r="D1553" t="s">
        <v>16455</v>
      </c>
    </row>
    <row r="1554" spans="1:4">
      <c r="A1554" t="s">
        <v>16448</v>
      </c>
      <c r="B1554" t="s">
        <v>8738</v>
      </c>
      <c r="C1554" t="s">
        <v>16456</v>
      </c>
      <c r="D1554" t="s">
        <v>16457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16458</v>
      </c>
      <c r="D1556" t="s">
        <v>16459</v>
      </c>
    </row>
    <row r="1557" spans="1:4">
      <c r="A1557" t="s">
        <v>9024</v>
      </c>
      <c r="B1557" t="s">
        <v>8738</v>
      </c>
      <c r="C1557" t="s">
        <v>16460</v>
      </c>
      <c r="D1557" t="s">
        <v>16461</v>
      </c>
    </row>
    <row r="1558" spans="1:4">
      <c r="A1558" t="s">
        <v>9024</v>
      </c>
      <c r="B1558" t="s">
        <v>8738</v>
      </c>
      <c r="C1558" t="s">
        <v>16462</v>
      </c>
      <c r="D1558" t="s">
        <v>16463</v>
      </c>
    </row>
    <row r="1559" spans="1:4">
      <c r="A1559" t="s">
        <v>16464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16464</v>
      </c>
      <c r="B1560" t="s">
        <v>8738</v>
      </c>
      <c r="C1560" t="s">
        <v>16465</v>
      </c>
      <c r="D1560" t="s">
        <v>16466</v>
      </c>
    </row>
    <row r="1561" spans="1:4">
      <c r="A1561" t="s">
        <v>16464</v>
      </c>
      <c r="B1561" t="s">
        <v>8738</v>
      </c>
      <c r="C1561" t="s">
        <v>16467</v>
      </c>
      <c r="D1561" t="s">
        <v>16468</v>
      </c>
    </row>
    <row r="1562" spans="1:4">
      <c r="A1562" t="s">
        <v>16469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16469</v>
      </c>
      <c r="B1563" t="s">
        <v>8738</v>
      </c>
      <c r="C1563" t="s">
        <v>16470</v>
      </c>
      <c r="D1563" t="s">
        <v>16471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16472</v>
      </c>
      <c r="D1569" t="s">
        <v>16473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16474</v>
      </c>
      <c r="B1571" t="s">
        <v>8738</v>
      </c>
      <c r="C1571" t="s">
        <v>16475</v>
      </c>
      <c r="D1571" t="s">
        <v>16476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15769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16477</v>
      </c>
      <c r="D1575" t="s">
        <v>16478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16479</v>
      </c>
      <c r="B1579" t="s">
        <v>8738</v>
      </c>
      <c r="C1579" t="s">
        <v>16480</v>
      </c>
      <c r="D1579" t="s">
        <v>16481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16482</v>
      </c>
      <c r="D1582" t="s">
        <v>16483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16484</v>
      </c>
      <c r="D1584" t="s">
        <v>16485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16486</v>
      </c>
      <c r="D1588" t="s">
        <v>16487</v>
      </c>
    </row>
    <row r="1589" spans="1:4">
      <c r="A1589" t="s">
        <v>9059</v>
      </c>
      <c r="B1589" t="s">
        <v>8738</v>
      </c>
      <c r="C1589" t="s">
        <v>16488</v>
      </c>
      <c r="D1589" t="s">
        <v>16489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16490</v>
      </c>
      <c r="D1591" t="s">
        <v>16491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16492</v>
      </c>
      <c r="D1594" t="s">
        <v>16493</v>
      </c>
    </row>
    <row r="1595" spans="1:4">
      <c r="A1595" t="s">
        <v>16494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16495</v>
      </c>
      <c r="B1596" t="s">
        <v>8738</v>
      </c>
      <c r="C1596" t="s">
        <v>16496</v>
      </c>
      <c r="D1596" t="s">
        <v>16497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16498</v>
      </c>
      <c r="D1600" t="s">
        <v>16499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16500</v>
      </c>
      <c r="D1602" t="s">
        <v>16501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16502</v>
      </c>
      <c r="D1604" t="s">
        <v>16503</v>
      </c>
    </row>
    <row r="1605" spans="1:4">
      <c r="A1605" t="s">
        <v>9076</v>
      </c>
      <c r="B1605" t="s">
        <v>8738</v>
      </c>
      <c r="C1605" t="s">
        <v>16504</v>
      </c>
      <c r="D1605" t="s">
        <v>16505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16506</v>
      </c>
      <c r="D1608" t="s">
        <v>16507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16508</v>
      </c>
      <c r="D1610" t="s">
        <v>16509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16510</v>
      </c>
      <c r="B1612" t="s">
        <v>8738</v>
      </c>
      <c r="C1612" t="s">
        <v>16511</v>
      </c>
      <c r="D1612" t="s">
        <v>16512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16513</v>
      </c>
      <c r="D1615" t="s">
        <v>16514</v>
      </c>
    </row>
    <row r="1616" spans="1:4">
      <c r="A1616" t="s">
        <v>15771</v>
      </c>
      <c r="B1616" t="s">
        <v>8738</v>
      </c>
      <c r="C1616" t="s">
        <v>15772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16515</v>
      </c>
      <c r="D1618" t="s">
        <v>16516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16517</v>
      </c>
      <c r="D1621" t="s">
        <v>16518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16519</v>
      </c>
      <c r="D1623" t="s">
        <v>16520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16521</v>
      </c>
      <c r="D1625" t="s">
        <v>16522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16523</v>
      </c>
      <c r="B1629" t="s">
        <v>8738</v>
      </c>
      <c r="C1629" t="s">
        <v>16524</v>
      </c>
      <c r="D1629" t="s">
        <v>16525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16526</v>
      </c>
      <c r="B1634" t="s">
        <v>8738</v>
      </c>
      <c r="C1634" t="s">
        <v>16527</v>
      </c>
      <c r="D1634" t="s">
        <v>16528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16529</v>
      </c>
      <c r="D1639" t="s">
        <v>16530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16531</v>
      </c>
      <c r="D1641" t="s">
        <v>16532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16533</v>
      </c>
      <c r="D1643" t="s">
        <v>16534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16535</v>
      </c>
      <c r="D1645" t="s">
        <v>16536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16537</v>
      </c>
      <c r="D1647" t="s">
        <v>16538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16539</v>
      </c>
      <c r="D1652" t="s">
        <v>16540</v>
      </c>
    </row>
    <row r="1653" spans="1:4">
      <c r="A1653" t="s">
        <v>7282</v>
      </c>
      <c r="B1653" t="s">
        <v>8738</v>
      </c>
      <c r="C1653" t="s">
        <v>16541</v>
      </c>
      <c r="D1653" t="s">
        <v>16542</v>
      </c>
    </row>
    <row r="1654" spans="1:4">
      <c r="A1654" t="s">
        <v>7282</v>
      </c>
      <c r="B1654" t="s">
        <v>8738</v>
      </c>
      <c r="C1654" t="s">
        <v>16543</v>
      </c>
      <c r="D1654" t="s">
        <v>16544</v>
      </c>
    </row>
    <row r="1655" spans="1:4">
      <c r="A1655" t="s">
        <v>7282</v>
      </c>
      <c r="B1655" t="s">
        <v>8738</v>
      </c>
      <c r="C1655" t="s">
        <v>16545</v>
      </c>
      <c r="D1655" t="s">
        <v>16546</v>
      </c>
    </row>
    <row r="1656" spans="1:4">
      <c r="A1656" t="s">
        <v>15773</v>
      </c>
      <c r="B1656" t="s">
        <v>8738</v>
      </c>
      <c r="C1656" t="s">
        <v>15774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16547</v>
      </c>
      <c r="D1658" t="s">
        <v>16548</v>
      </c>
    </row>
    <row r="1659" spans="1:4">
      <c r="A1659" t="s">
        <v>9137</v>
      </c>
      <c r="B1659" t="s">
        <v>8738</v>
      </c>
      <c r="C1659" t="s">
        <v>16549</v>
      </c>
      <c r="D1659" t="s">
        <v>16550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16551</v>
      </c>
      <c r="D1661" t="s">
        <v>16552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16553</v>
      </c>
      <c r="D1663" t="s">
        <v>16554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16555</v>
      </c>
      <c r="D1665" t="s">
        <v>16556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16557</v>
      </c>
      <c r="D1667" t="s">
        <v>16558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16559</v>
      </c>
      <c r="D1669" t="s">
        <v>16560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16561</v>
      </c>
      <c r="D1671" t="s">
        <v>16562</v>
      </c>
    </row>
    <row r="1672" spans="1:4">
      <c r="A1672" t="s">
        <v>9149</v>
      </c>
      <c r="B1672" t="s">
        <v>8738</v>
      </c>
      <c r="C1672" t="s">
        <v>16563</v>
      </c>
      <c r="D1672" t="s">
        <v>16564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16565</v>
      </c>
      <c r="B1674" t="s">
        <v>8738</v>
      </c>
      <c r="C1674" t="s">
        <v>16566</v>
      </c>
      <c r="D1674" t="s">
        <v>16567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16568</v>
      </c>
      <c r="B1676" t="s">
        <v>8738</v>
      </c>
      <c r="C1676" t="s">
        <v>16569</v>
      </c>
      <c r="D1676" t="s">
        <v>16570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16571</v>
      </c>
      <c r="D1678" t="s">
        <v>16572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16573</v>
      </c>
      <c r="D1680" t="s">
        <v>16574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16575</v>
      </c>
      <c r="B1682" t="s">
        <v>8738</v>
      </c>
      <c r="C1682" t="s">
        <v>16576</v>
      </c>
      <c r="D1682" t="s">
        <v>16577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16578</v>
      </c>
      <c r="D1686" t="s">
        <v>16579</v>
      </c>
    </row>
    <row r="1687" spans="1:4">
      <c r="A1687" t="s">
        <v>9165</v>
      </c>
      <c r="B1687" t="s">
        <v>8738</v>
      </c>
      <c r="C1687" t="s">
        <v>16580</v>
      </c>
      <c r="D1687" t="s">
        <v>16581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16582</v>
      </c>
      <c r="B1694" t="s">
        <v>8738</v>
      </c>
      <c r="C1694" t="s">
        <v>16583</v>
      </c>
      <c r="D1694" t="s">
        <v>16584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16585</v>
      </c>
      <c r="B1698" t="s">
        <v>8738</v>
      </c>
      <c r="C1698" t="s">
        <v>16586</v>
      </c>
      <c r="D1698" t="s">
        <v>16587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16588</v>
      </c>
      <c r="D1700" t="s">
        <v>16589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16590</v>
      </c>
      <c r="D1703" t="s">
        <v>16591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16592</v>
      </c>
      <c r="D1707" t="s">
        <v>16593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16594</v>
      </c>
      <c r="B1712" t="s">
        <v>8738</v>
      </c>
      <c r="C1712" t="s">
        <v>16595</v>
      </c>
      <c r="D1712" t="s">
        <v>16596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15775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16597</v>
      </c>
      <c r="D1721" t="s">
        <v>16598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16599</v>
      </c>
      <c r="D1723" t="s">
        <v>16600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15776</v>
      </c>
      <c r="B1727" t="s">
        <v>8738</v>
      </c>
      <c r="C1727" t="s">
        <v>15777</v>
      </c>
      <c r="D1727" t="str">
        <f>"0000000434812"</f>
        <v>0000000434812</v>
      </c>
    </row>
    <row r="1728" spans="1:4">
      <c r="A1728" t="s">
        <v>15778</v>
      </c>
      <c r="B1728" t="s">
        <v>8738</v>
      </c>
      <c r="C1728" t="s">
        <v>15779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16601</v>
      </c>
      <c r="D1743" t="s">
        <v>16602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16603</v>
      </c>
      <c r="B1763" t="s">
        <v>8738</v>
      </c>
      <c r="C1763" t="s">
        <v>16604</v>
      </c>
      <c r="D1763" t="s">
        <v>16605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16606</v>
      </c>
      <c r="D1766" t="s">
        <v>16607</v>
      </c>
    </row>
    <row r="1767" spans="1:4">
      <c r="A1767" t="s">
        <v>9328</v>
      </c>
      <c r="B1767" t="s">
        <v>8738</v>
      </c>
      <c r="C1767" t="s">
        <v>16608</v>
      </c>
      <c r="D1767" t="s">
        <v>16609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16610</v>
      </c>
      <c r="D1770" t="s">
        <v>16611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16612</v>
      </c>
      <c r="D1772" t="s">
        <v>16613</v>
      </c>
    </row>
    <row r="1773" spans="1:4">
      <c r="A1773" t="s">
        <v>9336</v>
      </c>
      <c r="B1773" t="s">
        <v>8738</v>
      </c>
      <c r="C1773" t="s">
        <v>16614</v>
      </c>
      <c r="D1773" t="s">
        <v>16615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16616</v>
      </c>
      <c r="D1778" t="s">
        <v>16617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16618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16619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16620</v>
      </c>
      <c r="B1794" t="s">
        <v>9388</v>
      </c>
      <c r="C1794" t="s">
        <v>9393</v>
      </c>
      <c r="D1794" t="s">
        <v>9394</v>
      </c>
    </row>
    <row r="1795" spans="1:4">
      <c r="A1795" t="s">
        <v>16621</v>
      </c>
      <c r="B1795" t="s">
        <v>9388</v>
      </c>
      <c r="C1795" t="s">
        <v>9395</v>
      </c>
      <c r="D1795" t="s">
        <v>9396</v>
      </c>
    </row>
    <row r="1796" spans="1:4">
      <c r="A1796" t="s">
        <v>16622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16623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16624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16625</v>
      </c>
    </row>
    <row r="1809" spans="1:3">
      <c r="A1809" t="s">
        <v>16004</v>
      </c>
      <c r="B1809" t="s">
        <v>5902</v>
      </c>
      <c r="C1809" t="s">
        <v>16005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16006</v>
      </c>
      <c r="B1815" t="s">
        <v>5902</v>
      </c>
      <c r="C1815" t="s">
        <v>16007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16008</v>
      </c>
      <c r="B1825" t="s">
        <v>5902</v>
      </c>
      <c r="C1825" t="s">
        <v>16009</v>
      </c>
    </row>
    <row r="1826" spans="1:3">
      <c r="A1826" t="s">
        <v>16010</v>
      </c>
      <c r="B1826" t="s">
        <v>5902</v>
      </c>
      <c r="C1826" t="s">
        <v>16011</v>
      </c>
    </row>
    <row r="1827" spans="1:3">
      <c r="A1827" t="s">
        <v>16012</v>
      </c>
      <c r="B1827" t="s">
        <v>5902</v>
      </c>
      <c r="C1827" t="s">
        <v>16013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16014</v>
      </c>
      <c r="B1962" t="s">
        <v>5902</v>
      </c>
      <c r="C1962" t="s">
        <v>16015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16016</v>
      </c>
      <c r="B1982" t="s">
        <v>5902</v>
      </c>
      <c r="C1982" t="s">
        <v>16017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16018</v>
      </c>
      <c r="B1985" t="s">
        <v>5902</v>
      </c>
      <c r="C1985" t="s">
        <v>16019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16020</v>
      </c>
      <c r="B1994" t="s">
        <v>5902</v>
      </c>
      <c r="C1994" t="s">
        <v>16021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16022</v>
      </c>
      <c r="B1996" t="s">
        <v>5902</v>
      </c>
      <c r="C1996" t="s">
        <v>16023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16024</v>
      </c>
      <c r="B1998" t="s">
        <v>5902</v>
      </c>
      <c r="C1998" t="s">
        <v>16025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16026</v>
      </c>
      <c r="B2006" t="s">
        <v>5902</v>
      </c>
      <c r="C2006" t="s">
        <v>16027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16028</v>
      </c>
      <c r="B2016" t="s">
        <v>5902</v>
      </c>
      <c r="C2016" t="s">
        <v>16029</v>
      </c>
    </row>
    <row r="2017" spans="1:3">
      <c r="A2017" t="s">
        <v>16030</v>
      </c>
      <c r="B2017" t="s">
        <v>5902</v>
      </c>
      <c r="C2017" t="s">
        <v>16031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16032</v>
      </c>
      <c r="B2019" t="s">
        <v>5902</v>
      </c>
      <c r="C2019" t="s">
        <v>16033</v>
      </c>
    </row>
    <row r="2020" spans="1:3">
      <c r="A2020" t="s">
        <v>16034</v>
      </c>
      <c r="B2020" t="s">
        <v>5902</v>
      </c>
      <c r="C2020" t="s">
        <v>16035</v>
      </c>
    </row>
    <row r="2021" spans="1:3">
      <c r="A2021" t="s">
        <v>16036</v>
      </c>
      <c r="B2021" t="s">
        <v>5902</v>
      </c>
      <c r="C2021" t="s">
        <v>16037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16038</v>
      </c>
      <c r="B2050" t="s">
        <v>5902</v>
      </c>
      <c r="C2050" t="s">
        <v>16039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16040</v>
      </c>
      <c r="B2105" t="s">
        <v>5902</v>
      </c>
      <c r="C2105" t="s">
        <v>16041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16042</v>
      </c>
      <c r="B2115" t="s">
        <v>5902</v>
      </c>
      <c r="C2115" t="s">
        <v>16043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16626</v>
      </c>
      <c r="B2133" t="s">
        <v>5902</v>
      </c>
      <c r="C2133" t="s">
        <v>6727</v>
      </c>
    </row>
    <row r="2134" spans="1:3">
      <c r="A2134" t="s">
        <v>16627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16046</v>
      </c>
      <c r="B2138" t="s">
        <v>5902</v>
      </c>
      <c r="C2138" t="s">
        <v>16047</v>
      </c>
    </row>
    <row r="2139" spans="1:3">
      <c r="A2139" t="s">
        <v>16048</v>
      </c>
      <c r="B2139" t="s">
        <v>5902</v>
      </c>
      <c r="C2139" t="s">
        <v>16049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16050</v>
      </c>
      <c r="B2141" t="s">
        <v>5902</v>
      </c>
      <c r="C2141" t="s">
        <v>16051</v>
      </c>
    </row>
    <row r="2142" spans="1:3">
      <c r="A2142" t="s">
        <v>16052</v>
      </c>
      <c r="B2142" t="s">
        <v>5902</v>
      </c>
      <c r="C2142" t="s">
        <v>16053</v>
      </c>
    </row>
    <row r="2143" spans="1:3">
      <c r="A2143" t="s">
        <v>16054</v>
      </c>
      <c r="B2143" t="s">
        <v>5902</v>
      </c>
      <c r="C2143" t="s">
        <v>16055</v>
      </c>
    </row>
    <row r="2144" spans="1:3">
      <c r="A2144" t="s">
        <v>16056</v>
      </c>
      <c r="B2144" t="s">
        <v>5902</v>
      </c>
      <c r="C2144" t="s">
        <v>16057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16058</v>
      </c>
      <c r="B2156" t="s">
        <v>5902</v>
      </c>
      <c r="C2156" t="s">
        <v>16059</v>
      </c>
    </row>
    <row r="2157" spans="1:3">
      <c r="A2157" t="s">
        <v>16060</v>
      </c>
      <c r="B2157" t="s">
        <v>5902</v>
      </c>
      <c r="C2157" t="s">
        <v>16061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16062</v>
      </c>
      <c r="B2162" t="s">
        <v>5902</v>
      </c>
      <c r="C2162" t="s">
        <v>16063</v>
      </c>
    </row>
    <row r="2163" spans="1:3">
      <c r="A2163" t="s">
        <v>16064</v>
      </c>
      <c r="B2163" t="s">
        <v>5902</v>
      </c>
      <c r="C2163" t="s">
        <v>16065</v>
      </c>
    </row>
    <row r="2164" spans="1:3">
      <c r="A2164" t="s">
        <v>16066</v>
      </c>
      <c r="B2164" t="s">
        <v>5902</v>
      </c>
      <c r="C2164" t="s">
        <v>16067</v>
      </c>
    </row>
    <row r="2165" spans="1:3">
      <c r="A2165" t="s">
        <v>16068</v>
      </c>
      <c r="B2165" t="s">
        <v>5902</v>
      </c>
      <c r="C2165" t="s">
        <v>16069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16070</v>
      </c>
      <c r="B2181" t="s">
        <v>5902</v>
      </c>
      <c r="C2181" t="s">
        <v>16071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16072</v>
      </c>
      <c r="B2186" t="s">
        <v>5902</v>
      </c>
      <c r="C2186" t="s">
        <v>16073</v>
      </c>
    </row>
    <row r="2187" spans="1:3">
      <c r="A2187" t="s">
        <v>16074</v>
      </c>
      <c r="B2187" t="s">
        <v>5902</v>
      </c>
      <c r="C2187" t="s">
        <v>16075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16076</v>
      </c>
      <c r="B2189" t="s">
        <v>5902</v>
      </c>
      <c r="C2189" t="s">
        <v>16077</v>
      </c>
    </row>
    <row r="2190" spans="1:3">
      <c r="A2190" t="s">
        <v>16078</v>
      </c>
      <c r="B2190" t="s">
        <v>5902</v>
      </c>
      <c r="C2190" t="s">
        <v>16079</v>
      </c>
    </row>
    <row r="2191" spans="1:3">
      <c r="A2191" t="s">
        <v>16080</v>
      </c>
      <c r="B2191" t="s">
        <v>5902</v>
      </c>
      <c r="C2191" t="s">
        <v>16081</v>
      </c>
    </row>
    <row r="2192" spans="1:3">
      <c r="A2192" t="s">
        <v>16082</v>
      </c>
      <c r="B2192" t="s">
        <v>5902</v>
      </c>
      <c r="C2192" t="s">
        <v>16083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16628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16085</v>
      </c>
      <c r="B2223" t="s">
        <v>5902</v>
      </c>
      <c r="C2223" t="s">
        <v>16086</v>
      </c>
    </row>
    <row r="2224" spans="1:3">
      <c r="A2224" t="s">
        <v>16087</v>
      </c>
      <c r="B2224" t="s">
        <v>5902</v>
      </c>
      <c r="C2224" t="s">
        <v>16088</v>
      </c>
    </row>
    <row r="2225" spans="1:3">
      <c r="A2225" t="s">
        <v>16089</v>
      </c>
      <c r="B2225" t="s">
        <v>5902</v>
      </c>
      <c r="C2225" t="s">
        <v>16090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16091</v>
      </c>
      <c r="B2230" t="s">
        <v>5902</v>
      </c>
      <c r="C2230" t="s">
        <v>16092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16093</v>
      </c>
      <c r="B2235" t="s">
        <v>5902</v>
      </c>
      <c r="C2235" t="s">
        <v>16094</v>
      </c>
    </row>
    <row r="2236" spans="1:3">
      <c r="A2236" t="s">
        <v>16095</v>
      </c>
      <c r="B2236" t="s">
        <v>5902</v>
      </c>
      <c r="C2236" t="s">
        <v>16096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16097</v>
      </c>
      <c r="B2238" t="s">
        <v>5902</v>
      </c>
      <c r="C2238" t="s">
        <v>16098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16099</v>
      </c>
      <c r="B2244" t="s">
        <v>5902</v>
      </c>
      <c r="C2244" t="s">
        <v>16100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16629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16102</v>
      </c>
      <c r="B2252" t="s">
        <v>5902</v>
      </c>
      <c r="C2252" t="s">
        <v>16103</v>
      </c>
    </row>
    <row r="2253" spans="1:3">
      <c r="A2253" t="s">
        <v>16104</v>
      </c>
      <c r="B2253" t="s">
        <v>5902</v>
      </c>
      <c r="C2253" t="s">
        <v>16105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16106</v>
      </c>
      <c r="B2271" t="s">
        <v>5902</v>
      </c>
      <c r="C2271" t="s">
        <v>16107</v>
      </c>
    </row>
    <row r="2272" spans="1:3">
      <c r="A2272" t="s">
        <v>16108</v>
      </c>
      <c r="B2272" t="s">
        <v>5902</v>
      </c>
      <c r="C2272" t="s">
        <v>16109</v>
      </c>
    </row>
    <row r="2273" spans="1:3">
      <c r="A2273" t="s">
        <v>16110</v>
      </c>
      <c r="B2273" t="s">
        <v>5902</v>
      </c>
      <c r="C2273" t="s">
        <v>16111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16112</v>
      </c>
      <c r="B2280" t="s">
        <v>5902</v>
      </c>
      <c r="C2280" t="s">
        <v>16113</v>
      </c>
    </row>
    <row r="2281" spans="1:3">
      <c r="A2281" t="s">
        <v>16114</v>
      </c>
      <c r="B2281" t="s">
        <v>5902</v>
      </c>
      <c r="C2281" t="s">
        <v>16115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16116</v>
      </c>
      <c r="B2287" t="s">
        <v>5902</v>
      </c>
      <c r="C2287" t="s">
        <v>16117</v>
      </c>
    </row>
    <row r="2288" spans="1:3">
      <c r="A2288" t="s">
        <v>16118</v>
      </c>
      <c r="B2288" t="s">
        <v>5902</v>
      </c>
      <c r="C2288" t="s">
        <v>16119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16630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16631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16122</v>
      </c>
      <c r="B2309" t="s">
        <v>5902</v>
      </c>
      <c r="C2309" t="s">
        <v>16123</v>
      </c>
    </row>
    <row r="2310" spans="1:3">
      <c r="A2310" t="s">
        <v>16124</v>
      </c>
      <c r="B2310" t="s">
        <v>5902</v>
      </c>
      <c r="C2310" t="s">
        <v>16125</v>
      </c>
    </row>
    <row r="2311" spans="1:3">
      <c r="A2311" t="s">
        <v>16126</v>
      </c>
      <c r="B2311" t="s">
        <v>5902</v>
      </c>
      <c r="C2311" t="s">
        <v>16127</v>
      </c>
    </row>
    <row r="2312" spans="1:3">
      <c r="A2312" t="s">
        <v>16128</v>
      </c>
      <c r="B2312" t="s">
        <v>5902</v>
      </c>
      <c r="C2312" t="s">
        <v>16129</v>
      </c>
    </row>
    <row r="2313" spans="1:3">
      <c r="A2313" t="s">
        <v>16130</v>
      </c>
      <c r="B2313" t="s">
        <v>5902</v>
      </c>
      <c r="C2313" t="s">
        <v>16131</v>
      </c>
    </row>
    <row r="2314" spans="1:3">
      <c r="A2314" t="s">
        <v>16132</v>
      </c>
      <c r="B2314" t="s">
        <v>5902</v>
      </c>
      <c r="C2314" t="s">
        <v>16133</v>
      </c>
    </row>
    <row r="2315" spans="1:3">
      <c r="A2315" t="s">
        <v>16134</v>
      </c>
      <c r="B2315" t="s">
        <v>5902</v>
      </c>
      <c r="C2315" t="s">
        <v>16135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16632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16137</v>
      </c>
      <c r="B2327" t="s">
        <v>5902</v>
      </c>
      <c r="C2327" t="s">
        <v>16138</v>
      </c>
    </row>
    <row r="2328" spans="1:3">
      <c r="A2328" t="s">
        <v>16139</v>
      </c>
      <c r="B2328" t="s">
        <v>5902</v>
      </c>
      <c r="C2328" t="s">
        <v>16140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16141</v>
      </c>
      <c r="B2331" t="s">
        <v>5902</v>
      </c>
      <c r="C2331" t="s">
        <v>16142</v>
      </c>
    </row>
    <row r="2332" spans="1:3">
      <c r="A2332" t="s">
        <v>16143</v>
      </c>
      <c r="B2332" t="s">
        <v>5902</v>
      </c>
      <c r="C2332" t="s">
        <v>16144</v>
      </c>
    </row>
    <row r="2333" spans="1:3">
      <c r="A2333" t="s">
        <v>16145</v>
      </c>
      <c r="B2333" t="s">
        <v>5902</v>
      </c>
      <c r="C2333" t="s">
        <v>16146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16147</v>
      </c>
      <c r="B2335" t="s">
        <v>5902</v>
      </c>
      <c r="C2335" t="s">
        <v>16148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16149</v>
      </c>
      <c r="B2338" t="s">
        <v>5902</v>
      </c>
      <c r="C2338" t="s">
        <v>16150</v>
      </c>
    </row>
    <row r="2339" spans="1:3">
      <c r="A2339" t="s">
        <v>16151</v>
      </c>
      <c r="B2339" t="s">
        <v>5902</v>
      </c>
      <c r="C2339" t="s">
        <v>16152</v>
      </c>
    </row>
    <row r="2340" spans="1:3">
      <c r="A2340" t="s">
        <v>16153</v>
      </c>
      <c r="B2340" t="s">
        <v>5902</v>
      </c>
      <c r="C2340" t="s">
        <v>16154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16155</v>
      </c>
      <c r="B2344" t="s">
        <v>5902</v>
      </c>
      <c r="C2344" t="s">
        <v>16156</v>
      </c>
    </row>
    <row r="2345" spans="1:3">
      <c r="A2345" t="s">
        <v>16157</v>
      </c>
      <c r="B2345" t="s">
        <v>5902</v>
      </c>
      <c r="C2345" t="s">
        <v>16158</v>
      </c>
    </row>
    <row r="2346" spans="1:3">
      <c r="A2346" t="s">
        <v>16159</v>
      </c>
      <c r="B2346" t="s">
        <v>5902</v>
      </c>
      <c r="C2346" t="s">
        <v>16160</v>
      </c>
    </row>
    <row r="2347" spans="1:3">
      <c r="A2347" t="s">
        <v>16161</v>
      </c>
      <c r="B2347" t="s">
        <v>5902</v>
      </c>
      <c r="C2347" t="s">
        <v>16162</v>
      </c>
    </row>
    <row r="2348" spans="1:3">
      <c r="A2348" t="s">
        <v>16163</v>
      </c>
      <c r="B2348" t="s">
        <v>5902</v>
      </c>
      <c r="C2348" t="s">
        <v>16164</v>
      </c>
    </row>
    <row r="2349" spans="1:3">
      <c r="A2349" t="s">
        <v>16165</v>
      </c>
      <c r="B2349" t="s">
        <v>5902</v>
      </c>
      <c r="C2349" t="s">
        <v>16166</v>
      </c>
    </row>
    <row r="2350" spans="1:3">
      <c r="A2350" t="s">
        <v>16167</v>
      </c>
      <c r="B2350" t="s">
        <v>5902</v>
      </c>
      <c r="C2350" t="s">
        <v>16168</v>
      </c>
    </row>
    <row r="2351" spans="1:3">
      <c r="A2351" t="s">
        <v>16169</v>
      </c>
      <c r="B2351" t="s">
        <v>5902</v>
      </c>
      <c r="C2351" t="s">
        <v>16170</v>
      </c>
    </row>
    <row r="2352" spans="1:3">
      <c r="A2352" t="s">
        <v>16171</v>
      </c>
      <c r="B2352" t="s">
        <v>5902</v>
      </c>
      <c r="C2352" t="s">
        <v>16172</v>
      </c>
    </row>
    <row r="2353" spans="1:3">
      <c r="A2353" t="s">
        <v>16633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16174</v>
      </c>
      <c r="B2360" t="s">
        <v>5902</v>
      </c>
      <c r="C2360" t="s">
        <v>16175</v>
      </c>
    </row>
    <row r="2361" spans="1:3">
      <c r="A2361" t="s">
        <v>16176</v>
      </c>
      <c r="B2361" t="s">
        <v>5902</v>
      </c>
      <c r="C2361" t="s">
        <v>16177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16178</v>
      </c>
      <c r="B2371" t="s">
        <v>5902</v>
      </c>
      <c r="C2371" t="s">
        <v>16179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16180</v>
      </c>
      <c r="B2379" t="s">
        <v>5902</v>
      </c>
      <c r="C2379" t="s">
        <v>16181</v>
      </c>
    </row>
    <row r="2380" spans="1:3">
      <c r="A2380" t="s">
        <v>16182</v>
      </c>
      <c r="B2380" t="s">
        <v>5902</v>
      </c>
      <c r="C2380" t="s">
        <v>16183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16184</v>
      </c>
      <c r="B2412" t="s">
        <v>5902</v>
      </c>
      <c r="C2412" t="s">
        <v>16185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16186</v>
      </c>
      <c r="B2414" t="s">
        <v>5902</v>
      </c>
      <c r="C2414" t="s">
        <v>16187</v>
      </c>
    </row>
    <row r="2415" spans="1:3">
      <c r="A2415" t="s">
        <v>16188</v>
      </c>
      <c r="B2415" t="s">
        <v>5902</v>
      </c>
      <c r="C2415" t="s">
        <v>16189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16190</v>
      </c>
      <c r="B2418" t="s">
        <v>5902</v>
      </c>
      <c r="C2418" t="s">
        <v>16191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16192</v>
      </c>
      <c r="B2436" t="s">
        <v>5902</v>
      </c>
      <c r="C2436" t="s">
        <v>16193</v>
      </c>
    </row>
    <row r="2437" spans="1:3">
      <c r="A2437" t="s">
        <v>16194</v>
      </c>
      <c r="B2437" t="s">
        <v>5902</v>
      </c>
      <c r="C2437" t="s">
        <v>16195</v>
      </c>
    </row>
    <row r="2438" spans="1:3">
      <c r="A2438" t="s">
        <v>16196</v>
      </c>
      <c r="B2438" t="s">
        <v>5902</v>
      </c>
      <c r="C2438" t="s">
        <v>16197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16198</v>
      </c>
      <c r="B2440" t="s">
        <v>5902</v>
      </c>
      <c r="C2440" t="s">
        <v>16199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16200</v>
      </c>
      <c r="B2445" t="s">
        <v>5902</v>
      </c>
      <c r="C2445" t="s">
        <v>16201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16202</v>
      </c>
      <c r="B2450" t="s">
        <v>5902</v>
      </c>
      <c r="C2450" t="s">
        <v>16203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16204</v>
      </c>
      <c r="B2490" t="s">
        <v>5902</v>
      </c>
      <c r="C2490" t="s">
        <v>16205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16206</v>
      </c>
      <c r="B2492" t="s">
        <v>5902</v>
      </c>
      <c r="C2492" t="s">
        <v>16207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16208</v>
      </c>
      <c r="B2494" t="s">
        <v>5902</v>
      </c>
      <c r="C2494" t="s">
        <v>16209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16210</v>
      </c>
      <c r="B2498" t="s">
        <v>5902</v>
      </c>
      <c r="C2498" t="s">
        <v>16211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16212</v>
      </c>
      <c r="B2514" t="s">
        <v>5902</v>
      </c>
      <c r="C2514" t="s">
        <v>16213</v>
      </c>
    </row>
    <row r="2515" spans="1:3">
      <c r="A2515" t="s">
        <v>16214</v>
      </c>
      <c r="B2515" t="s">
        <v>5902</v>
      </c>
      <c r="C2515" t="s">
        <v>16215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16216</v>
      </c>
      <c r="B2529" t="s">
        <v>5902</v>
      </c>
      <c r="C2529" t="s">
        <v>16217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16218</v>
      </c>
      <c r="B2536" t="s">
        <v>5902</v>
      </c>
      <c r="C2536" t="s">
        <v>16219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16220</v>
      </c>
      <c r="B2538" t="s">
        <v>5902</v>
      </c>
      <c r="C2538" t="s">
        <v>16221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16222</v>
      </c>
      <c r="B2544" t="s">
        <v>5902</v>
      </c>
      <c r="C2544" t="s">
        <v>16223</v>
      </c>
    </row>
    <row r="2545" spans="1:3">
      <c r="A2545" t="s">
        <v>16224</v>
      </c>
      <c r="B2545" t="s">
        <v>5902</v>
      </c>
      <c r="C2545" t="s">
        <v>16225</v>
      </c>
    </row>
    <row r="2546" spans="1:3">
      <c r="A2546" t="s">
        <v>16226</v>
      </c>
      <c r="B2546" t="s">
        <v>5902</v>
      </c>
      <c r="C2546" t="s">
        <v>16227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16228</v>
      </c>
      <c r="B2566" t="s">
        <v>5902</v>
      </c>
      <c r="C2566" t="s">
        <v>16229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16230</v>
      </c>
      <c r="B2586" t="s">
        <v>5902</v>
      </c>
      <c r="C2586" t="s">
        <v>16231</v>
      </c>
    </row>
    <row r="2587" spans="1:3">
      <c r="A2587" t="s">
        <v>16634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16233</v>
      </c>
      <c r="B2598" t="s">
        <v>5902</v>
      </c>
      <c r="C2598" t="s">
        <v>16234</v>
      </c>
    </row>
    <row r="2599" spans="1:3">
      <c r="A2599" t="s">
        <v>16235</v>
      </c>
      <c r="B2599" t="s">
        <v>5902</v>
      </c>
      <c r="C2599" t="s">
        <v>16236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16237</v>
      </c>
      <c r="B2614" t="s">
        <v>5902</v>
      </c>
      <c r="C2614" t="s">
        <v>16238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16239</v>
      </c>
      <c r="B2617" t="s">
        <v>5902</v>
      </c>
      <c r="C2617" t="s">
        <v>16240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16635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16242</v>
      </c>
      <c r="B2636" t="s">
        <v>5902</v>
      </c>
      <c r="C2636" t="s">
        <v>16243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16244</v>
      </c>
      <c r="B2687" t="s">
        <v>5902</v>
      </c>
      <c r="C2687" t="s">
        <v>16245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16636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16247</v>
      </c>
      <c r="B2714" t="s">
        <v>5902</v>
      </c>
      <c r="C2714" t="s">
        <v>16248</v>
      </c>
    </row>
    <row r="2715" spans="1:3">
      <c r="A2715" t="s">
        <v>16249</v>
      </c>
      <c r="B2715" t="s">
        <v>5902</v>
      </c>
      <c r="C2715" t="s">
        <v>16250</v>
      </c>
    </row>
    <row r="2716" spans="1:3">
      <c r="A2716" t="s">
        <v>16252</v>
      </c>
      <c r="B2716" t="s">
        <v>5902</v>
      </c>
      <c r="C2716" t="s">
        <v>16253</v>
      </c>
    </row>
    <row r="2717" spans="1:3">
      <c r="A2717" t="s">
        <v>16255</v>
      </c>
      <c r="B2717" t="s">
        <v>5902</v>
      </c>
      <c r="C2717" t="s">
        <v>16256</v>
      </c>
    </row>
    <row r="2718" spans="1:3">
      <c r="A2718" t="s">
        <v>16257</v>
      </c>
      <c r="B2718" t="s">
        <v>5902</v>
      </c>
      <c r="C2718" t="s">
        <v>16258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16259</v>
      </c>
      <c r="B2720" t="s">
        <v>5902</v>
      </c>
      <c r="C2720" t="s">
        <v>16260</v>
      </c>
    </row>
    <row r="2721" spans="1:3">
      <c r="A2721" t="s">
        <v>16261</v>
      </c>
      <c r="B2721" t="s">
        <v>5902</v>
      </c>
      <c r="C2721" t="s">
        <v>16262</v>
      </c>
    </row>
    <row r="2722" spans="1:3">
      <c r="A2722" t="s">
        <v>16263</v>
      </c>
      <c r="B2722" t="s">
        <v>5902</v>
      </c>
      <c r="C2722" t="s">
        <v>16264</v>
      </c>
    </row>
    <row r="2723" spans="1:3">
      <c r="A2723" t="s">
        <v>16265</v>
      </c>
      <c r="B2723" t="s">
        <v>5902</v>
      </c>
      <c r="C2723" t="s">
        <v>16266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16637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16638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16269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15761</v>
      </c>
      <c r="B3185" t="s">
        <v>8738</v>
      </c>
      <c r="C3185" t="s">
        <v>15762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16639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16640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16641</v>
      </c>
      <c r="B3271" t="s">
        <v>8738</v>
      </c>
      <c r="C3271" t="s">
        <v>9022</v>
      </c>
    </row>
    <row r="3272" spans="1:3">
      <c r="A3272" t="s">
        <v>16642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16643</v>
      </c>
      <c r="B3274" t="s">
        <v>8738</v>
      </c>
      <c r="C3274" t="s">
        <v>9026</v>
      </c>
    </row>
    <row r="3275" spans="1:3">
      <c r="A3275" t="s">
        <v>16644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15769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16645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15771</v>
      </c>
      <c r="B3309" t="s">
        <v>8738</v>
      </c>
      <c r="C3309" t="s">
        <v>15772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15773</v>
      </c>
      <c r="B3334" t="s">
        <v>8738</v>
      </c>
      <c r="C3334" t="s">
        <v>15774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15775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15776</v>
      </c>
      <c r="B3381" t="s">
        <v>8738</v>
      </c>
      <c r="C3381" t="s">
        <v>15777</v>
      </c>
    </row>
    <row r="3382" spans="1:3">
      <c r="A3382" t="s">
        <v>15778</v>
      </c>
      <c r="B3382" t="s">
        <v>8738</v>
      </c>
      <c r="C3382" t="s">
        <v>15779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16646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16647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16648</v>
      </c>
      <c r="B3440" t="s">
        <v>9388</v>
      </c>
      <c r="C3440" t="s">
        <v>9393</v>
      </c>
    </row>
    <row r="3441" spans="1:3">
      <c r="A3441" t="s">
        <v>16649</v>
      </c>
      <c r="B3441" t="s">
        <v>9388</v>
      </c>
      <c r="C3441" t="s">
        <v>9395</v>
      </c>
    </row>
    <row r="3442" spans="1:3">
      <c r="A3442" t="s">
        <v>16650</v>
      </c>
      <c r="B3442" t="s">
        <v>9388</v>
      </c>
      <c r="C3442" t="s">
        <v>9397</v>
      </c>
    </row>
    <row r="3443" spans="1:3">
      <c r="A3443" t="s">
        <v>16651</v>
      </c>
      <c r="B3443" t="s">
        <v>9388</v>
      </c>
      <c r="C3443" t="s">
        <v>9398</v>
      </c>
    </row>
    <row r="3444" spans="1:3">
      <c r="A3444" t="s">
        <v>16652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16270</v>
      </c>
    </row>
    <row r="3464" spans="1:3">
      <c r="A3464" t="s">
        <v>8759</v>
      </c>
      <c r="B3464" t="s">
        <v>8738</v>
      </c>
      <c r="C3464" t="s">
        <v>16272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16274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16276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16278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16280</v>
      </c>
      <c r="B3476" t="s">
        <v>8738</v>
      </c>
      <c r="C3476" t="s">
        <v>16281</v>
      </c>
    </row>
    <row r="3477" spans="1:3">
      <c r="A3477" t="s">
        <v>16280</v>
      </c>
      <c r="B3477" t="s">
        <v>8738</v>
      </c>
      <c r="C3477" t="s">
        <v>16283</v>
      </c>
    </row>
    <row r="3478" spans="1:3">
      <c r="A3478" t="s">
        <v>16280</v>
      </c>
      <c r="B3478" t="s">
        <v>8738</v>
      </c>
      <c r="C3478" t="s">
        <v>16285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16287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16289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16291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16293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16295</v>
      </c>
      <c r="B3493" t="s">
        <v>8738</v>
      </c>
      <c r="C3493" t="s">
        <v>16296</v>
      </c>
    </row>
    <row r="3494" spans="1:3">
      <c r="A3494" t="s">
        <v>16295</v>
      </c>
      <c r="B3494" t="s">
        <v>8738</v>
      </c>
      <c r="C3494" t="s">
        <v>16298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16300</v>
      </c>
    </row>
    <row r="3497" spans="1:3">
      <c r="A3497" t="s">
        <v>8808</v>
      </c>
      <c r="B3497" t="s">
        <v>8738</v>
      </c>
      <c r="C3497" t="s">
        <v>16302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16304</v>
      </c>
    </row>
    <row r="3500" spans="1:3">
      <c r="A3500" t="s">
        <v>8810</v>
      </c>
      <c r="B3500" t="s">
        <v>8738</v>
      </c>
      <c r="C3500" t="s">
        <v>16306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16308</v>
      </c>
    </row>
    <row r="3503" spans="1:3">
      <c r="A3503" t="s">
        <v>8813</v>
      </c>
      <c r="B3503" t="s">
        <v>8738</v>
      </c>
      <c r="C3503" t="s">
        <v>16310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15761</v>
      </c>
      <c r="B3506" t="s">
        <v>8738</v>
      </c>
      <c r="C3506" t="s">
        <v>15762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16312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16314</v>
      </c>
      <c r="B3510" t="s">
        <v>8738</v>
      </c>
      <c r="C3510" t="s">
        <v>16315</v>
      </c>
    </row>
    <row r="3511" spans="1:3">
      <c r="A3511" t="s">
        <v>16314</v>
      </c>
      <c r="B3511" t="s">
        <v>8738</v>
      </c>
      <c r="C3511" t="s">
        <v>16317</v>
      </c>
    </row>
    <row r="3512" spans="1:3">
      <c r="A3512" t="s">
        <v>16314</v>
      </c>
      <c r="B3512" t="s">
        <v>8738</v>
      </c>
      <c r="C3512" t="s">
        <v>16319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16321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16323</v>
      </c>
    </row>
    <row r="3517" spans="1:3">
      <c r="A3517" t="s">
        <v>16639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16326</v>
      </c>
    </row>
    <row r="3520" spans="1:3">
      <c r="A3520" t="s">
        <v>8835</v>
      </c>
      <c r="B3520" t="s">
        <v>8738</v>
      </c>
      <c r="C3520" t="s">
        <v>16328</v>
      </c>
    </row>
    <row r="3521" spans="1:3">
      <c r="A3521" t="s">
        <v>8835</v>
      </c>
      <c r="B3521" t="s">
        <v>8738</v>
      </c>
      <c r="C3521" t="s">
        <v>16330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16332</v>
      </c>
    </row>
    <row r="3524" spans="1:3">
      <c r="A3524" t="s">
        <v>8838</v>
      </c>
      <c r="B3524" t="s">
        <v>8738</v>
      </c>
      <c r="C3524" t="s">
        <v>16334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16336</v>
      </c>
    </row>
    <row r="3527" spans="1:3">
      <c r="A3527" t="s">
        <v>8841</v>
      </c>
      <c r="B3527" t="s">
        <v>8738</v>
      </c>
      <c r="C3527" t="s">
        <v>16338</v>
      </c>
    </row>
    <row r="3528" spans="1:3">
      <c r="A3528" t="s">
        <v>8841</v>
      </c>
      <c r="B3528" t="s">
        <v>8738</v>
      </c>
      <c r="C3528" t="s">
        <v>16340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16342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16344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16346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16348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16350</v>
      </c>
      <c r="B3538" t="s">
        <v>8738</v>
      </c>
      <c r="C3538" t="s">
        <v>16351</v>
      </c>
    </row>
    <row r="3539" spans="1:3">
      <c r="A3539" t="s">
        <v>16350</v>
      </c>
      <c r="B3539" t="s">
        <v>8738</v>
      </c>
      <c r="C3539" t="s">
        <v>16353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16355</v>
      </c>
    </row>
    <row r="3543" spans="1:3">
      <c r="A3543" t="s">
        <v>8860</v>
      </c>
      <c r="B3543" t="s">
        <v>8738</v>
      </c>
      <c r="C3543" t="s">
        <v>16357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16359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16361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16363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16365</v>
      </c>
      <c r="B3553" t="s">
        <v>8738</v>
      </c>
      <c r="C3553" t="s">
        <v>16366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16368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16370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16372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16374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16376</v>
      </c>
    </row>
    <row r="3574" spans="1:3">
      <c r="A3574" t="s">
        <v>8916</v>
      </c>
      <c r="B3574" t="s">
        <v>8738</v>
      </c>
      <c r="C3574" t="s">
        <v>16378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16380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16382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16384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16386</v>
      </c>
    </row>
    <row r="3594" spans="1:3">
      <c r="A3594" t="s">
        <v>8953</v>
      </c>
      <c r="B3594" t="s">
        <v>8738</v>
      </c>
      <c r="C3594" t="s">
        <v>16388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16390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16392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16394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16396</v>
      </c>
    </row>
    <row r="3605" spans="1:3">
      <c r="A3605" t="s">
        <v>16398</v>
      </c>
      <c r="B3605" t="s">
        <v>8738</v>
      </c>
      <c r="C3605" t="s">
        <v>16399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16401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16403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16405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16407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16409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16640</v>
      </c>
      <c r="B3621" t="s">
        <v>8738</v>
      </c>
      <c r="C3621" t="s">
        <v>8988</v>
      </c>
    </row>
    <row r="3622" spans="1:3">
      <c r="A3622" t="s">
        <v>16640</v>
      </c>
      <c r="B3622" t="s">
        <v>8738</v>
      </c>
      <c r="C3622" t="s">
        <v>16412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16414</v>
      </c>
    </row>
    <row r="3629" spans="1:3">
      <c r="A3629" t="s">
        <v>8996</v>
      </c>
      <c r="B3629" t="s">
        <v>8738</v>
      </c>
      <c r="C3629" t="s">
        <v>16416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16418</v>
      </c>
    </row>
    <row r="3632" spans="1:3">
      <c r="A3632" t="s">
        <v>8998</v>
      </c>
      <c r="B3632" t="s">
        <v>8738</v>
      </c>
      <c r="C3632" t="s">
        <v>16420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16422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16424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16426</v>
      </c>
    </row>
    <row r="3640" spans="1:3">
      <c r="A3640" t="s">
        <v>9006</v>
      </c>
      <c r="B3640" t="s">
        <v>8738</v>
      </c>
      <c r="C3640" t="s">
        <v>16428</v>
      </c>
    </row>
    <row r="3641" spans="1:3">
      <c r="A3641" t="s">
        <v>9006</v>
      </c>
      <c r="B3641" t="s">
        <v>8738</v>
      </c>
      <c r="C3641" t="s">
        <v>16430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16432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16434</v>
      </c>
    </row>
    <row r="3646" spans="1:3">
      <c r="A3646" t="s">
        <v>9010</v>
      </c>
      <c r="B3646" t="s">
        <v>8738</v>
      </c>
      <c r="C3646" t="s">
        <v>16436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16438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16440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16442</v>
      </c>
    </row>
    <row r="3654" spans="1:3">
      <c r="A3654" t="s">
        <v>9018</v>
      </c>
      <c r="B3654" t="s">
        <v>8738</v>
      </c>
      <c r="C3654" t="s">
        <v>16444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16446</v>
      </c>
    </row>
    <row r="3657" spans="1:3">
      <c r="A3657" t="s">
        <v>16641</v>
      </c>
      <c r="B3657" t="s">
        <v>8738</v>
      </c>
      <c r="C3657" t="s">
        <v>9022</v>
      </c>
    </row>
    <row r="3658" spans="1:3">
      <c r="A3658" t="s">
        <v>16641</v>
      </c>
      <c r="B3658" t="s">
        <v>8738</v>
      </c>
      <c r="C3658" t="s">
        <v>16449</v>
      </c>
    </row>
    <row r="3659" spans="1:3">
      <c r="A3659" t="s">
        <v>16642</v>
      </c>
      <c r="B3659" t="s">
        <v>8738</v>
      </c>
      <c r="C3659" t="s">
        <v>9023</v>
      </c>
    </row>
    <row r="3660" spans="1:3">
      <c r="A3660" t="s">
        <v>16641</v>
      </c>
      <c r="B3660" t="s">
        <v>8738</v>
      </c>
      <c r="C3660" t="s">
        <v>16452</v>
      </c>
    </row>
    <row r="3661" spans="1:3">
      <c r="A3661" t="s">
        <v>16641</v>
      </c>
      <c r="B3661" t="s">
        <v>8738</v>
      </c>
      <c r="C3661" t="s">
        <v>16454</v>
      </c>
    </row>
    <row r="3662" spans="1:3">
      <c r="A3662" t="s">
        <v>16641</v>
      </c>
      <c r="B3662" t="s">
        <v>8738</v>
      </c>
      <c r="C3662" t="s">
        <v>16456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16458</v>
      </c>
    </row>
    <row r="3665" spans="1:3">
      <c r="A3665" t="s">
        <v>9024</v>
      </c>
      <c r="B3665" t="s">
        <v>8738</v>
      </c>
      <c r="C3665" t="s">
        <v>16460</v>
      </c>
    </row>
    <row r="3666" spans="1:3">
      <c r="A3666" t="s">
        <v>9024</v>
      </c>
      <c r="B3666" t="s">
        <v>8738</v>
      </c>
      <c r="C3666" t="s">
        <v>16462</v>
      </c>
    </row>
    <row r="3667" spans="1:3">
      <c r="A3667" t="s">
        <v>16643</v>
      </c>
      <c r="B3667" t="s">
        <v>8738</v>
      </c>
      <c r="C3667" t="s">
        <v>9026</v>
      </c>
    </row>
    <row r="3668" spans="1:3">
      <c r="A3668" t="s">
        <v>16643</v>
      </c>
      <c r="B3668" t="s">
        <v>8738</v>
      </c>
      <c r="C3668" t="s">
        <v>16465</v>
      </c>
    </row>
    <row r="3669" spans="1:3">
      <c r="A3669" t="s">
        <v>16643</v>
      </c>
      <c r="B3669" t="s">
        <v>8738</v>
      </c>
      <c r="C3669" t="s">
        <v>16467</v>
      </c>
    </row>
    <row r="3670" spans="1:3">
      <c r="A3670" t="s">
        <v>16644</v>
      </c>
      <c r="B3670" t="s">
        <v>8738</v>
      </c>
      <c r="C3670" t="s">
        <v>9027</v>
      </c>
    </row>
    <row r="3671" spans="1:3">
      <c r="A3671" t="s">
        <v>16644</v>
      </c>
      <c r="B3671" t="s">
        <v>8738</v>
      </c>
      <c r="C3671" t="s">
        <v>16470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16472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16474</v>
      </c>
      <c r="B3679" t="s">
        <v>8738</v>
      </c>
      <c r="C3679" t="s">
        <v>16475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15769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16477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16479</v>
      </c>
      <c r="B3687" t="s">
        <v>8738</v>
      </c>
      <c r="C3687" t="s">
        <v>16480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16482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16484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16486</v>
      </c>
    </row>
    <row r="3697" spans="1:3">
      <c r="A3697" t="s">
        <v>9059</v>
      </c>
      <c r="B3697" t="s">
        <v>8738</v>
      </c>
      <c r="C3697" t="s">
        <v>16488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16490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16492</v>
      </c>
    </row>
    <row r="3703" spans="1:3">
      <c r="A3703" t="s">
        <v>16645</v>
      </c>
      <c r="B3703" t="s">
        <v>8738</v>
      </c>
      <c r="C3703" t="s">
        <v>9067</v>
      </c>
    </row>
    <row r="3704" spans="1:3">
      <c r="A3704" t="s">
        <v>16653</v>
      </c>
      <c r="B3704" t="s">
        <v>8738</v>
      </c>
      <c r="C3704" t="s">
        <v>16496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16498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16500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16502</v>
      </c>
    </row>
    <row r="3713" spans="1:3">
      <c r="A3713" t="s">
        <v>9076</v>
      </c>
      <c r="B3713" t="s">
        <v>8738</v>
      </c>
      <c r="C3713" t="s">
        <v>16504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16506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16508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16510</v>
      </c>
      <c r="B3720" t="s">
        <v>8738</v>
      </c>
      <c r="C3720" t="s">
        <v>16511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16513</v>
      </c>
    </row>
    <row r="3724" spans="1:3">
      <c r="A3724" t="s">
        <v>15771</v>
      </c>
      <c r="B3724" t="s">
        <v>8738</v>
      </c>
      <c r="C3724" t="s">
        <v>15772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16515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16517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16519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16521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16523</v>
      </c>
      <c r="B3737" t="s">
        <v>8738</v>
      </c>
      <c r="C3737" t="s">
        <v>16524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16526</v>
      </c>
      <c r="B3742" t="s">
        <v>8738</v>
      </c>
      <c r="C3742" t="s">
        <v>16527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16529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16531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16533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16535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16537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16539</v>
      </c>
    </row>
    <row r="3761" spans="1:3">
      <c r="A3761" t="s">
        <v>7282</v>
      </c>
      <c r="B3761" t="s">
        <v>8738</v>
      </c>
      <c r="C3761" t="s">
        <v>16541</v>
      </c>
    </row>
    <row r="3762" spans="1:3">
      <c r="A3762" t="s">
        <v>7282</v>
      </c>
      <c r="B3762" t="s">
        <v>8738</v>
      </c>
      <c r="C3762" t="s">
        <v>16543</v>
      </c>
    </row>
    <row r="3763" spans="1:3">
      <c r="A3763" t="s">
        <v>7282</v>
      </c>
      <c r="B3763" t="s">
        <v>8738</v>
      </c>
      <c r="C3763" t="s">
        <v>16545</v>
      </c>
    </row>
    <row r="3764" spans="1:3">
      <c r="A3764" t="s">
        <v>15773</v>
      </c>
      <c r="B3764" t="s">
        <v>8738</v>
      </c>
      <c r="C3764" t="s">
        <v>15774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16547</v>
      </c>
    </row>
    <row r="3767" spans="1:3">
      <c r="A3767" t="s">
        <v>9137</v>
      </c>
      <c r="B3767" t="s">
        <v>8738</v>
      </c>
      <c r="C3767" t="s">
        <v>16549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16551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16553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16555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16557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16559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16561</v>
      </c>
    </row>
    <row r="3780" spans="1:3">
      <c r="A3780" t="s">
        <v>9149</v>
      </c>
      <c r="B3780" t="s">
        <v>8738</v>
      </c>
      <c r="C3780" t="s">
        <v>16563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16565</v>
      </c>
      <c r="B3782" t="s">
        <v>8738</v>
      </c>
      <c r="C3782" t="s">
        <v>16566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16568</v>
      </c>
      <c r="B3784" t="s">
        <v>8738</v>
      </c>
      <c r="C3784" t="s">
        <v>16569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16571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16573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16575</v>
      </c>
      <c r="B3790" t="s">
        <v>8738</v>
      </c>
      <c r="C3790" t="s">
        <v>16576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16578</v>
      </c>
    </row>
    <row r="3795" spans="1:3">
      <c r="A3795" t="s">
        <v>9165</v>
      </c>
      <c r="B3795" t="s">
        <v>8738</v>
      </c>
      <c r="C3795" t="s">
        <v>16580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16582</v>
      </c>
      <c r="B3802" t="s">
        <v>8738</v>
      </c>
      <c r="C3802" t="s">
        <v>16583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16585</v>
      </c>
      <c r="B3806" t="s">
        <v>8738</v>
      </c>
      <c r="C3806" t="s">
        <v>16586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16588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16590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16592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16594</v>
      </c>
      <c r="B3820" t="s">
        <v>8738</v>
      </c>
      <c r="C3820" t="s">
        <v>16595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15775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16597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16599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15776</v>
      </c>
      <c r="B3835" t="s">
        <v>8738</v>
      </c>
      <c r="C3835" t="s">
        <v>15777</v>
      </c>
    </row>
    <row r="3836" spans="1:3">
      <c r="A3836" t="s">
        <v>15778</v>
      </c>
      <c r="B3836" t="s">
        <v>8738</v>
      </c>
      <c r="C3836" t="s">
        <v>15779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16601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16603</v>
      </c>
      <c r="B3871" t="s">
        <v>8738</v>
      </c>
      <c r="C3871" t="s">
        <v>16604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16606</v>
      </c>
    </row>
    <row r="3875" spans="1:3">
      <c r="A3875" t="s">
        <v>9328</v>
      </c>
      <c r="B3875" t="s">
        <v>8738</v>
      </c>
      <c r="C3875" t="s">
        <v>16608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16610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16612</v>
      </c>
    </row>
    <row r="3881" spans="1:3">
      <c r="A3881" t="s">
        <v>9336</v>
      </c>
      <c r="B3881" t="s">
        <v>8738</v>
      </c>
      <c r="C3881" t="s">
        <v>16614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16616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16646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15761</v>
      </c>
      <c r="B3933" t="s">
        <v>8738</v>
      </c>
      <c r="C3933" t="s">
        <v>15762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15763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15764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15765</v>
      </c>
      <c r="B4019" t="s">
        <v>8738</v>
      </c>
      <c r="C4019" t="s">
        <v>9022</v>
      </c>
    </row>
    <row r="4020" spans="1:3">
      <c r="A4020" t="s">
        <v>15766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15767</v>
      </c>
      <c r="B4022" t="s">
        <v>8738</v>
      </c>
      <c r="C4022" t="s">
        <v>9026</v>
      </c>
    </row>
    <row r="4023" spans="1:3">
      <c r="A4023" t="s">
        <v>15768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15769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15770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15771</v>
      </c>
      <c r="B4057" t="s">
        <v>8738</v>
      </c>
      <c r="C4057" t="s">
        <v>15772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15773</v>
      </c>
      <c r="B4082" t="s">
        <v>8738</v>
      </c>
      <c r="C4082" t="s">
        <v>15774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15775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15776</v>
      </c>
      <c r="B4129" t="s">
        <v>8738</v>
      </c>
      <c r="C4129" t="s">
        <v>15777</v>
      </c>
    </row>
    <row r="4130" spans="1:3">
      <c r="A4130" t="s">
        <v>15778</v>
      </c>
      <c r="B4130" t="s">
        <v>8738</v>
      </c>
      <c r="C4130" t="s">
        <v>15779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15780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15781</v>
      </c>
      <c r="B4187" t="s">
        <v>15782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15783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15784</v>
      </c>
      <c r="B4239" t="s">
        <v>372</v>
      </c>
      <c r="C4239" t="s">
        <v>15785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15786</v>
      </c>
      <c r="B4241" t="s">
        <v>372</v>
      </c>
      <c r="C4241" t="s">
        <v>15787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15788</v>
      </c>
      <c r="B4244" t="s">
        <v>372</v>
      </c>
      <c r="C4244" t="s">
        <v>15789</v>
      </c>
    </row>
    <row r="4245" spans="1:3">
      <c r="A4245" t="s">
        <v>15790</v>
      </c>
      <c r="B4245" t="s">
        <v>372</v>
      </c>
      <c r="C4245" t="s">
        <v>15791</v>
      </c>
    </row>
    <row r="4246" spans="1:3">
      <c r="A4246" t="s">
        <v>15792</v>
      </c>
      <c r="B4246" t="s">
        <v>372</v>
      </c>
      <c r="C4246" t="s">
        <v>15793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15794</v>
      </c>
      <c r="B4260" t="s">
        <v>372</v>
      </c>
      <c r="C4260" t="s">
        <v>508</v>
      </c>
    </row>
    <row r="4261" spans="1:3">
      <c r="A4261" t="s">
        <v>15795</v>
      </c>
      <c r="B4261" t="s">
        <v>372</v>
      </c>
      <c r="C4261" t="s">
        <v>509</v>
      </c>
    </row>
    <row r="4262" spans="1:3">
      <c r="A4262" t="s">
        <v>15796</v>
      </c>
      <c r="B4262" t="s">
        <v>372</v>
      </c>
      <c r="C4262" t="s">
        <v>510</v>
      </c>
    </row>
    <row r="4263" spans="1:3">
      <c r="A4263" t="s">
        <v>15797</v>
      </c>
      <c r="B4263" t="s">
        <v>372</v>
      </c>
      <c r="C4263" t="s">
        <v>511</v>
      </c>
    </row>
    <row r="4264" spans="1:3">
      <c r="A4264" t="s">
        <v>15798</v>
      </c>
      <c r="B4264" t="s">
        <v>372</v>
      </c>
      <c r="C4264" t="s">
        <v>512</v>
      </c>
    </row>
    <row r="4265" spans="1:3">
      <c r="A4265" t="s">
        <v>15799</v>
      </c>
      <c r="B4265" t="s">
        <v>372</v>
      </c>
      <c r="C4265" t="s">
        <v>513</v>
      </c>
    </row>
    <row r="4266" spans="1:3">
      <c r="A4266" t="s">
        <v>15800</v>
      </c>
      <c r="B4266" t="s">
        <v>372</v>
      </c>
      <c r="C4266" t="s">
        <v>514</v>
      </c>
    </row>
    <row r="4267" spans="1:3">
      <c r="A4267" t="s">
        <v>15801</v>
      </c>
      <c r="B4267" t="s">
        <v>372</v>
      </c>
      <c r="C4267" t="s">
        <v>515</v>
      </c>
    </row>
    <row r="4268" spans="1:3">
      <c r="A4268" t="s">
        <v>15802</v>
      </c>
      <c r="B4268" t="s">
        <v>372</v>
      </c>
      <c r="C4268" t="s">
        <v>516</v>
      </c>
    </row>
    <row r="4269" spans="1:3">
      <c r="A4269" t="s">
        <v>15803</v>
      </c>
      <c r="B4269" t="s">
        <v>372</v>
      </c>
      <c r="C4269" t="s">
        <v>517</v>
      </c>
    </row>
    <row r="4270" spans="1:3">
      <c r="A4270" t="s">
        <v>15804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15805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15806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15807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15808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15809</v>
      </c>
      <c r="B5416" t="s">
        <v>2805</v>
      </c>
      <c r="C5416" s="15">
        <v>1090000</v>
      </c>
    </row>
    <row r="5417" spans="1:3">
      <c r="A5417" t="s">
        <v>15810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15811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15812</v>
      </c>
      <c r="B5715" t="s">
        <v>3400</v>
      </c>
      <c r="C5715" t="s">
        <v>319</v>
      </c>
    </row>
    <row r="5716" spans="1:3">
      <c r="A5716" t="s">
        <v>15813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15814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15815</v>
      </c>
      <c r="B6234" t="s">
        <v>811</v>
      </c>
      <c r="C6234" t="s">
        <v>4432</v>
      </c>
    </row>
    <row r="6235" spans="1:3">
      <c r="A6235" t="s">
        <v>15816</v>
      </c>
      <c r="B6235" t="s">
        <v>811</v>
      </c>
      <c r="C6235" t="s">
        <v>4433</v>
      </c>
    </row>
    <row r="6236" spans="1:3">
      <c r="A6236" t="s">
        <v>15817</v>
      </c>
      <c r="B6236" t="s">
        <v>811</v>
      </c>
      <c r="C6236" t="s">
        <v>4434</v>
      </c>
    </row>
    <row r="6237" spans="1:3">
      <c r="A6237" t="s">
        <v>15818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15819</v>
      </c>
      <c r="B6369" t="s">
        <v>811</v>
      </c>
      <c r="C6369" t="s">
        <v>4698</v>
      </c>
    </row>
    <row r="6370" spans="1:3">
      <c r="A6370" t="s">
        <v>15820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15821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15822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15823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15824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15825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15826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15827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15828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15829</v>
      </c>
      <c r="B6711" t="s">
        <v>811</v>
      </c>
      <c r="C6711" t="s">
        <v>5371</v>
      </c>
    </row>
    <row r="6712" spans="1:3">
      <c r="A6712" t="s">
        <v>15830</v>
      </c>
      <c r="B6712" t="s">
        <v>811</v>
      </c>
      <c r="C6712" t="s">
        <v>5372</v>
      </c>
    </row>
    <row r="6713" spans="1:3">
      <c r="A6713" t="s">
        <v>15831</v>
      </c>
      <c r="B6713" t="s">
        <v>811</v>
      </c>
      <c r="C6713" t="s">
        <v>5373</v>
      </c>
    </row>
    <row r="6714" spans="1:3">
      <c r="A6714" t="s">
        <v>15832</v>
      </c>
      <c r="B6714" t="s">
        <v>811</v>
      </c>
      <c r="C6714" t="s">
        <v>5374</v>
      </c>
    </row>
    <row r="6715" spans="1:3">
      <c r="A6715" t="s">
        <v>15833</v>
      </c>
      <c r="B6715" t="s">
        <v>811</v>
      </c>
      <c r="C6715" t="s">
        <v>5375</v>
      </c>
    </row>
    <row r="6716" spans="1:3">
      <c r="A6716" t="s">
        <v>15834</v>
      </c>
      <c r="B6716" t="s">
        <v>811</v>
      </c>
      <c r="C6716" t="s">
        <v>5376</v>
      </c>
    </row>
    <row r="6717" spans="1:3">
      <c r="A6717" t="s">
        <v>15835</v>
      </c>
      <c r="B6717" t="s">
        <v>811</v>
      </c>
      <c r="C6717" t="s">
        <v>5377</v>
      </c>
    </row>
    <row r="6718" spans="1:3">
      <c r="A6718" t="s">
        <v>15836</v>
      </c>
      <c r="B6718" t="s">
        <v>811</v>
      </c>
      <c r="C6718" t="s">
        <v>5378</v>
      </c>
    </row>
    <row r="6719" spans="1:3">
      <c r="A6719" t="s">
        <v>15837</v>
      </c>
      <c r="B6719" t="s">
        <v>811</v>
      </c>
      <c r="C6719" t="s">
        <v>5379</v>
      </c>
    </row>
    <row r="6720" spans="1:3">
      <c r="A6720" t="s">
        <v>15838</v>
      </c>
      <c r="B6720" t="s">
        <v>811</v>
      </c>
      <c r="C6720" t="s">
        <v>5380</v>
      </c>
    </row>
    <row r="6721" spans="1:3">
      <c r="A6721" t="s">
        <v>15839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15840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15841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15842</v>
      </c>
      <c r="B6935" t="s">
        <v>811</v>
      </c>
      <c r="C6935" t="s">
        <v>5805</v>
      </c>
    </row>
    <row r="6936" spans="1:3">
      <c r="A6936" t="s">
        <v>15843</v>
      </c>
      <c r="B6936" t="s">
        <v>811</v>
      </c>
      <c r="C6936" t="s">
        <v>5806</v>
      </c>
    </row>
    <row r="6937" spans="1:3">
      <c r="A6937" t="s">
        <v>15844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15845</v>
      </c>
      <c r="B7292" t="s">
        <v>5902</v>
      </c>
      <c r="C7292" t="s">
        <v>6727</v>
      </c>
    </row>
    <row r="7293" spans="1:3">
      <c r="A7293" t="s">
        <v>15846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15847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15848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15849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15850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15851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15852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15853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15854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15855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15856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15857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15858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15859</v>
      </c>
      <c r="B8211" t="s">
        <v>9388</v>
      </c>
      <c r="C8211" t="s">
        <v>9393</v>
      </c>
    </row>
    <row r="8212" spans="1:3">
      <c r="A8212" t="s">
        <v>15860</v>
      </c>
      <c r="B8212" t="s">
        <v>9388</v>
      </c>
      <c r="C8212" t="s">
        <v>9395</v>
      </c>
    </row>
    <row r="8213" spans="1:3">
      <c r="A8213" t="s">
        <v>15861</v>
      </c>
      <c r="B8213" t="s">
        <v>9388</v>
      </c>
      <c r="C8213" t="s">
        <v>9397</v>
      </c>
    </row>
    <row r="8214" spans="1:3">
      <c r="A8214" t="s">
        <v>15862</v>
      </c>
      <c r="B8214" t="s">
        <v>9388</v>
      </c>
      <c r="C8214" t="s">
        <v>9398</v>
      </c>
    </row>
    <row r="8215" spans="1:3">
      <c r="A8215" t="s">
        <v>15863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15864</v>
      </c>
      <c r="B8320" t="s">
        <v>9609</v>
      </c>
      <c r="C8320" t="s">
        <v>15865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15866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15867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15868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15869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15870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15855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15871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15868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15872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15873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15874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15875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15876</v>
      </c>
      <c r="B9170" t="s">
        <v>11174</v>
      </c>
      <c r="C9170" t="s">
        <v>11211</v>
      </c>
    </row>
    <row r="9171" spans="1:3">
      <c r="A9171" t="s">
        <v>15877</v>
      </c>
      <c r="B9171" t="s">
        <v>11174</v>
      </c>
      <c r="C9171" t="s">
        <v>11212</v>
      </c>
    </row>
    <row r="9172" spans="1:3">
      <c r="A9172" t="s">
        <v>15878</v>
      </c>
      <c r="B9172" t="s">
        <v>11174</v>
      </c>
      <c r="C9172" t="s">
        <v>11213</v>
      </c>
    </row>
    <row r="9173" spans="1:3">
      <c r="A9173" t="s">
        <v>15879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15880</v>
      </c>
      <c r="B9186" t="s">
        <v>11174</v>
      </c>
      <c r="C9186" t="s">
        <v>11239</v>
      </c>
    </row>
    <row r="9187" spans="1:3">
      <c r="A9187" t="s">
        <v>15881</v>
      </c>
      <c r="B9187" t="s">
        <v>11174</v>
      </c>
      <c r="C9187" t="s">
        <v>11240</v>
      </c>
    </row>
    <row r="9188" spans="1:3">
      <c r="A9188" t="s">
        <v>15882</v>
      </c>
      <c r="B9188" t="s">
        <v>11174</v>
      </c>
      <c r="C9188" t="s">
        <v>11241</v>
      </c>
    </row>
    <row r="9189" spans="1:3">
      <c r="A9189" t="s">
        <v>15883</v>
      </c>
      <c r="B9189" t="s">
        <v>11174</v>
      </c>
      <c r="C9189" t="s">
        <v>11242</v>
      </c>
    </row>
    <row r="9190" spans="1:3">
      <c r="A9190" t="s">
        <v>15884</v>
      </c>
      <c r="B9190" t="s">
        <v>11174</v>
      </c>
      <c r="C9190" t="s">
        <v>11243</v>
      </c>
    </row>
    <row r="9191" spans="1:3">
      <c r="A9191" t="s">
        <v>15885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15886</v>
      </c>
      <c r="B9247" t="s">
        <v>11174</v>
      </c>
      <c r="C9247" t="s">
        <v>11355</v>
      </c>
    </row>
    <row r="9248" spans="1:3">
      <c r="A9248" t="s">
        <v>15887</v>
      </c>
      <c r="B9248" t="s">
        <v>11174</v>
      </c>
      <c r="C9248" t="s">
        <v>11356</v>
      </c>
    </row>
    <row r="9249" spans="1:3">
      <c r="A9249" t="s">
        <v>15888</v>
      </c>
      <c r="B9249" t="s">
        <v>11174</v>
      </c>
      <c r="C9249" t="s">
        <v>11357</v>
      </c>
    </row>
    <row r="9250" spans="1:3">
      <c r="A9250" t="s">
        <v>15889</v>
      </c>
      <c r="B9250" t="s">
        <v>11174</v>
      </c>
      <c r="C9250" t="s">
        <v>11358</v>
      </c>
    </row>
    <row r="9251" spans="1:3">
      <c r="A9251" t="s">
        <v>15890</v>
      </c>
      <c r="B9251" t="s">
        <v>11174</v>
      </c>
      <c r="C9251" t="s">
        <v>11359</v>
      </c>
    </row>
    <row r="9252" spans="1:3">
      <c r="A9252" t="s">
        <v>15891</v>
      </c>
      <c r="B9252" t="s">
        <v>11174</v>
      </c>
      <c r="C9252" t="s">
        <v>11360</v>
      </c>
    </row>
    <row r="9253" spans="1:3">
      <c r="A9253" t="s">
        <v>15892</v>
      </c>
      <c r="B9253" t="s">
        <v>11174</v>
      </c>
      <c r="C9253" t="s">
        <v>11361</v>
      </c>
    </row>
    <row r="9254" spans="1:3">
      <c r="A9254" t="s">
        <v>15893</v>
      </c>
      <c r="B9254" t="s">
        <v>11174</v>
      </c>
      <c r="C9254" t="s">
        <v>11362</v>
      </c>
    </row>
    <row r="9255" spans="1:3">
      <c r="A9255" t="s">
        <v>15894</v>
      </c>
      <c r="B9255" t="s">
        <v>11174</v>
      </c>
      <c r="C9255" t="s">
        <v>11363</v>
      </c>
    </row>
    <row r="9256" spans="1:3">
      <c r="A9256" t="s">
        <v>15895</v>
      </c>
      <c r="B9256" t="s">
        <v>11174</v>
      </c>
      <c r="C9256" t="s">
        <v>11364</v>
      </c>
    </row>
    <row r="9257" spans="1:3">
      <c r="A9257" t="s">
        <v>15896</v>
      </c>
      <c r="B9257" t="s">
        <v>11174</v>
      </c>
      <c r="C9257" t="s">
        <v>11365</v>
      </c>
    </row>
    <row r="9258" spans="1:3">
      <c r="A9258" t="s">
        <v>15897</v>
      </c>
      <c r="B9258" t="s">
        <v>11174</v>
      </c>
      <c r="C9258" t="s">
        <v>11366</v>
      </c>
    </row>
    <row r="9259" spans="1:3">
      <c r="A9259" t="s">
        <v>15898</v>
      </c>
      <c r="B9259" t="s">
        <v>11174</v>
      </c>
      <c r="C9259" t="s">
        <v>11367</v>
      </c>
    </row>
    <row r="9260" spans="1:3">
      <c r="A9260" t="s">
        <v>15899</v>
      </c>
      <c r="B9260" t="s">
        <v>11174</v>
      </c>
      <c r="C9260" t="s">
        <v>11368</v>
      </c>
    </row>
    <row r="9261" spans="1:3">
      <c r="A9261" t="s">
        <v>15900</v>
      </c>
      <c r="B9261" t="s">
        <v>11174</v>
      </c>
      <c r="C9261" t="s">
        <v>11369</v>
      </c>
    </row>
    <row r="9262" spans="1:3">
      <c r="A9262" t="s">
        <v>15901</v>
      </c>
      <c r="B9262" t="s">
        <v>11174</v>
      </c>
      <c r="C9262" t="s">
        <v>11370</v>
      </c>
    </row>
    <row r="9263" spans="1:3">
      <c r="A9263" t="s">
        <v>15902</v>
      </c>
      <c r="B9263" t="s">
        <v>11174</v>
      </c>
      <c r="C9263" t="s">
        <v>11371</v>
      </c>
    </row>
    <row r="9264" spans="1:3">
      <c r="A9264" t="s">
        <v>15903</v>
      </c>
      <c r="B9264" t="s">
        <v>11174</v>
      </c>
      <c r="C9264" t="s">
        <v>11372</v>
      </c>
    </row>
    <row r="9265" spans="1:3">
      <c r="A9265" t="s">
        <v>15904</v>
      </c>
      <c r="B9265" t="s">
        <v>11174</v>
      </c>
      <c r="C9265" t="s">
        <v>11373</v>
      </c>
    </row>
    <row r="9266" spans="1:3">
      <c r="A9266" t="s">
        <v>15905</v>
      </c>
      <c r="B9266" t="s">
        <v>11174</v>
      </c>
      <c r="C9266" t="s">
        <v>11374</v>
      </c>
    </row>
    <row r="9267" spans="1:3">
      <c r="A9267" t="s">
        <v>15906</v>
      </c>
      <c r="B9267" t="s">
        <v>11174</v>
      </c>
      <c r="C9267" t="s">
        <v>11375</v>
      </c>
    </row>
    <row r="9268" spans="1:3">
      <c r="A9268" t="s">
        <v>15907</v>
      </c>
      <c r="B9268" t="s">
        <v>11174</v>
      </c>
      <c r="C9268" t="s">
        <v>11376</v>
      </c>
    </row>
    <row r="9269" spans="1:3">
      <c r="A9269" t="s">
        <v>15908</v>
      </c>
      <c r="B9269" t="s">
        <v>11174</v>
      </c>
      <c r="C9269" t="s">
        <v>11377</v>
      </c>
    </row>
    <row r="9270" spans="1:3">
      <c r="A9270" t="s">
        <v>15909</v>
      </c>
      <c r="B9270" t="s">
        <v>11174</v>
      </c>
      <c r="C9270" t="s">
        <v>11378</v>
      </c>
    </row>
    <row r="9271" spans="1:3">
      <c r="A9271" t="s">
        <v>15910</v>
      </c>
      <c r="B9271" t="s">
        <v>11174</v>
      </c>
      <c r="C9271" t="s">
        <v>11379</v>
      </c>
    </row>
    <row r="9272" spans="1:3">
      <c r="A9272" t="s">
        <v>15911</v>
      </c>
      <c r="B9272" t="s">
        <v>11174</v>
      </c>
      <c r="C9272" t="s">
        <v>11380</v>
      </c>
    </row>
    <row r="9273" spans="1:3">
      <c r="A9273" t="s">
        <v>15912</v>
      </c>
      <c r="B9273" t="s">
        <v>11174</v>
      </c>
      <c r="C9273" t="s">
        <v>11381</v>
      </c>
    </row>
    <row r="9274" spans="1:3">
      <c r="A9274" t="s">
        <v>15913</v>
      </c>
      <c r="B9274" t="s">
        <v>11174</v>
      </c>
      <c r="C9274" t="s">
        <v>11382</v>
      </c>
    </row>
    <row r="9275" spans="1:3">
      <c r="A9275" t="s">
        <v>15914</v>
      </c>
      <c r="B9275" t="s">
        <v>11174</v>
      </c>
      <c r="C9275" t="s">
        <v>11383</v>
      </c>
    </row>
    <row r="9276" spans="1:3">
      <c r="A9276" t="s">
        <v>15915</v>
      </c>
      <c r="B9276" t="s">
        <v>11174</v>
      </c>
      <c r="C9276" t="s">
        <v>11384</v>
      </c>
    </row>
    <row r="9277" spans="1:3">
      <c r="A9277" t="s">
        <v>15916</v>
      </c>
      <c r="B9277" t="s">
        <v>11174</v>
      </c>
      <c r="C9277" t="s">
        <v>11385</v>
      </c>
    </row>
    <row r="9278" spans="1:3">
      <c r="A9278" t="s">
        <v>15917</v>
      </c>
      <c r="B9278" t="s">
        <v>11174</v>
      </c>
      <c r="C9278" t="s">
        <v>11386</v>
      </c>
    </row>
    <row r="9279" spans="1:3">
      <c r="A9279" t="s">
        <v>15918</v>
      </c>
      <c r="B9279" t="s">
        <v>11174</v>
      </c>
      <c r="C9279" t="s">
        <v>11387</v>
      </c>
    </row>
    <row r="9280" spans="1:3">
      <c r="A9280" t="s">
        <v>15919</v>
      </c>
      <c r="B9280" t="s">
        <v>11174</v>
      </c>
      <c r="C9280" t="s">
        <v>11388</v>
      </c>
    </row>
    <row r="9281" spans="1:3">
      <c r="A9281" t="s">
        <v>15920</v>
      </c>
      <c r="B9281" t="s">
        <v>11174</v>
      </c>
      <c r="C9281" t="s">
        <v>11389</v>
      </c>
    </row>
    <row r="9282" spans="1:3">
      <c r="A9282" t="s">
        <v>15921</v>
      </c>
      <c r="B9282" t="s">
        <v>11174</v>
      </c>
      <c r="C9282" t="s">
        <v>11390</v>
      </c>
    </row>
    <row r="9283" spans="1:3">
      <c r="A9283" t="s">
        <v>15922</v>
      </c>
      <c r="B9283" t="s">
        <v>11174</v>
      </c>
      <c r="C9283" t="s">
        <v>11391</v>
      </c>
    </row>
    <row r="9284" spans="1:3">
      <c r="A9284" t="s">
        <v>15923</v>
      </c>
      <c r="B9284" t="s">
        <v>11174</v>
      </c>
      <c r="C9284" t="s">
        <v>11392</v>
      </c>
    </row>
    <row r="9285" spans="1:3">
      <c r="A9285" t="s">
        <v>15924</v>
      </c>
      <c r="B9285" t="s">
        <v>11174</v>
      </c>
      <c r="C9285" t="s">
        <v>11393</v>
      </c>
    </row>
    <row r="9286" spans="1:3">
      <c r="A9286" t="s">
        <v>15925</v>
      </c>
      <c r="B9286" t="s">
        <v>11174</v>
      </c>
      <c r="C9286" t="s">
        <v>11394</v>
      </c>
    </row>
    <row r="9287" spans="1:3">
      <c r="A9287" t="s">
        <v>15926</v>
      </c>
      <c r="B9287" t="s">
        <v>11174</v>
      </c>
      <c r="C9287" t="s">
        <v>11395</v>
      </c>
    </row>
    <row r="9288" spans="1:3">
      <c r="A9288" t="s">
        <v>15927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15928</v>
      </c>
      <c r="B9290" t="s">
        <v>11174</v>
      </c>
      <c r="C9290" t="s">
        <v>11399</v>
      </c>
    </row>
    <row r="9291" spans="1:3">
      <c r="A9291" t="s">
        <v>15929</v>
      </c>
      <c r="B9291" t="s">
        <v>11174</v>
      </c>
      <c r="C9291" t="s">
        <v>11400</v>
      </c>
    </row>
    <row r="9292" spans="1:3">
      <c r="A9292" t="s">
        <v>15930</v>
      </c>
      <c r="B9292" t="s">
        <v>11174</v>
      </c>
      <c r="C9292" t="s">
        <v>11401</v>
      </c>
    </row>
    <row r="9293" spans="1:3">
      <c r="A9293" t="s">
        <v>15931</v>
      </c>
      <c r="B9293" t="s">
        <v>11174</v>
      </c>
      <c r="C9293" t="s">
        <v>11402</v>
      </c>
    </row>
    <row r="9294" spans="1:3">
      <c r="A9294" t="s">
        <v>15932</v>
      </c>
      <c r="B9294" t="s">
        <v>11174</v>
      </c>
      <c r="C9294" t="s">
        <v>11403</v>
      </c>
    </row>
    <row r="9295" spans="1:3">
      <c r="A9295" t="s">
        <v>15933</v>
      </c>
      <c r="B9295" t="s">
        <v>11174</v>
      </c>
      <c r="C9295" t="s">
        <v>11404</v>
      </c>
    </row>
    <row r="9296" spans="1:3">
      <c r="A9296" t="s">
        <v>15934</v>
      </c>
      <c r="B9296" t="s">
        <v>11174</v>
      </c>
      <c r="C9296" t="s">
        <v>11405</v>
      </c>
    </row>
    <row r="9297" spans="1:3">
      <c r="A9297" t="s">
        <v>15935</v>
      </c>
      <c r="B9297" t="s">
        <v>11174</v>
      </c>
      <c r="C9297" t="s">
        <v>11406</v>
      </c>
    </row>
    <row r="9298" spans="1:3">
      <c r="A9298" t="s">
        <v>15936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15937</v>
      </c>
      <c r="B9300" t="s">
        <v>11174</v>
      </c>
      <c r="C9300" t="s">
        <v>11410</v>
      </c>
    </row>
    <row r="9301" spans="1:3">
      <c r="A9301" t="s">
        <v>15938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15939</v>
      </c>
      <c r="B9303" t="s">
        <v>11174</v>
      </c>
      <c r="C9303" t="s">
        <v>11414</v>
      </c>
    </row>
    <row r="9304" spans="1:3">
      <c r="A9304" t="s">
        <v>15940</v>
      </c>
      <c r="B9304" t="s">
        <v>11174</v>
      </c>
      <c r="C9304" t="s">
        <v>11415</v>
      </c>
    </row>
    <row r="9305" spans="1:3">
      <c r="A9305" t="s">
        <v>15941</v>
      </c>
      <c r="B9305" t="s">
        <v>11174</v>
      </c>
      <c r="C9305" t="s">
        <v>11416</v>
      </c>
    </row>
    <row r="9306" spans="1:3">
      <c r="A9306" t="s">
        <v>15942</v>
      </c>
      <c r="B9306" t="s">
        <v>11174</v>
      </c>
      <c r="C9306" t="s">
        <v>11417</v>
      </c>
    </row>
    <row r="9307" spans="1:3">
      <c r="A9307" t="s">
        <v>15943</v>
      </c>
      <c r="B9307" t="s">
        <v>11174</v>
      </c>
      <c r="C9307" t="s">
        <v>11418</v>
      </c>
    </row>
    <row r="9308" spans="1:3">
      <c r="A9308" t="s">
        <v>15944</v>
      </c>
      <c r="B9308" t="s">
        <v>11174</v>
      </c>
      <c r="C9308" t="s">
        <v>11419</v>
      </c>
    </row>
    <row r="9309" spans="1:3">
      <c r="A9309" t="s">
        <v>15945</v>
      </c>
      <c r="B9309" t="s">
        <v>11174</v>
      </c>
      <c r="C9309" t="s">
        <v>11420</v>
      </c>
    </row>
    <row r="9310" spans="1:3">
      <c r="A9310" t="s">
        <v>15946</v>
      </c>
      <c r="B9310" t="s">
        <v>11174</v>
      </c>
      <c r="C9310" t="s">
        <v>11421</v>
      </c>
    </row>
    <row r="9311" spans="1:3">
      <c r="A9311" t="s">
        <v>15947</v>
      </c>
      <c r="B9311" t="s">
        <v>11174</v>
      </c>
      <c r="C9311" t="s">
        <v>11422</v>
      </c>
    </row>
    <row r="9312" spans="1:3">
      <c r="A9312" t="s">
        <v>15948</v>
      </c>
      <c r="B9312" t="s">
        <v>11174</v>
      </c>
      <c r="C9312" t="s">
        <v>11423</v>
      </c>
    </row>
    <row r="9313" spans="1:3">
      <c r="A9313" t="s">
        <v>15949</v>
      </c>
      <c r="B9313" t="s">
        <v>11174</v>
      </c>
      <c r="C9313" t="s">
        <v>11424</v>
      </c>
    </row>
    <row r="9314" spans="1:3">
      <c r="A9314" t="s">
        <v>15950</v>
      </c>
      <c r="B9314" t="s">
        <v>11174</v>
      </c>
      <c r="C9314" t="s">
        <v>11425</v>
      </c>
    </row>
    <row r="9315" spans="1:3">
      <c r="A9315" t="s">
        <v>15951</v>
      </c>
      <c r="B9315" t="s">
        <v>11174</v>
      </c>
      <c r="C9315" t="s">
        <v>11426</v>
      </c>
    </row>
    <row r="9316" spans="1:3">
      <c r="A9316" t="s">
        <v>15952</v>
      </c>
      <c r="B9316" t="s">
        <v>11174</v>
      </c>
      <c r="C9316" t="s">
        <v>11427</v>
      </c>
    </row>
    <row r="9317" spans="1:3">
      <c r="A9317" t="s">
        <v>15953</v>
      </c>
      <c r="B9317" t="s">
        <v>11174</v>
      </c>
      <c r="C9317" t="s">
        <v>11428</v>
      </c>
    </row>
    <row r="9318" spans="1:3">
      <c r="A9318" t="s">
        <v>15954</v>
      </c>
      <c r="B9318" t="s">
        <v>11174</v>
      </c>
      <c r="C9318" t="s">
        <v>11429</v>
      </c>
    </row>
    <row r="9319" spans="1:3">
      <c r="A9319" t="s">
        <v>15955</v>
      </c>
      <c r="B9319" t="s">
        <v>11174</v>
      </c>
      <c r="C9319" t="s">
        <v>11430</v>
      </c>
    </row>
    <row r="9320" spans="1:3">
      <c r="A9320" t="s">
        <v>15956</v>
      </c>
      <c r="B9320" t="s">
        <v>11174</v>
      </c>
      <c r="C9320" t="s">
        <v>11431</v>
      </c>
    </row>
    <row r="9321" spans="1:3">
      <c r="A9321" t="s">
        <v>15957</v>
      </c>
      <c r="B9321" t="s">
        <v>11174</v>
      </c>
      <c r="C9321" t="s">
        <v>11432</v>
      </c>
    </row>
    <row r="9322" spans="1:3">
      <c r="A9322" t="s">
        <v>15958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15959</v>
      </c>
      <c r="B9325" t="s">
        <v>11174</v>
      </c>
      <c r="C9325" t="s">
        <v>11438</v>
      </c>
    </row>
    <row r="9326" spans="1:3">
      <c r="A9326" t="s">
        <v>15960</v>
      </c>
      <c r="B9326" t="s">
        <v>11174</v>
      </c>
      <c r="C9326" t="s">
        <v>11439</v>
      </c>
    </row>
    <row r="9327" spans="1:3">
      <c r="A9327" t="s">
        <v>15961</v>
      </c>
      <c r="B9327" t="s">
        <v>11174</v>
      </c>
      <c r="C9327" t="s">
        <v>11440</v>
      </c>
    </row>
    <row r="9328" spans="1:3">
      <c r="A9328" t="s">
        <v>15962</v>
      </c>
      <c r="B9328" t="s">
        <v>11174</v>
      </c>
      <c r="C9328" t="s">
        <v>11441</v>
      </c>
    </row>
    <row r="9329" spans="1:3">
      <c r="A9329" t="s">
        <v>15963</v>
      </c>
      <c r="B9329" t="s">
        <v>11174</v>
      </c>
      <c r="C9329" t="s">
        <v>11442</v>
      </c>
    </row>
    <row r="9330" spans="1:3">
      <c r="A9330" t="s">
        <v>15964</v>
      </c>
      <c r="B9330" t="s">
        <v>11174</v>
      </c>
      <c r="C9330" t="s">
        <v>11443</v>
      </c>
    </row>
    <row r="9331" spans="1:3">
      <c r="A9331" t="s">
        <v>15965</v>
      </c>
      <c r="B9331" t="s">
        <v>11174</v>
      </c>
      <c r="C9331" t="s">
        <v>11444</v>
      </c>
    </row>
    <row r="9332" spans="1:3">
      <c r="A9332" t="s">
        <v>15966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15967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15968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15969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15970</v>
      </c>
      <c r="B9701" t="s">
        <v>11609</v>
      </c>
      <c r="C9701" t="s">
        <v>12151</v>
      </c>
    </row>
    <row r="9702" spans="1:3">
      <c r="A9702" t="s">
        <v>15971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15972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15973</v>
      </c>
      <c r="B9716" t="s">
        <v>11609</v>
      </c>
      <c r="C9716" t="s">
        <v>12178</v>
      </c>
    </row>
    <row r="9717" spans="1:3">
      <c r="A9717" t="s">
        <v>15974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15975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15976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15977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15853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15978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15979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15980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15981</v>
      </c>
      <c r="B10236" t="s">
        <v>12427</v>
      </c>
      <c r="C10236" t="s">
        <v>13182</v>
      </c>
    </row>
    <row r="10237" spans="1:3">
      <c r="A10237" t="s">
        <v>15982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15983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15984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15985</v>
      </c>
      <c r="B10265" t="s">
        <v>12427</v>
      </c>
      <c r="C10265" t="s">
        <v>13232</v>
      </c>
    </row>
    <row r="10266" spans="1:3">
      <c r="A10266" t="s">
        <v>15986</v>
      </c>
      <c r="B10266" t="s">
        <v>12427</v>
      </c>
      <c r="C10266" t="s">
        <v>13233</v>
      </c>
    </row>
    <row r="10267" spans="1:3">
      <c r="A10267" t="s">
        <v>15987</v>
      </c>
      <c r="B10267" t="s">
        <v>12427</v>
      </c>
      <c r="C10267" t="s">
        <v>13234</v>
      </c>
    </row>
    <row r="10268" spans="1:3">
      <c r="A10268" t="s">
        <v>15988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15989</v>
      </c>
      <c r="B10270" t="s">
        <v>12427</v>
      </c>
      <c r="C10270" t="s">
        <v>13238</v>
      </c>
    </row>
    <row r="10271" spans="1:3">
      <c r="A10271" t="s">
        <v>15990</v>
      </c>
      <c r="B10271" t="s">
        <v>12427</v>
      </c>
      <c r="C10271" t="s">
        <v>13239</v>
      </c>
    </row>
    <row r="10272" spans="1:3">
      <c r="A10272" t="s">
        <v>15991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15992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15993</v>
      </c>
      <c r="B11145" t="s">
        <v>14953</v>
      </c>
      <c r="C11145" t="s">
        <v>14954</v>
      </c>
    </row>
    <row r="11146" spans="1:3">
      <c r="A11146" t="s">
        <v>15994</v>
      </c>
      <c r="B11146" t="s">
        <v>14953</v>
      </c>
      <c r="C11146" t="s">
        <v>14955</v>
      </c>
    </row>
    <row r="11147" spans="1:3">
      <c r="A11147" t="s">
        <v>15995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15979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15996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15997</v>
      </c>
      <c r="B11227" t="s">
        <v>15098</v>
      </c>
      <c r="C11227" t="s">
        <v>15110</v>
      </c>
    </row>
    <row r="11228" spans="1:3">
      <c r="A11228" t="s">
        <v>15998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15999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16000</v>
      </c>
      <c r="B11232" t="s">
        <v>15098</v>
      </c>
      <c r="C11232" t="s">
        <v>15117</v>
      </c>
    </row>
    <row r="11233" spans="1:3">
      <c r="A11233" t="s">
        <v>16001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15842</v>
      </c>
      <c r="B11541" t="s">
        <v>811</v>
      </c>
      <c r="C11541" t="s">
        <v>15714</v>
      </c>
    </row>
    <row r="11542" spans="1:3">
      <c r="A11542" t="s">
        <v>15843</v>
      </c>
      <c r="B11542" t="s">
        <v>811</v>
      </c>
      <c r="C11542" t="s">
        <v>15715</v>
      </c>
    </row>
    <row r="11543" spans="1:3">
      <c r="A11543" t="s">
        <v>15844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15824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2019-10-18T07:39:28Z</cp:lastPrinted>
  <dcterms:created xsi:type="dcterms:W3CDTF">2015-05-12T13:25:44Z</dcterms:created>
  <dcterms:modified xsi:type="dcterms:W3CDTF">2019-10-18T07:43:48Z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