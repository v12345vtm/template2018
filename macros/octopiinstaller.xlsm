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activeTab="9"/>
  </bookViews>
  <sheets>
    <sheet name="Blad1" sheetId="1" r:id="rId1"/>
    <sheet name="speedocal" sheetId="14" r:id="rId2"/>
    <sheet name="phareetalon" sheetId="10" r:id="rId3"/>
    <sheet name="highbeam unical" sheetId="9" r:id="rId4"/>
    <sheet name="unical" sheetId="8" r:id="rId5"/>
    <sheet name="pla35 nr" sheetId="7" r:id="rId6"/>
    <sheet name="pla35 dr" sheetId="6" r:id="rId7"/>
    <sheet name="mst goca" sheetId="2" r:id="rId8"/>
    <sheet name="pla5sr" sheetId="3" r:id="rId9"/>
    <sheet name="pla5dr" sheetId="4" r:id="rId10"/>
    <sheet name="pla5nr" sheetId="5" r:id="rId11"/>
    <sheet name="candela" sheetId="12" r:id="rId12"/>
    <sheet name="minical" sheetId="13" r:id="rId13"/>
  </sheets>
  <externalReferences>
    <externalReference r:id="rId14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4" l="1"/>
  <c r="J19" i="14" s="1"/>
  <c r="K19" i="14" l="1"/>
  <c r="L19" i="14"/>
  <c r="J22" i="14"/>
  <c r="L22" i="14" s="1"/>
  <c r="J26" i="14"/>
  <c r="L26" i="14" s="1"/>
  <c r="J23" i="14"/>
  <c r="L23" i="14" s="1"/>
  <c r="J20" i="14"/>
  <c r="L20" i="14" s="1"/>
  <c r="J24" i="14"/>
  <c r="L24" i="14" s="1"/>
  <c r="J21" i="14"/>
  <c r="L21" i="14" s="1"/>
  <c r="J25" i="14"/>
  <c r="L25" i="14" s="1"/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6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7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A28" authorId="0" shapeId="0">
      <text>
        <r>
          <rPr>
            <sz val="11"/>
            <color theme="1"/>
            <rFont val="Calibri"/>
            <family val="2"/>
            <scheme val="minor"/>
          </rPr>
          <t>Pablo Gomez:
Language on which the certificates are to be written, and the documentation is going to be proposed, unless it is specified individually. Can be a pair of languages. If not defined, English is considered.</t>
        </r>
      </text>
    </comment>
  </commentList>
</comments>
</file>

<file path=xl/comments8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9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0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sharedStrings.xml><?xml version="1.0" encoding="utf-8"?>
<sst xmlns="http://schemas.openxmlformats.org/spreadsheetml/2006/main" count="581" uniqueCount="151">
  <si>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</si>
  <si>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</si>
  <si>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</si>
  <si>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</si>
  <si>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</si>
  <si>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</si>
  <si>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</si>
  <si>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</si>
  <si>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</si>
  <si>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</si>
  <si>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</si>
  <si>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</si>
  <si>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</si>
  <si>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</si>
  <si>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</si>
  <si>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</si>
  <si>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</si>
  <si>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</si>
  <si>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</si>
  <si>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</si>
  <si>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</si>
  <si>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</si>
  <si>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</si>
  <si>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</si>
  <si>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</si>
  <si>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</si>
  <si>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</si>
  <si>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</si>
  <si>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</si>
  <si>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</si>
  <si>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</si>
  <si>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</si>
  <si>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</si>
  <si>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</si>
  <si>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</si>
  <si>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</si>
  <si>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</si>
  <si>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</si>
  <si>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</si>
  <si>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</si>
  <si>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</si>
  <si>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</si>
  <si>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</si>
  <si>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</si>
  <si>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</si>
  <si>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</si>
  <si>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</si>
  <si>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</si>
  <si>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</si>
  <si>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</si>
  <si>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</si>
  <si>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</si>
  <si>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</si>
  <si>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</si>
  <si>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</si>
  <si>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</si>
  <si>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</si>
  <si>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</si>
  <si>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</si>
  <si>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</si>
  <si>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</si>
  <si>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</si>
  <si>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</si>
  <si>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</si>
  <si>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</si>
  <si>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</si>
  <si>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</si>
  <si>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</si>
  <si>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</si>
  <si>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</si>
  <si>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</si>
  <si>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</si>
  <si>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</si>
  <si>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</si>
  <si>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</si>
  <si>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</si>
  <si>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</si>
  <si>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</si>
  <si>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</si>
  <si>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</si>
  <si>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</si>
  <si>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</si>
  <si>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</si>
  <si>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</si>
  <si>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</si>
  <si>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</si>
  <si>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</si>
  <si>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</si>
  <si>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</si>
  <si>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</si>
  <si>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</si>
  <si>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</si>
  <si>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</si>
  <si>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</si>
  <si>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</si>
  <si>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</si>
  <si>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</si>
  <si>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</si>
  <si>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</si>
  <si>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</si>
  <si>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</si>
  <si>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c26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</si>
  <si>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</si>
  <si>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</si>
  <si>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</si>
  <si>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</si>
  <si>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</si>
  <si>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</si>
  <si>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</si>
  <si>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</si>
  <si>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</si>
  <si>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</si>
  <si>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</si>
  <si>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</si>
  <si>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</si>
  <si>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</si>
  <si>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</si>
  <si>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ep140113,10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</si>
  <si>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</si>
  <si>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</si>
  <si>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</si>
  <si>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</si>
  <si>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</si>
  <si>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</si>
  <si>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</si>
  <si>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</si>
  <si>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EP070015.005</t>
  </si>
  <si>
    <t>r22</t>
  </si>
  <si>
    <t>gewoon cert genereren en dan u openoffice tabel erachter plakken</t>
  </si>
  <si>
    <t>python mk_project.py rgo190009 "Schouwngcentrum voor autos NV" "repair speedoscope + speedocal" -l Geel  -c Belgie --lang NL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</si>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</sst>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9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9" fillId="5" borderId="1" xfId="0" applyFont="1" applyFill="1" applyBorder="1" applyAlignment="1">
      <alignment horizontal="right"/>
    </xf>
    <xf numFmtId="0" fontId="0" fillId="0" borderId="0" xfId="0"/>
    <xf numFmtId="0" fontId="9" fillId="5" borderId="0" xfId="0" applyFont="1" applyFill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9" fillId="5" borderId="1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RGO190006%20-%20Autoveiligheid%20NV_repair%20speedoscope%20+%20speedocal\RGO190006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  <sheetName val="002"/>
    </sheetNames>
    <sheetDataSet>
      <sheetData sheetId="0">
        <row r="4">
          <cell r="B4" t="str">
            <v>RGO190006</v>
          </cell>
        </row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J102"/>
          <cell r="K102"/>
          <cell r="L102"/>
          <cell r="M102"/>
          <cell r="N102"/>
          <cell r="O102"/>
          <cell r="P102"/>
          <cell r="Q102"/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  <cell r="J103"/>
          <cell r="K103"/>
          <cell r="L103"/>
          <cell r="M103"/>
          <cell r="N103"/>
          <cell r="O103"/>
          <cell r="P103"/>
          <cell r="Q103"/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J104"/>
          <cell r="K104"/>
          <cell r="L104"/>
          <cell r="M104"/>
          <cell r="N104"/>
          <cell r="O104"/>
          <cell r="P104"/>
          <cell r="Q104"/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  <cell r="L105"/>
          <cell r="M105"/>
          <cell r="N105"/>
          <cell r="O105"/>
          <cell r="P105"/>
          <cell r="Q105"/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  <cell r="J106"/>
          <cell r="K106"/>
          <cell r="L106"/>
          <cell r="M106"/>
          <cell r="N106"/>
          <cell r="O106"/>
          <cell r="P106"/>
          <cell r="Q106"/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  <cell r="J107"/>
          <cell r="K107"/>
          <cell r="L107"/>
          <cell r="M107"/>
          <cell r="N107"/>
          <cell r="O107"/>
          <cell r="P107"/>
          <cell r="Q107"/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  <cell r="J108"/>
          <cell r="K108"/>
          <cell r="L108"/>
          <cell r="M108"/>
          <cell r="N108"/>
          <cell r="O108"/>
          <cell r="P108"/>
          <cell r="Q108"/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  <cell r="J109"/>
          <cell r="K109"/>
          <cell r="L109"/>
          <cell r="M109"/>
          <cell r="N109"/>
          <cell r="O109"/>
          <cell r="P109"/>
          <cell r="Q109"/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J110"/>
          <cell r="K110"/>
          <cell r="L110"/>
          <cell r="M110"/>
          <cell r="N110"/>
          <cell r="O110"/>
          <cell r="P110"/>
          <cell r="Q110"/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  <cell r="J111"/>
          <cell r="K111"/>
          <cell r="L111"/>
          <cell r="M111"/>
          <cell r="N111"/>
          <cell r="O111"/>
          <cell r="P111"/>
          <cell r="Q111"/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J112"/>
          <cell r="K112"/>
          <cell r="L112"/>
          <cell r="M112"/>
          <cell r="N112"/>
          <cell r="O112"/>
          <cell r="P112"/>
          <cell r="Q112"/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  <cell r="I113"/>
          <cell r="J113"/>
          <cell r="K113"/>
          <cell r="L113"/>
          <cell r="M113"/>
          <cell r="N113"/>
          <cell r="O113"/>
          <cell r="P113"/>
          <cell r="Q113"/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/>
          <cell r="J114"/>
          <cell r="K114"/>
          <cell r="L114"/>
          <cell r="M114"/>
          <cell r="N114"/>
          <cell r="O114"/>
          <cell r="P114"/>
          <cell r="Q114"/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  <cell r="I115"/>
          <cell r="J115"/>
          <cell r="K115"/>
          <cell r="L115"/>
          <cell r="M115"/>
          <cell r="N115"/>
          <cell r="O115"/>
          <cell r="P115"/>
          <cell r="Q115"/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/>
          <cell r="J116"/>
          <cell r="K116"/>
          <cell r="L116"/>
          <cell r="M116"/>
          <cell r="N116"/>
          <cell r="O116"/>
          <cell r="P116"/>
          <cell r="Q116"/>
        </row>
        <row r="117">
          <cell r="A117"/>
          <cell r="B117"/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</row>
        <row r="118">
          <cell r="A118"/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</row>
        <row r="119">
          <cell r="A119"/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</row>
        <row r="120">
          <cell r="A120"/>
          <cell r="B120"/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</row>
        <row r="121">
          <cell r="A121"/>
          <cell r="B121"/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</row>
        <row r="122">
          <cell r="A122"/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</row>
        <row r="123">
          <cell r="A123"/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</row>
        <row r="124">
          <cell r="A124"/>
          <cell r="B124"/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</row>
        <row r="125">
          <cell r="A125"/>
          <cell r="B125"/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file01.letdeinze.lan\company\Letdata\data\06\0011_00\D1\060011_00-D1N32E.xlsx" TargetMode="Externa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103</v>
      </c>
    </row>
    <row r="17" spans="4:5">
      <c r="D17" t="s">
        <v>93</v>
      </c>
    </row>
    <row r="18" spans="4:5">
      <c r="D18" s="51" t="s">
        <v>102</v>
      </c>
    </row>
    <row r="19" spans="4:5">
      <c r="D19" s="53" t="s">
        <v>108</v>
      </c>
    </row>
    <row r="20" spans="4:5">
      <c r="D20" s="1"/>
      <c r="E20" s="1"/>
    </row>
    <row r="23" spans="4:5">
      <c r="D23" t="s">
        <v>109</v>
      </c>
    </row>
    <row r="24" spans="4:5">
      <c r="D24" s="8"/>
    </row>
    <row r="27" spans="4:5">
      <c r="D27" s="54" t="s">
        <v>110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34" r:id="rId7" name="CommandButton10">
          <controlPr defaultSize="0" autoLine="0" r:id="rId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7" name="CommandButton10"/>
      </mc:Fallback>
    </mc:AlternateContent>
    <mc:AlternateContent xmlns:mc="http://schemas.openxmlformats.org/markup-compatibility/2006">
      <mc:Choice Requires="x14">
        <control shapeId="1029" r:id="rId9" name="CommandButton5">
          <controlPr autoLine="0" r:id="rId10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9" name="CommandButton5"/>
      </mc:Fallback>
    </mc:AlternateContent>
    <mc:AlternateContent xmlns:mc="http://schemas.openxmlformats.org/markup-compatibility/2006">
      <mc:Choice Requires="x14">
        <control shapeId="1028" r:id="rId11" name="CommandButton4">
          <controlPr autoLine="0" r:id="rId12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1" name="CommandButton4"/>
      </mc:Fallback>
    </mc:AlternateContent>
    <mc:AlternateContent xmlns:mc="http://schemas.openxmlformats.org/markup-compatibility/2006">
      <mc:Choice Requires="x14">
        <control shapeId="1027" r:id="rId13" name="CommandButton3">
          <controlPr autoLine="0" r:id="rId14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3" name="CommandButton3"/>
      </mc:Fallback>
    </mc:AlternateContent>
    <mc:AlternateContent xmlns:mc="http://schemas.openxmlformats.org/markup-compatibility/2006">
      <mc:Choice Requires="x14">
        <control shapeId="1026" r:id="rId15" name="CommandButton2">
          <controlPr autoLine="0" r:id="rId16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15" name="CommandButton2"/>
      </mc:Fallback>
    </mc:AlternateContent>
    <mc:AlternateContent xmlns:mc="http://schemas.openxmlformats.org/markup-compatibility/2006">
      <mc:Choice Requires="x14">
        <control shapeId="1025" r:id="rId17" name="CommandButton1">
          <controlPr defaultSize="0" autoLine="0" r:id="rId1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1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0"/>
  <sheetViews>
    <sheetView workbookViewId="0">
      <selection activeCell="N9" sqref="N9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6384" width="11.42578125" style="74"/>
  </cols>
  <sheetData>
    <row r="1" spans="1:11">
      <c r="A1" s="83" t="s">
        <v>12</v>
      </c>
      <c r="B1" s="84"/>
      <c r="C1" s="85"/>
      <c r="D1" s="84"/>
      <c r="E1" s="85"/>
      <c r="F1" s="84"/>
      <c r="G1" s="85"/>
      <c r="H1" s="84"/>
      <c r="I1" s="37"/>
    </row>
    <row r="2" spans="1:11">
      <c r="A2" s="14"/>
      <c r="B2" s="15" t="s">
        <v>13</v>
      </c>
      <c r="C2" s="16" t="s">
        <v>125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126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83" t="s">
        <v>19</v>
      </c>
      <c r="B6" s="84"/>
      <c r="C6" s="85"/>
      <c r="D6" s="84"/>
      <c r="E6" s="85"/>
      <c r="F6" s="84"/>
      <c r="G6" s="85"/>
      <c r="H6" s="84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/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85" t="s">
        <v>29</v>
      </c>
      <c r="B13" s="84"/>
      <c r="C13" s="85"/>
      <c r="D13" s="84"/>
      <c r="E13" s="85"/>
      <c r="F13" s="84"/>
      <c r="G13" s="85"/>
      <c r="H13" s="84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127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f>IF(COUNTIF([1]Main!A102:A125,C2)=1,C2,"")</f>
        <v>#VALUE!</v>
      </c>
    </row>
    <row r="19" spans="1:12">
      <c r="C19" s="16"/>
      <c r="D19" s="16"/>
      <c r="E19" s="16"/>
      <c r="F19" s="16"/>
      <c r="G19" s="16"/>
      <c r="H19" s="16"/>
      <c r="I19" s="74">
        <v>1</v>
      </c>
      <c r="J19" s="15" t="e">
        <f>IF($K$18="","",IF(VLOOKUP($K$18,[1]Main!$A$102:$Q$125,1+I19,FALSE)="","",LEFT(VLOOKUP($K$18,[1]Main!$A$102:$Q$125,1+I19,FALSE),SEARCH("::",VLOOKUP($K$18,[1]Main!$A$102:$Q$125,1+I19,FALSE))-1)))</f>
        <v>#VALUE!</v>
      </c>
      <c r="K19" s="45" t="e">
        <f>IF(J19="project_code",[1]Main!B4," ")</f>
        <v>#VALUE!</v>
      </c>
      <c r="L19" s="46" t="e">
        <f>IF(TRIM(J19)=""," ",IF($K$18="","",RIGHT(VLOOKUP($K$18,[1]Main!$A$102:$Q$125,1+I19,FALSE),LEN(VLOOKUP($K$18,[1]Main!$A$102:$Q$125,1+I19,FALSE))-1-SEARCH("::",VLOOKUP($K$18,[1]Main!$A$102:$Q$125,1+I19,FALSE)))))</f>
        <v>#VALUE!</v>
      </c>
    </row>
    <row r="20" spans="1:12">
      <c r="C20" s="16"/>
      <c r="D20" s="16"/>
      <c r="E20" s="16"/>
      <c r="F20" s="16"/>
      <c r="G20" s="16"/>
      <c r="H20" s="16"/>
      <c r="I20" s="74">
        <v>2</v>
      </c>
      <c r="J20" s="15" t="e">
        <f>IF($K$18="","",IF(VLOOKUP($K$18,[1]Main!$A$102:$Q$125,1+I20,FALSE)="","",LEFT(VLOOKUP($K$18,[1]Main!$A$102:$Q$125,1+I20,FALSE),SEARCH("::",VLOOKUP($K$18,[1]Main!$A$102:$Q$125,1+I20,FALSE))-1)))</f>
        <v>#VALUE!</v>
      </c>
      <c r="K20" s="45"/>
      <c r="L20" s="46" t="e">
        <f>IF(TRIM(J20)=""," ",IF($K$18="","",RIGHT(VLOOKUP($K$18,[1]Main!$A$102:$Q$125,1+I20,FALSE),LEN(VLOOKUP($K$18,[1]Main!$A$102:$Q$125,1+I20,FALSE))-1-SEARCH("::",VLOOKUP($K$18,[1]Main!$A$102:$Q$125,1+I20,FALSE)))))</f>
        <v>#VALUE!</v>
      </c>
    </row>
    <row r="21" spans="1:12">
      <c r="C21" s="16"/>
      <c r="D21" s="16"/>
      <c r="E21" s="16"/>
      <c r="F21" s="16"/>
      <c r="G21" s="16"/>
      <c r="H21" s="16"/>
      <c r="I21" s="74">
        <v>3</v>
      </c>
      <c r="J21" s="15" t="e">
        <f>IF($K$18="","",IF(VLOOKUP($K$18,[1]Main!$A$102:$Q$125,1+I21,FALSE)="","",LEFT(VLOOKUP($K$18,[1]Main!$A$102:$Q$125,1+I21,FALSE),SEARCH("::",VLOOKUP($K$18,[1]Main!$A$102:$Q$125,1+I21,FALSE))-1)))</f>
        <v>#VALUE!</v>
      </c>
      <c r="K21" s="45"/>
      <c r="L21" s="46" t="e">
        <f>IF(TRIM(J21)=""," ",IF($K$18="","",RIGHT(VLOOKUP($K$18,[1]Main!$A$102:$Q$125,1+I21,FALSE),LEN(VLOOKUP($K$18,[1]Main!$A$102:$Q$125,1+I21,FALSE))-1-SEARCH("::",VLOOKUP($K$18,[1]Main!$A$102:$Q$125,1+I21,FALSE)))))</f>
        <v>#VALUE!</v>
      </c>
    </row>
    <row r="22" spans="1:12">
      <c r="C22" s="16"/>
      <c r="D22" s="16"/>
      <c r="E22" s="16"/>
      <c r="F22" s="16"/>
      <c r="G22" s="16"/>
      <c r="H22" s="16"/>
      <c r="I22" s="74">
        <v>4</v>
      </c>
      <c r="J22" s="15" t="e">
        <f>IF($K$18="","",IF(VLOOKUP($K$18,[1]Main!$A$102:$Q$125,1+I22,FALSE)="","",LEFT(VLOOKUP($K$18,[1]Main!$A$102:$Q$125,1+I22,FALSE),SEARCH("::",VLOOKUP($K$18,[1]Main!$A$102:$Q$125,1+I22,FALSE))-1)))</f>
        <v>#VALUE!</v>
      </c>
      <c r="K22" s="45"/>
      <c r="L22" s="46" t="e">
        <f>IF(TRIM(J22)=""," ",IF($K$18="","",RIGHT(VLOOKUP($K$18,[1]Main!$A$102:$Q$125,1+I22,FALSE),LEN(VLOOKUP($K$18,[1]Main!$A$102:$Q$125,1+I22,FALSE))-1-SEARCH("::",VLOOKUP($K$18,[1]Main!$A$102:$Q$125,1+I22,FALSE)))))</f>
        <v>#VALUE!</v>
      </c>
    </row>
    <row r="23" spans="1:12">
      <c r="C23" s="16"/>
      <c r="D23" s="16"/>
      <c r="E23" s="16"/>
      <c r="F23" s="16"/>
      <c r="G23" s="16"/>
      <c r="H23" s="16"/>
      <c r="I23" s="74">
        <v>5</v>
      </c>
      <c r="J23" s="15" t="e">
        <f>IF($K$18="","",IF(VLOOKUP($K$18,[1]Main!$A$102:$Q$125,1+I23,FALSE)="","",LEFT(VLOOKUP($K$18,[1]Main!$A$102:$Q$125,1+I23,FALSE),SEARCH("::",VLOOKUP($K$18,[1]Main!$A$102:$Q$125,1+I23,FALSE))-1)))</f>
        <v>#VALUE!</v>
      </c>
      <c r="K23" s="45"/>
      <c r="L23" s="46" t="e">
        <f>IF(TRIM(J23)=""," ",IF($K$18="","",RIGHT(VLOOKUP($K$18,[1]Main!$A$102:$Q$125,1+I23,FALSE),LEN(VLOOKUP($K$18,[1]Main!$A$102:$Q$125,1+I23,FALSE))-1-SEARCH("::",VLOOKUP($K$18,[1]Main!$A$102:$Q$125,1+I23,FALSE)))))</f>
        <v>#VALUE!</v>
      </c>
    </row>
    <row r="24" spans="1:12">
      <c r="I24" s="74">
        <v>6</v>
      </c>
      <c r="J24" s="15" t="e">
        <f>IF($K$18="","",IF(VLOOKUP($K$18,[1]Main!$A$102:$Q$125,1+I24,FALSE)="","",LEFT(VLOOKUP($K$18,[1]Main!$A$102:$Q$125,1+I24,FALSE),SEARCH("::",VLOOKUP($K$18,[1]Main!$A$102:$Q$125,1+I24,FALSE))-1)))</f>
        <v>#VALUE!</v>
      </c>
      <c r="K24" s="45"/>
      <c r="L24" s="46" t="e">
        <f>IF(TRIM(J24)=""," ",IF($K$18="","",RIGHT(VLOOKUP($K$18,[1]Main!$A$102:$Q$125,1+I24,FALSE),LEN(VLOOKUP($K$18,[1]Main!$A$102:$Q$125,1+I24,FALSE))-1-SEARCH("::",VLOOKUP($K$18,[1]Main!$A$102:$Q$125,1+I24,FALSE)))))</f>
        <v>#VALUE!</v>
      </c>
    </row>
    <row r="25" spans="1:12">
      <c r="I25" s="74">
        <v>7</v>
      </c>
      <c r="J25" s="15" t="e">
        <f>IF($K$18="","",IF(VLOOKUP($K$18,[1]Main!$A$102:$Q$125,1+I25,FALSE)="","",LEFT(VLOOKUP($K$18,[1]Main!$A$102:$Q$125,1+I25,FALSE),SEARCH("::",VLOOKUP($K$18,[1]Main!$A$102:$Q$125,1+I25,FALSE))-1)))</f>
        <v>#VALUE!</v>
      </c>
      <c r="K25" s="45"/>
      <c r="L25" s="46" t="e">
        <f>IF(TRIM(J25)=""," ",IF($K$18="","",RIGHT(VLOOKUP($K$18,[1]Main!$A$102:$Q$125,1+I25,FALSE),LEN(VLOOKUP($K$18,[1]Main!$A$102:$Q$125,1+I25,FALSE))-1-SEARCH("::",VLOOKUP($K$18,[1]Main!$A$102:$Q$125,1+I25,FALSE)))))</f>
        <v>#VALUE!</v>
      </c>
    </row>
    <row r="26" spans="1:12">
      <c r="I26" s="74">
        <v>8</v>
      </c>
      <c r="J26" s="15" t="e">
        <f>IF($K$18="","",IF(VLOOKUP($K$18,[1]Main!$A$102:$Q$125,1+I26,FALSE)="","",LEFT(VLOOKUP($K$18,[1]Main!$A$102:$Q$125,1+I26,FALSE),SEARCH("::",VLOOKUP($K$18,[1]Main!$A$102:$Q$125,1+I26,FALSE))-1)))</f>
        <v>#VALUE!</v>
      </c>
      <c r="K26" s="45"/>
      <c r="L26" s="46" t="e">
        <f>IF(TRIM(J26)=""," ",IF($K$18="","",RIGHT(VLOOKUP($K$18,[1]Main!$A$102:$Q$125,1+I26,FALSE),LEN(VLOOKUP($K$18,[1]Main!$A$102:$Q$125,1+I26,FALSE))-1-SEARCH("::",VLOOKUP($K$18,[1]Main!$A$102:$Q$125,1+I26,FALSE)))))</f>
        <v>#VALUE!</v>
      </c>
    </row>
    <row r="30" spans="1:12">
      <c r="D30" s="74" t="s">
        <v>128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L30"/>
  <sheetViews>
    <sheetView workbookViewId="0">
      <selection activeCell="C30" sqref="C30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11.42578125" style="48"/>
    <col min="10" max="10" width="13.85546875" style="48" bestFit="1" customWidth="1"/>
    <col min="11" max="16384" width="11.42578125" style="48"/>
  </cols>
  <sheetData>
    <row r="1" spans="1:11">
      <c r="A1" s="83" t="s">
        <v>12</v>
      </c>
      <c r="B1" s="84"/>
      <c r="C1" s="85"/>
      <c r="D1" s="84"/>
      <c r="E1" s="85"/>
      <c r="F1" s="84"/>
      <c r="G1" s="85"/>
      <c r="H1" s="84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83" t="s">
        <v>19</v>
      </c>
      <c r="B6" s="84"/>
      <c r="C6" s="85"/>
      <c r="D6" s="84"/>
      <c r="E6" s="85"/>
      <c r="F6" s="84"/>
      <c r="G6" s="85"/>
      <c r="H6" s="84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85" t="s">
        <v>29</v>
      </c>
      <c r="B13" s="84"/>
      <c r="C13" s="85"/>
      <c r="D13" s="84"/>
      <c r="E13" s="85"/>
      <c r="F13" s="84"/>
      <c r="G13" s="85"/>
      <c r="H13" s="84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9" spans="1:12">
      <c r="C29" s="53" t="s">
        <v>93</v>
      </c>
    </row>
    <row r="30" spans="1:12">
      <c r="C30" s="53" t="s">
        <v>121</v>
      </c>
    </row>
  </sheetData>
  <mergeCells count="13">
    <mergeCell ref="A13:B13"/>
    <mergeCell ref="C13:D13"/>
    <mergeCell ref="E13:F13"/>
    <mergeCell ref="G13:H13"/>
    <mergeCell ref="A17:B17"/>
    <mergeCell ref="A6:B6"/>
    <mergeCell ref="C6:D6"/>
    <mergeCell ref="E6:F6"/>
    <mergeCell ref="G6:H6"/>
    <mergeCell ref="A1:B1"/>
    <mergeCell ref="C1:D1"/>
    <mergeCell ref="E1:F1"/>
    <mergeCell ref="G1:H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N31"/>
  <sheetViews>
    <sheetView workbookViewId="0">
      <selection activeCell="D16" sqref="D16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83" t="s">
        <v>12</v>
      </c>
      <c r="B1" s="84"/>
      <c r="C1" s="85"/>
      <c r="D1" s="84"/>
      <c r="E1" s="85"/>
      <c r="F1" s="84"/>
      <c r="G1" s="85"/>
      <c r="H1" s="84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83" t="s">
        <v>19</v>
      </c>
      <c r="B6" s="84"/>
      <c r="C6" s="85"/>
      <c r="D6" s="84"/>
      <c r="E6" s="85"/>
      <c r="F6" s="84"/>
      <c r="G6" s="85"/>
      <c r="H6" s="84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85" t="s">
        <v>29</v>
      </c>
      <c r="B13" s="84"/>
      <c r="C13" s="85"/>
      <c r="D13" s="84"/>
      <c r="E13" s="85"/>
      <c r="F13" s="84"/>
      <c r="G13" s="85"/>
      <c r="H13" s="84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106</v>
      </c>
      <c r="E16" s="21"/>
      <c r="F16" s="21"/>
      <c r="G16" s="21"/>
      <c r="H16" s="21"/>
    </row>
    <row r="17" spans="1:12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107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105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52"/>
      <c r="F30" s="52"/>
      <c r="G30" s="52"/>
      <c r="H30" s="52"/>
      <c r="I30" s="52"/>
      <c r="J30" s="52"/>
      <c r="K30" s="52"/>
    </row>
    <row r="31" spans="1:12">
      <c r="D31" s="52"/>
      <c r="E31" s="52"/>
      <c r="F31" s="52"/>
      <c r="G31" s="52"/>
      <c r="H31" s="52"/>
      <c r="I31" s="52"/>
      <c r="J31" s="52"/>
      <c r="K31" s="52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hyperlinks>
    <hyperlink ref="D26" r:id="rId1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C2" sqref="C2:H23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83" t="s">
        <v>12</v>
      </c>
      <c r="B1" s="84"/>
      <c r="C1" s="85"/>
      <c r="D1" s="84"/>
      <c r="E1" s="85"/>
      <c r="F1" s="84"/>
      <c r="G1" s="85"/>
      <c r="H1" s="84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83" t="s">
        <v>19</v>
      </c>
      <c r="B6" s="84"/>
      <c r="C6" s="85"/>
      <c r="D6" s="84"/>
      <c r="E6" s="85"/>
      <c r="F6" s="84"/>
      <c r="G6" s="85"/>
      <c r="H6" s="84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85" t="s">
        <v>29</v>
      </c>
      <c r="B13" s="84"/>
      <c r="C13" s="85"/>
      <c r="D13" s="84"/>
      <c r="E13" s="85"/>
      <c r="F13" s="84"/>
      <c r="G13" s="85"/>
      <c r="H13" s="84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107</v>
      </c>
      <c r="L19" s="46"/>
    </row>
    <row r="20" spans="1:12">
      <c r="C20" s="16" t="s">
        <v>104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H23"/>
  <sheetViews>
    <sheetView workbookViewId="0">
      <selection activeCell="E27" sqref="E27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13.85546875" style="33" bestFit="1" customWidth="1"/>
    <col min="11" max="16384" width="11.42578125" style="33"/>
  </cols>
  <sheetData>
    <row r="1" spans="1:8">
      <c r="A1" s="83" t="s">
        <v>12</v>
      </c>
      <c r="B1" s="84"/>
      <c r="C1" s="85"/>
      <c r="D1" s="84"/>
      <c r="E1" s="85"/>
      <c r="F1" s="84"/>
      <c r="G1" s="85"/>
      <c r="H1" s="84"/>
    </row>
    <row r="2" spans="1:8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83" t="s">
        <v>19</v>
      </c>
      <c r="B6" s="84"/>
      <c r="C6" s="85"/>
      <c r="D6" s="84"/>
      <c r="E6" s="85"/>
      <c r="F6" s="84"/>
      <c r="G6" s="85"/>
      <c r="H6" s="84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85" t="s">
        <v>29</v>
      </c>
      <c r="B13" s="84"/>
      <c r="C13" s="85"/>
      <c r="D13" s="84"/>
      <c r="E13" s="85"/>
      <c r="F13" s="84"/>
      <c r="G13" s="85"/>
      <c r="H13" s="84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16" t="s">
        <v>58</v>
      </c>
      <c r="H19" s="16"/>
    </row>
    <row r="20" spans="1:8">
      <c r="C20" s="16" t="s">
        <v>44</v>
      </c>
      <c r="D20" s="16"/>
      <c r="E20" s="16"/>
      <c r="F20" s="16"/>
      <c r="G20" s="16" t="s">
        <v>61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M33"/>
  <sheetViews>
    <sheetView workbookViewId="0">
      <selection activeCell="C33" sqref="C33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83" t="s">
        <v>12</v>
      </c>
      <c r="B1" s="84"/>
      <c r="C1" s="85"/>
      <c r="D1" s="84"/>
      <c r="E1" s="85"/>
      <c r="F1" s="84"/>
      <c r="G1" s="85"/>
      <c r="H1" s="84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83" t="s">
        <v>19</v>
      </c>
      <c r="B6" s="84"/>
      <c r="C6" s="85"/>
      <c r="D6" s="84"/>
      <c r="E6" s="85"/>
      <c r="F6" s="84"/>
      <c r="G6" s="85"/>
      <c r="H6" s="84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85" t="s">
        <v>29</v>
      </c>
      <c r="B13" s="84"/>
      <c r="C13" s="85"/>
      <c r="D13" s="84"/>
      <c r="E13" s="85"/>
      <c r="F13" s="84"/>
      <c r="G13" s="85"/>
      <c r="H13" s="84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143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</row>
    <row r="17" spans="1:8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81" t="s">
        <v>144</v>
      </c>
      <c r="H19" s="16"/>
    </row>
    <row r="20" spans="1:8">
      <c r="C20" s="16" t="s">
        <v>44</v>
      </c>
      <c r="D20" s="16"/>
      <c r="E20" s="16"/>
      <c r="F20" s="16"/>
      <c r="G20" s="16" t="s">
        <v>48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  <row r="28" spans="1:8">
      <c r="F28" s="82" t="s">
        <v>138</v>
      </c>
    </row>
    <row r="29" spans="1:8">
      <c r="F29" s="81" t="s">
        <v>139</v>
      </c>
    </row>
    <row r="30" spans="1:8">
      <c r="F30" s="81"/>
    </row>
    <row r="31" spans="1:8">
      <c r="F31" s="81" t="s">
        <v>140</v>
      </c>
    </row>
    <row r="32" spans="1:8">
      <c r="F32" s="81" t="s">
        <v>141</v>
      </c>
    </row>
    <row r="33" spans="6:6">
      <c r="F33" s="81" t="s">
        <v>142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C2" sqref="C2:D15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83" t="s">
        <v>12</v>
      </c>
      <c r="B1" s="84"/>
      <c r="C1" s="85"/>
      <c r="D1" s="84"/>
      <c r="E1" s="85"/>
      <c r="F1" s="84"/>
      <c r="G1" s="85"/>
      <c r="H1" s="84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83" t="s">
        <v>19</v>
      </c>
      <c r="B6" s="84"/>
      <c r="C6" s="85"/>
      <c r="D6" s="84"/>
      <c r="E6" s="85"/>
      <c r="F6" s="84"/>
      <c r="G6" s="85"/>
      <c r="H6" s="84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  <c r="M7"/>
    </row>
    <row r="8" spans="1:13">
      <c r="A8" s="18"/>
      <c r="B8" s="15" t="s">
        <v>25</v>
      </c>
      <c r="C8" s="16"/>
      <c r="D8" s="16">
        <v>1</v>
      </c>
      <c r="E8" s="16"/>
      <c r="F8" s="16"/>
      <c r="G8" s="16"/>
      <c r="I8"/>
      <c r="J8"/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85" t="s">
        <v>29</v>
      </c>
      <c r="B13" s="84"/>
      <c r="C13" s="85"/>
      <c r="D13" s="84"/>
      <c r="E13" s="85"/>
      <c r="F13" s="84"/>
      <c r="G13" s="85"/>
      <c r="H13" s="84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/>
      <c r="E16" s="21"/>
      <c r="F16" s="21"/>
      <c r="G16" s="21"/>
      <c r="H16" s="21"/>
      <c r="I16"/>
      <c r="J16"/>
      <c r="K16"/>
      <c r="L16"/>
      <c r="M16"/>
    </row>
    <row r="17" spans="1:13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129</v>
      </c>
      <c r="K23"/>
      <c r="L23"/>
      <c r="M23"/>
    </row>
    <row r="24" spans="1:13">
      <c r="I24"/>
      <c r="J24" s="75" t="s">
        <v>134</v>
      </c>
      <c r="K24"/>
      <c r="L24"/>
      <c r="M24"/>
    </row>
    <row r="25" spans="1:13">
      <c r="I25"/>
      <c r="J25"/>
      <c r="K25"/>
      <c r="L25"/>
      <c r="M25"/>
    </row>
    <row r="26" spans="1:13">
      <c r="I26"/>
      <c r="J26"/>
      <c r="K26"/>
      <c r="L26"/>
      <c r="M26"/>
    </row>
    <row r="27" spans="1:13">
      <c r="I27"/>
      <c r="J27"/>
      <c r="K27"/>
      <c r="L27"/>
      <c r="M27"/>
    </row>
    <row r="28" spans="1:13">
      <c r="A28" s="29" t="s">
        <v>26</v>
      </c>
      <c r="B28" s="16" t="s">
        <v>52</v>
      </c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D30" sqref="D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83" t="s">
        <v>12</v>
      </c>
      <c r="B1" s="84"/>
      <c r="C1" s="85"/>
      <c r="D1" s="84"/>
      <c r="E1" s="85"/>
      <c r="F1" s="84"/>
      <c r="G1" s="85"/>
      <c r="H1" s="84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83" t="s">
        <v>19</v>
      </c>
      <c r="B6" s="84"/>
      <c r="C6" s="85"/>
      <c r="D6" s="84"/>
      <c r="E6" s="85"/>
      <c r="F6" s="84"/>
      <c r="G6" s="85"/>
      <c r="H6" s="84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85" t="s">
        <v>29</v>
      </c>
      <c r="B13" s="84"/>
      <c r="C13" s="85"/>
      <c r="D13" s="84"/>
      <c r="E13" s="85"/>
      <c r="F13" s="84"/>
      <c r="G13" s="85"/>
      <c r="H13" s="84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J32"/>
  <sheetViews>
    <sheetView tabSelected="1" workbookViewId="0">
      <selection activeCell="J21" sqref="J21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83" t="s">
        <v>12</v>
      </c>
      <c r="B1" s="84"/>
      <c r="C1" s="85"/>
      <c r="D1" s="84"/>
      <c r="E1" s="85"/>
      <c r="F1" s="84"/>
      <c r="G1" s="85"/>
      <c r="H1" s="84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83" t="s">
        <v>19</v>
      </c>
      <c r="B6" s="84"/>
      <c r="C6" s="85"/>
      <c r="D6" s="84"/>
      <c r="E6" s="85"/>
      <c r="F6" s="84"/>
      <c r="G6" s="85"/>
      <c r="H6" s="84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85" t="s">
        <v>29</v>
      </c>
      <c r="B13" s="84"/>
      <c r="C13" s="85"/>
      <c r="D13" s="84"/>
      <c r="E13" s="85"/>
      <c r="F13" s="84"/>
      <c r="G13" s="85"/>
      <c r="H13" s="84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137</v>
      </c>
    </row>
    <row r="21" spans="1:10">
      <c r="C21" s="16"/>
      <c r="D21" s="16"/>
      <c r="E21" s="16"/>
      <c r="F21" s="16"/>
      <c r="G21" s="16"/>
      <c r="H21" s="16"/>
      <c r="J21" s="80" t="s">
        <v>150</v>
      </c>
    </row>
    <row r="22" spans="1:10">
      <c r="C22" s="16"/>
      <c r="D22" s="16"/>
      <c r="E22" s="16"/>
      <c r="F22" s="16"/>
      <c r="G22" s="16"/>
      <c r="H22" s="16"/>
    </row>
    <row r="23" spans="1:10">
      <c r="C23" s="16"/>
      <c r="D23" s="16"/>
      <c r="E23" s="16"/>
      <c r="F23" s="16"/>
      <c r="G23" s="16"/>
      <c r="H23" s="16"/>
    </row>
    <row r="28" spans="1:10">
      <c r="G28" s="81" t="s">
        <v>145</v>
      </c>
    </row>
    <row r="29" spans="1:10">
      <c r="G29" s="81" t="s">
        <v>146</v>
      </c>
    </row>
    <row r="30" spans="1:10">
      <c r="G30" s="81" t="s">
        <v>147</v>
      </c>
    </row>
    <row r="31" spans="1:10">
      <c r="G31" s="81" t="s">
        <v>148</v>
      </c>
    </row>
    <row r="32" spans="1:10">
      <c r="G32" s="81" t="s">
        <v>149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J16" sqref="J1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83" t="s">
        <v>12</v>
      </c>
      <c r="B1" s="84"/>
      <c r="C1" s="85"/>
      <c r="D1" s="84"/>
      <c r="E1" s="85"/>
      <c r="F1" s="84"/>
      <c r="G1" s="85"/>
      <c r="H1" s="84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83" t="s">
        <v>19</v>
      </c>
      <c r="B6" s="84"/>
      <c r="C6" s="85"/>
      <c r="D6" s="84"/>
      <c r="E6" s="85"/>
      <c r="F6" s="84"/>
      <c r="G6" s="85"/>
      <c r="H6" s="84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85" t="s">
        <v>29</v>
      </c>
      <c r="B13" s="84"/>
      <c r="C13" s="85"/>
      <c r="D13" s="84"/>
      <c r="E13" s="85"/>
      <c r="F13" s="84"/>
      <c r="G13" s="85"/>
      <c r="H13" s="84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K16"/>
      <c r="L16"/>
    </row>
    <row r="17" spans="1:12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  <c r="I17"/>
      <c r="J17"/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/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/>
      <c r="K20"/>
      <c r="L20"/>
    </row>
    <row r="21" spans="1:12">
      <c r="C21" s="16"/>
      <c r="D21" s="16"/>
      <c r="E21" s="16"/>
      <c r="F21" s="16"/>
      <c r="G21" s="16"/>
      <c r="H21" s="16"/>
      <c r="I21"/>
      <c r="J21"/>
      <c r="K21"/>
      <c r="L21"/>
    </row>
    <row r="22" spans="1:12">
      <c r="C22" s="16"/>
      <c r="D22" s="16"/>
      <c r="E22" s="16"/>
      <c r="F22" s="16"/>
      <c r="G22" s="16"/>
      <c r="H22" s="16"/>
      <c r="I22"/>
      <c r="J22"/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/>
  <dimension ref="A1:L32"/>
  <sheetViews>
    <sheetView workbookViewId="0">
      <selection activeCell="C2" sqref="C2:D15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6384" width="11.42578125" style="51"/>
  </cols>
  <sheetData>
    <row r="1" spans="1:11">
      <c r="A1" s="83" t="s">
        <v>12</v>
      </c>
      <c r="B1" s="84"/>
      <c r="C1" s="85"/>
      <c r="D1" s="84"/>
      <c r="E1" s="85"/>
      <c r="F1" s="84"/>
      <c r="G1" s="85"/>
      <c r="H1" s="84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 t="s">
        <v>117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83" t="s">
        <v>19</v>
      </c>
      <c r="B6" s="84"/>
      <c r="C6" s="85"/>
      <c r="D6" s="84"/>
      <c r="E6" s="85"/>
      <c r="F6" s="84"/>
      <c r="G6" s="85"/>
      <c r="H6" s="84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85" t="s">
        <v>29</v>
      </c>
      <c r="B13" s="84"/>
      <c r="C13" s="85"/>
      <c r="D13" s="84"/>
      <c r="E13" s="85"/>
      <c r="F13" s="84"/>
      <c r="G13" s="85"/>
      <c r="H13" s="84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101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85" t="s">
        <v>37</v>
      </c>
      <c r="B17" s="84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111</v>
      </c>
    </row>
    <row r="28" spans="1:12">
      <c r="C28" s="16" t="s">
        <v>112</v>
      </c>
      <c r="E28" s="56" t="s">
        <v>118</v>
      </c>
    </row>
    <row r="29" spans="1:12">
      <c r="C29" s="16" t="s">
        <v>113</v>
      </c>
    </row>
    <row r="30" spans="1:12">
      <c r="C30" s="16" t="s">
        <v>114</v>
      </c>
    </row>
    <row r="31" spans="1:12">
      <c r="C31" s="16" t="s">
        <v>115</v>
      </c>
    </row>
    <row r="32" spans="1:12">
      <c r="C32" s="16" t="s">
        <v>116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5"/>
  <sheetViews>
    <sheetView topLeftCell="B1" workbookViewId="0">
      <selection activeCell="D16" sqref="D16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5" width="11.85546875" style="59" bestFit="1" customWidth="1"/>
    <col min="16" max="16384" width="11.42578125" style="59"/>
  </cols>
  <sheetData>
    <row r="1" spans="1:8">
      <c r="A1" s="88" t="s">
        <v>12</v>
      </c>
      <c r="B1" s="86"/>
      <c r="C1" s="86"/>
      <c r="D1" s="86"/>
      <c r="E1" s="86"/>
      <c r="F1" s="86"/>
      <c r="G1" s="86"/>
      <c r="H1" s="87"/>
    </row>
    <row r="2" spans="1:8">
      <c r="A2" s="60"/>
      <c r="B2" s="61" t="s">
        <v>13</v>
      </c>
      <c r="C2" s="62" t="s">
        <v>119</v>
      </c>
      <c r="G2" s="61" t="s">
        <v>15</v>
      </c>
      <c r="H2" s="63"/>
    </row>
    <row r="3" spans="1:8">
      <c r="A3" s="60"/>
      <c r="B3" s="61" t="s">
        <v>16</v>
      </c>
      <c r="C3" s="89"/>
      <c r="D3" s="90"/>
    </row>
    <row r="4" spans="1:8">
      <c r="A4" s="60"/>
      <c r="B4" s="61" t="s">
        <v>18</v>
      </c>
      <c r="C4" s="63" t="s">
        <v>120</v>
      </c>
    </row>
    <row r="5" spans="1:8">
      <c r="A5" s="60"/>
      <c r="B5" s="60"/>
    </row>
    <row r="6" spans="1:8">
      <c r="A6" s="88" t="s">
        <v>19</v>
      </c>
      <c r="B6" s="86"/>
      <c r="C6" s="86"/>
      <c r="D6" s="86"/>
      <c r="E6" s="86"/>
      <c r="F6" s="86"/>
      <c r="G6" s="86"/>
      <c r="H6" s="87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88" t="s">
        <v>29</v>
      </c>
      <c r="B13" s="86"/>
      <c r="C13" s="86"/>
      <c r="D13" s="86"/>
      <c r="E13" s="86"/>
      <c r="F13" s="86"/>
      <c r="G13" s="86"/>
      <c r="H13" s="87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136</v>
      </c>
      <c r="E15" s="63"/>
      <c r="F15" s="65"/>
      <c r="G15" s="66"/>
      <c r="H15" s="63"/>
    </row>
    <row r="16" spans="1:8">
      <c r="A16" s="60"/>
      <c r="B16" s="60"/>
    </row>
    <row r="17" spans="1:17">
      <c r="A17" s="88" t="s">
        <v>37</v>
      </c>
      <c r="B17" s="86"/>
      <c r="C17" s="67"/>
      <c r="D17" s="67"/>
      <c r="E17" s="68" t="s">
        <v>38</v>
      </c>
      <c r="F17" s="67"/>
      <c r="G17" s="67"/>
      <c r="H17" s="69"/>
      <c r="J17" s="88" t="s">
        <v>82</v>
      </c>
      <c r="K17" s="86"/>
      <c r="L17" s="86"/>
      <c r="M17" s="86"/>
      <c r="N17" s="86"/>
      <c r="O17" s="86"/>
      <c r="P17" s="86"/>
      <c r="Q17" s="87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122</v>
      </c>
      <c r="M18" s="70" t="s">
        <v>123</v>
      </c>
      <c r="N18" s="70" t="s">
        <v>124</v>
      </c>
      <c r="O18" s="70" t="s">
        <v>107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119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8" spans="1:17">
      <c r="D28" s="58" t="s">
        <v>135</v>
      </c>
    </row>
    <row r="32" spans="1:17">
      <c r="E32" s="76" t="s">
        <v>130</v>
      </c>
    </row>
    <row r="33" spans="5:5">
      <c r="E33" s="76" t="s">
        <v>131</v>
      </c>
    </row>
    <row r="34" spans="5:5">
      <c r="E34" s="76" t="s">
        <v>132</v>
      </c>
    </row>
    <row r="35" spans="5:5">
      <c r="E35" s="76" t="s">
        <v>133</v>
      </c>
    </row>
  </sheetData>
  <mergeCells count="18">
    <mergeCell ref="A6:B6"/>
    <mergeCell ref="C6:D6"/>
    <mergeCell ref="E6:F6"/>
    <mergeCell ref="G6:H6"/>
    <mergeCell ref="A1:B1"/>
    <mergeCell ref="C1:D1"/>
    <mergeCell ref="E1:F1"/>
    <mergeCell ref="G1:H1"/>
    <mergeCell ref="C3:D3"/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</mergeCells>
  <pageMargins left="0.7" right="0.7" top="0.75" bottom="0.75" header="0.3" footer="0.3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13</vt:i4>
      </vt:variant>
    </vt:vector>
  </HeadingPairs>
  <TitlesOfParts>
    <vt:vector size="13" baseType="lpstr">
      <vt:lpstr>Blad1</vt:lpstr>
      <vt:lpstr>speedocal</vt:lpstr>
      <vt:lpstr>phareetalon</vt:lpstr>
      <vt:lpstr>highbeam unical</vt:lpstr>
      <vt:lpstr>unical</vt:lpstr>
      <vt:lpstr>pla35 nr</vt:lpstr>
      <vt:lpstr>pla35 dr</vt:lpstr>
      <vt:lpstr>mst goca</vt:lpstr>
      <vt:lpstr>pla5sr</vt:lpstr>
      <vt:lpstr>pla5dr</vt:lpstr>
      <vt:lpstr>pla5nr</vt:lpstr>
      <vt:lpstr>candela</vt:lpstr>
      <vt:lpstr>minical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Vincent Theuninck</cp:lastModifiedBy>
  <dcterms:created xsi:type="dcterms:W3CDTF">2017-08-25T14:39:37Z</dcterms:created>
  <dcterms:modified xsi:type="dcterms:W3CDTF">2019-03-21T16:06:22Z</dcterms:modified>
</cp:coreProperties>
</file>