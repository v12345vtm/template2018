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checkCompatibility="1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16515" windowHeight="11340" tabRatio="832"/>
  </bookViews>
  <sheets>
    <sheet name="lm6" sheetId="23" r:id="rId1"/>
    <sheet name="ldw" sheetId="22" r:id="rId2"/>
    <sheet name="Kalivam" sheetId="20" r:id="rId3"/>
    <sheet name="LVC1060 1050" sheetId="19" r:id="rId4"/>
    <sheet name="C Kalivam" sheetId="16" r:id="rId5"/>
    <sheet name="Blad1" sheetId="1" r:id="rId6"/>
    <sheet name="speedocal" sheetId="14" r:id="rId7"/>
    <sheet name="phareetalon" sheetId="10" r:id="rId8"/>
    <sheet name="highbeam unical" sheetId="9" r:id="rId9"/>
    <sheet name="unical" sheetId="8" r:id="rId10"/>
    <sheet name="lbm" sheetId="21" r:id="rId11"/>
    <sheet name="pla35 nr" sheetId="7" r:id="rId12"/>
    <sheet name="pla35 dr" sheetId="6" r:id="rId13"/>
    <sheet name="pla35 sr" sheetId="18" r:id="rId14"/>
    <sheet name="mst goca" sheetId="2" r:id="rId15"/>
    <sheet name="pla5sr" sheetId="3" r:id="rId16"/>
    <sheet name="pla5dr" sheetId="4" r:id="rId17"/>
    <sheet name="pla5nr" sheetId="5" r:id="rId18"/>
    <sheet name="candela" sheetId="12" r:id="rId19"/>
    <sheet name="minical" sheetId="13" r:id="rId20"/>
    <sheet name="floorchecker" sheetId="17" r:id="rId21"/>
  </sheets>
  <externalReferences>
    <externalReference r:id="rId22"/>
    <externalReference r:id="rId23"/>
    <externalReference r:id="rId24"/>
    <externalReference r:id="rId25"/>
    <externalReference r:id="rId26"/>
    <externalReference r:id="rId27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23" l="1"/>
  <c r="J19" i="23" s="1"/>
  <c r="L19" i="23" l="1"/>
  <c r="K19" i="23"/>
  <c r="J20" i="23"/>
  <c r="L20" i="23" s="1"/>
  <c r="J24" i="23"/>
  <c r="L24" i="23" s="1"/>
  <c r="J21" i="23"/>
  <c r="L21" i="23" s="1"/>
  <c r="J25" i="23"/>
  <c r="L25" i="23" s="1"/>
  <c r="J23" i="23"/>
  <c r="L23" i="23" s="1"/>
  <c r="J22" i="23"/>
  <c r="L22" i="23" s="1"/>
  <c r="J26" i="23"/>
  <c r="L26" i="23" s="1"/>
  <c r="J23" i="22" l="1"/>
  <c r="L23" i="22" s="1"/>
  <c r="J22" i="22"/>
  <c r="L22" i="22" s="1"/>
  <c r="J21" i="22"/>
  <c r="L21" i="22" s="1"/>
  <c r="J20" i="22"/>
  <c r="L20" i="22" s="1"/>
  <c r="J19" i="22"/>
  <c r="L19" i="22" s="1"/>
  <c r="K18" i="21" l="1"/>
  <c r="J26" i="21" s="1"/>
  <c r="L26" i="21" s="1"/>
  <c r="J23" i="21" l="1"/>
  <c r="L23" i="21" s="1"/>
  <c r="J19" i="21"/>
  <c r="L19" i="21" s="1"/>
  <c r="J24" i="21"/>
  <c r="L24" i="21" s="1"/>
  <c r="J21" i="21"/>
  <c r="L21" i="21" s="1"/>
  <c r="J25" i="21"/>
  <c r="L25" i="21" s="1"/>
  <c r="J20" i="21"/>
  <c r="L20" i="21" s="1"/>
  <c r="J22" i="21"/>
  <c r="L22" i="21" s="1"/>
  <c r="K18" i="20" l="1"/>
  <c r="J25" i="20" s="1"/>
  <c r="L25" i="20" s="1"/>
  <c r="J22" i="20" l="1"/>
  <c r="L22" i="20" s="1"/>
  <c r="J19" i="20"/>
  <c r="L19" i="20" s="1"/>
  <c r="J23" i="20"/>
  <c r="L23" i="20" s="1"/>
  <c r="J26" i="20"/>
  <c r="L26" i="20" s="1"/>
  <c r="J20" i="20"/>
  <c r="L20" i="20" s="1"/>
  <c r="J24" i="20"/>
  <c r="L24" i="20" s="1"/>
  <c r="J21" i="20"/>
  <c r="L21" i="20" s="1"/>
  <c r="K18" i="19" l="1"/>
  <c r="J22" i="19" s="1"/>
  <c r="L22" i="19" s="1"/>
  <c r="J19" i="19" l="1"/>
  <c r="J23" i="19"/>
  <c r="L23" i="19" s="1"/>
  <c r="J20" i="19"/>
  <c r="L20" i="19" s="1"/>
  <c r="J21" i="19"/>
  <c r="L21" i="19" s="1"/>
  <c r="L19" i="19" l="1"/>
  <c r="K19" i="19"/>
  <c r="J27" i="18" l="1"/>
  <c r="J26" i="18"/>
  <c r="J25" i="18"/>
  <c r="J24" i="18"/>
  <c r="J23" i="18"/>
  <c r="J22" i="18"/>
  <c r="J21" i="18"/>
  <c r="J20" i="18"/>
  <c r="K20" i="18" s="1"/>
  <c r="K19" i="18"/>
  <c r="M19" i="13" l="1"/>
  <c r="K22" i="10" l="1"/>
  <c r="K21" i="10"/>
</calcChain>
</file>

<file path=xl/comments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 xml:space="preserve">Pablo Gomez:
If something is specified here, it will overwrite the common defaults for this unit. Any character means "selected"
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sharedStrings.xml><?xml version="1.0" encoding="utf-8"?>
<sst xmlns="http://schemas.openxmlformats.org/spreadsheetml/2006/main" count="1114" uniqueCount="318">
  <si>
    <t>cmd</t>
  </si>
  <si>
    <t>c:</t>
  </si>
  <si>
    <t xml:space="preserve"> cd Mysandbox\docauto</t>
  </si>
  <si>
    <t>C:\Users\vth\Documents\docauto\docauto\Scripts\activate</t>
  </si>
  <si>
    <t>python mk_project.py rgo119913 SBAT "repair speedoscope" -l SINT-DENIJS-WESTREM  -c Belgie --lang NL</t>
  </si>
  <si>
    <t>dos terminam</t>
  </si>
  <si>
    <t>naar uw c</t>
  </si>
  <si>
    <t>folder kiezen</t>
  </si>
  <si>
    <t>virtuele omgeving lade</t>
  </si>
  <si>
    <t>template mst</t>
  </si>
  <si>
    <t>python minigui.pyw</t>
  </si>
  <si>
    <t>python mk_project.py kb990161 TUV "1x PLA5 NR" -l HANNOVER -c Deutschland --lang DE</t>
  </si>
  <si>
    <t>UNIT DESCRIPTION</t>
  </si>
  <si>
    <t>Prod. Code</t>
  </si>
  <si>
    <t>PLA5SR</t>
  </si>
  <si>
    <t>Skip Printing?</t>
  </si>
  <si>
    <t>Name</t>
  </si>
  <si>
    <t>Tech. responsible</t>
  </si>
  <si>
    <t>Serial</t>
  </si>
  <si>
    <t>CERTS REQUEST</t>
  </si>
  <si>
    <t>CE</t>
  </si>
  <si>
    <t>CALIB</t>
  </si>
  <si>
    <t>VERIF</t>
  </si>
  <si>
    <t>EXTERN</t>
  </si>
  <si>
    <t>ATTEST</t>
  </si>
  <si>
    <t>NRS Code</t>
  </si>
  <si>
    <t>Language</t>
  </si>
  <si>
    <t>Version</t>
  </si>
  <si>
    <t>Skip print?</t>
  </si>
  <si>
    <t>OTHER COMMON</t>
  </si>
  <si>
    <t>CE DIRECT</t>
  </si>
  <si>
    <t>CAL DEVS</t>
  </si>
  <si>
    <t>INT PROCS</t>
  </si>
  <si>
    <t>VALID FROM</t>
  </si>
  <si>
    <t>VALID TO</t>
  </si>
  <si>
    <t>RESPONSIBLE</t>
  </si>
  <si>
    <t>Common</t>
  </si>
  <si>
    <t>PARTS</t>
  </si>
  <si>
    <t>(Add more rows if needed)</t>
  </si>
  <si>
    <t>CODE</t>
  </si>
  <si>
    <t>NAME</t>
  </si>
  <si>
    <t>SERIAL</t>
  </si>
  <si>
    <t>lm5</t>
  </si>
  <si>
    <t>r1,r8a</t>
  </si>
  <si>
    <t>pla</t>
  </si>
  <si>
    <t>c33 c16 r1</t>
  </si>
  <si>
    <t>PLA5DR</t>
  </si>
  <si>
    <t>PLA5NR</t>
  </si>
  <si>
    <t>c100 c16 r1</t>
  </si>
  <si>
    <t>SSCOPEGOCA</t>
  </si>
  <si>
    <t>EP060069.009</t>
  </si>
  <si>
    <t>r32 r30</t>
  </si>
  <si>
    <t>NL,FR</t>
  </si>
  <si>
    <t>boekjes manuals meegeven met de pla tuv certifikaten</t>
  </si>
  <si>
    <t>python mk_project.py kb177767  "behbehani motors company" "1x PLA35 DR" -l SAFAT -c Kuwait --lang E</t>
  </si>
  <si>
    <t>pla 35 zelf manuals printen en inbinden</t>
  </si>
  <si>
    <t>PLA 35 DR</t>
  </si>
  <si>
    <t>LM35</t>
  </si>
  <si>
    <t>r16 c94</t>
  </si>
  <si>
    <t>qr codes inlezen</t>
  </si>
  <si>
    <t>PLA 35 NR</t>
  </si>
  <si>
    <t>c33 c16 r1a</t>
  </si>
  <si>
    <t>python mk_kb_final.py KB1980267 -t STD</t>
  </si>
  <si>
    <t>python mk_project.py kb1380273  "Behbehani Motors Company" "3x PLA35 DR" -l SAFAT -c Kuwait --lang E</t>
  </si>
  <si>
    <t>\\file01.letdeinze.lan\company\Letdata\data\02\0001_00\D5\020001_00-D5N05_.docx</t>
  </si>
  <si>
    <t xml:space="preserve">procedure PLA35 docauto </t>
  </si>
  <si>
    <t>\\file01.letdeinze.lan\company\Letdata\data\17\0012_01\G4\170012_01-G4N01C.XLSX</t>
  </si>
  <si>
    <t>python mk_usbsticks.py KB959498</t>
  </si>
  <si>
    <t>python postscan.py</t>
  </si>
  <si>
    <t>UNICAL</t>
  </si>
  <si>
    <t>CD Contents</t>
  </si>
  <si>
    <t>Manuals</t>
  </si>
  <si>
    <t>Certificates</t>
  </si>
  <si>
    <t>Software</t>
  </si>
  <si>
    <t>Backups</t>
  </si>
  <si>
    <t>Spare Parts</t>
  </si>
  <si>
    <t>Mech Doc</t>
  </si>
  <si>
    <t>Elec Doc</t>
  </si>
  <si>
    <t>CD Products</t>
  </si>
  <si>
    <t>Stickers DBS</t>
  </si>
  <si>
    <t>Stickers Avery</t>
  </si>
  <si>
    <t>Covers</t>
  </si>
  <si>
    <t>EXTRA</t>
  </si>
  <si>
    <t>Device</t>
  </si>
  <si>
    <t>LBM</t>
  </si>
  <si>
    <t>ep160122,2</t>
  </si>
  <si>
    <t>r17,r21,c61,c147,r9,c56,c87</t>
  </si>
  <si>
    <t>EP170054,1</t>
  </si>
  <si>
    <t>R0020,C0098,C0080,R0015</t>
  </si>
  <si>
    <t>ep170054.001.csv</t>
  </si>
  <si>
    <t>HBM</t>
  </si>
  <si>
    <t>PHARE_ETALON</t>
  </si>
  <si>
    <t>PSM</t>
  </si>
  <si>
    <t>python mk_project.py rfa9980050 "renault espana" "Calibration phare etalon" -l "le plessis-robinson"  -c france --lang f</t>
  </si>
  <si>
    <t>ep160053.004</t>
  </si>
  <si>
    <t>r17,r21,c87,c129,c104,c56, c98 ,c0061 ,r9</t>
  </si>
  <si>
    <t>ep160054.004</t>
  </si>
  <si>
    <t>-7.5</t>
  </si>
  <si>
    <t>ep160055.004</t>
  </si>
  <si>
    <t>geen ce voor repair/herontrole</t>
  </si>
  <si>
    <t>CANDELAMETER</t>
  </si>
  <si>
    <t>python mk_project.py  20181322 "Transport Miervelde n.v."1x  candelameter"</t>
  </si>
  <si>
    <t>python mk_project.py  20180932 SNAPON "2x UNICAL"</t>
  </si>
  <si>
    <t>lsm</t>
  </si>
  <si>
    <t>L:\Letdata\data\06\0011_00\D1\060011_00-D1N32E.xlsx</t>
  </si>
  <si>
    <t>meetmiddelen staan in de excel van de highbeam cvs</t>
  </si>
  <si>
    <t xml:space="preserve"> </t>
  </si>
  <si>
    <t>python mk_project.py  RFA180042 "SOFASA S.A." "Phare Etalon calibration" -l "Envigado" -c Colombia --lang E,S</t>
  </si>
  <si>
    <t xml:space="preserve">python mk_project.py   RFA180059 "Renault Revoz" "Réparation Phare Etalon" </t>
  </si>
  <si>
    <t>python mk_project.py kb180409 TUV "1x PLA5 DR" -l HANNOVER -c Deutschland --lang DE</t>
  </si>
  <si>
    <t>20170312</t>
  </si>
  <si>
    <t>MIVB-STIB</t>
  </si>
  <si>
    <t>Brussel</t>
  </si>
  <si>
    <t>Brussel, Belgie</t>
  </si>
  <si>
    <t>Candelameter</t>
  </si>
  <si>
    <t>nl,f</t>
  </si>
  <si>
    <t>python mk_project.py 20181409 "Reinigingsdienst Leuven" "Candelameter" -l Leuven -c Belgie --lang NL</t>
  </si>
  <si>
    <t>MINICAL</t>
  </si>
  <si>
    <t>EP140112.8</t>
  </si>
  <si>
    <t>python mk_project.py  RFA180043 "Oyak Renault Otomobil Fabrikalari A.S." "Phare Etalon calibration" -l "Bursa" -c Turkey --lang E</t>
  </si>
  <si>
    <t>baseplate_h</t>
  </si>
  <si>
    <t>laser_h</t>
  </si>
  <si>
    <t>laser_v</t>
  </si>
  <si>
    <t>SPEEDOCAL</t>
  </si>
  <si>
    <t>r22</t>
  </si>
  <si>
    <t>gewoon cert genereren en dan u openoffice tabel erachter plakken</t>
  </si>
  <si>
    <t>Tecalemit Garage Equipment Co. Ltd</t>
  </si>
  <si>
    <t>Plymouth</t>
  </si>
  <si>
    <t>Plymouth, UK</t>
  </si>
  <si>
    <t>Minical calibration</t>
  </si>
  <si>
    <t>python mk_project.py rgo190011 "Autosecurite S.C.A" "repair speedoscopel" -l Verviers  -c Belgie --lang NL</t>
  </si>
  <si>
    <t>python mk_project.py rgo190012  "AIBV NV" "1xMinical" -l Zellik  -c BE --lang N</t>
  </si>
  <si>
    <t>c87,r17,c16,r9 ,r36</t>
  </si>
  <si>
    <t>python mk_project.py kb190058 TUV "1x PLA5 DR" -l HANNOVER -c Deutschland --lang DE</t>
  </si>
  <si>
    <t>KB180398</t>
  </si>
  <si>
    <t>VIETNET</t>
  </si>
  <si>
    <t>Long Binh Tan - Bien Hoa, Vietnam</t>
  </si>
  <si>
    <t>6xPLA35DR</t>
  </si>
  <si>
    <t>EN</t>
  </si>
  <si>
    <t>python mk_project.py kb190037 "Vietnet" "8x PLA35 DR" -l "Long Binh Tan - Bien Hoa" -c Vietnam --lang EN</t>
  </si>
  <si>
    <t>c90,c94</t>
  </si>
  <si>
    <t>Hauterive Didier Sarl</t>
  </si>
  <si>
    <t>Merville</t>
  </si>
  <si>
    <t>Merville, France</t>
  </si>
  <si>
    <t>2x PLA 35 SR</t>
  </si>
  <si>
    <t>FR</t>
  </si>
  <si>
    <t>python mk_project.py kb190056 "Hauterive Didier Sarl" "2x PLA35 SR" -l Merville -c France --lang FR</t>
  </si>
  <si>
    <t>RYTEC</t>
  </si>
  <si>
    <t>2xPLA35DR</t>
  </si>
  <si>
    <t>S,E</t>
  </si>
  <si>
    <t>python mk_project.py 20190455 "RYTEC" "1x PLA35 NR" -l "Burgos" -c Spain --lang S,E</t>
  </si>
  <si>
    <t>CALIVAM</t>
  </si>
  <si>
    <t>VolkswagenAG</t>
  </si>
  <si>
    <t>Wolfsburg</t>
  </si>
  <si>
    <t>Wolfsburg, Deutschland</t>
  </si>
  <si>
    <t>KALIVAM Reparation and Calibration</t>
  </si>
  <si>
    <t>D</t>
  </si>
  <si>
    <t>python mk_project.py rfa190009 "Volkswagen Sachsen GmbH" "Kalivam" -l "Zwickau" -c Deutschland --lang D</t>
  </si>
  <si>
    <t>r17,r12,r9,r21,c61</t>
  </si>
  <si>
    <t>FLOORCHECKER</t>
  </si>
  <si>
    <t>EMC, LOWC</t>
  </si>
  <si>
    <t>R17 C33</t>
  </si>
  <si>
    <t>G03060219N01_</t>
  </si>
  <si>
    <t>python mk_project.py rin190001 "Autotecno Industrizl Trading Center S.L." "calib minical  and floorcheck" -l "Barcelona" -c Spain --lang E</t>
  </si>
  <si>
    <t>ep140105.003</t>
  </si>
  <si>
    <t>PLA35SR</t>
  </si>
  <si>
    <t>r16,c55,r17</t>
  </si>
  <si>
    <t>PLA</t>
  </si>
  <si>
    <t>c100,c16,r1a</t>
  </si>
  <si>
    <t>python mk_project.py kb190090 "Hauterive Didier Sarl." "1x PLA35 SR" -l "Merville" -c France --lang F</t>
  </si>
  <si>
    <t>KB190090.001</t>
  </si>
  <si>
    <t>KB170225</t>
  </si>
  <si>
    <t>GEMCO Equipment Ltd.</t>
  </si>
  <si>
    <t>Northamptonshire</t>
  </si>
  <si>
    <t>Northamptonshire, UK</t>
  </si>
  <si>
    <t>1xPLA35DR</t>
  </si>
  <si>
    <t>MG EQUIPAMENTOS</t>
  </si>
  <si>
    <t>Portugal</t>
  </si>
  <si>
    <t>Carcavelos, Portugal</t>
  </si>
  <si>
    <t>4x PLA 35 DR</t>
  </si>
  <si>
    <t>python mk_project.py kb190085 "MG EQUIPAMENTOS" "3x PLA35 DR" -l "Carcavelos" -c  Portugal --lang EN</t>
  </si>
  <si>
    <t>VTEQ</t>
  </si>
  <si>
    <t>Castellar del Vallés</t>
  </si>
  <si>
    <t>Castellar del Vallés, Spain</t>
  </si>
  <si>
    <t>1xPLA5SRAL</t>
  </si>
  <si>
    <t>python mk_project.py kb190077 "VTEQ" "7x PLA35 DR" -l "Castellar del Valles" -c  Spain</t>
  </si>
  <si>
    <t>python mk_project.py kb190092 "GEMCO Equipment Ltd." "2x PLA35 DR" -l "Northamptonshire" -c UK --lang EN</t>
  </si>
  <si>
    <t>LVC1050</t>
  </si>
  <si>
    <t>EP160050.001</t>
  </si>
  <si>
    <t>r16,c55</t>
  </si>
  <si>
    <t>python mk_project.py IIN190001 "Siemens AG" "3xLVC1060 ACC" -l Bamberg -c Deutschland --lang DE</t>
  </si>
  <si>
    <t>python mk_project.py kb190104 "Arex Test Systems" "1x PLA35 DR" -l Lisse -c Nederland --lang NL</t>
  </si>
  <si>
    <t>python mk_project.py kb190104 "Arex Test Systems" "1x PLA35 DR" -l Lisse -c "The Nederlands" --lang E</t>
  </si>
  <si>
    <t>python mk_project.py kb190097 TUV "2x PLA5 DR" -l HANNOVER -c Deutschland --lang DE</t>
  </si>
  <si>
    <t>python mk_project.py kb190098 TUV "1x PLA5 DR" -l HANNOVER -c Deutschland --lang DE</t>
  </si>
  <si>
    <t>python mk_project.py kb190099 TUV "1x PLA5 DR" -l HANNOVER -c Deutschland --lang DE</t>
  </si>
  <si>
    <t>python mk_project.py kb190100 TUV "1x PLA5 DR" -l HANNOVER -c Deutschland --lang DE</t>
  </si>
  <si>
    <t>python mk_project.py kb190101 TUV "1x  PLA5 NR" -l HANNOVER -c Deutschland --lang DE</t>
  </si>
  <si>
    <t>python mk_project.py kb190102 TUV "1x  PLA5 NR" -l HANNOVER -c Deutschland --lang DE</t>
  </si>
  <si>
    <t>python mk_project.py kb190103 TUV "1x  PLA5 DR" -l HANNOVER -c Deutschland --lang DE</t>
  </si>
  <si>
    <t>python mk_project.py kb190112 TUV "1x  PLA5 DR" -l HANNOVER -c Deutschland --lang DE</t>
  </si>
  <si>
    <t>python mk_project.py kb190114 TUV "1x  PLA5 NR" -l HANNOVER -c Deutschland --lang DE</t>
  </si>
  <si>
    <t>RGO180001KM</t>
  </si>
  <si>
    <t>KM Oostende</t>
  </si>
  <si>
    <t>Oostende</t>
  </si>
  <si>
    <t>Oostende, Belgie</t>
  </si>
  <si>
    <t>Speedoscopes calibrations</t>
  </si>
  <si>
    <t>python mk_project.py rgo190017  "KM OOSTENDE" "1xMinical" -l Oostende  -c Belgie --lang N</t>
  </si>
  <si>
    <t>python mk_project.py rgo190015  "AIBV NV" "speedoscope candela minical" -l Zellik  -c BE --lang N</t>
  </si>
  <si>
    <t>python mk_project.py rde190003 "J.J.Comercial S.A." "Kalivam" -l "Sant Boi de Llobregat" -c Spain --lang E</t>
  </si>
  <si>
    <t>python mk_project.py rgo190016  "AIBV NV" " minical vias" -l Zellik  -c BE --lang N</t>
  </si>
  <si>
    <t>CALIB TRACE</t>
  </si>
  <si>
    <t>c61 niet</t>
  </si>
  <si>
    <t>python mk_project.py kb190157 "RYTEC" "10x PLA35 NR" -l "Burgos" -c Spain --lang S,E</t>
  </si>
  <si>
    <t>python mk_project.py 20190170 "BTC NV" "Candelameter" -l Geel -c Belgie --lang NL</t>
  </si>
  <si>
    <t>python mk_project.py 20190171 "Autoveiligheid NV" "Candelameter" -l Geel -c Belgie --lang NL</t>
  </si>
  <si>
    <t>python mk_project.py 20190154 "Declercq Gilbert" "Candelameter" -l Temse -c Belgie --lang NL</t>
  </si>
  <si>
    <t>python mk_project.py 20190434 "Roosens Transport NV" "Candelameter" -l Beveren -c Belgie --lang NL</t>
  </si>
  <si>
    <t>python mk_project.py 20190521 "L.T.R. Bvba" "Candelameter" -l Verrebroek -c Belgie --lang NL</t>
  </si>
  <si>
    <t>R0042</t>
  </si>
  <si>
    <t>python mk_project.py vth180016 "SBAT" "update cert SBAT" -l Sint-Denijs-Westrem  -c Belgie --lang NL</t>
  </si>
  <si>
    <t>python mk_project.py rgo190022 "SBAT" "speedocal" -l "Sint-Denijs-Westrem" -c Belgie --lang NL</t>
  </si>
  <si>
    <t>EP070015.002</t>
  </si>
  <si>
    <t>T:\PRODUKTIE\SOFTWARE\Public\Products\Speedocal</t>
  </si>
  <si>
    <t>python mk_project.py 20190551 "Autosecurite SCA" "speedocal" -l "Verviers" -c Belgie --lang FR</t>
  </si>
  <si>
    <t>python mk_project.py rgo190023 "SBAT" "speedoscope repair" -l Sint-Denijs-Westrem  -c Belgie --lang NL</t>
  </si>
  <si>
    <t>RMI-TEC e.K.</t>
  </si>
  <si>
    <t>Isny im Allgau</t>
  </si>
  <si>
    <t>Isny im Allgau, Deutschland</t>
  </si>
  <si>
    <t>PLA35 DR D</t>
  </si>
  <si>
    <t>python mk_project.py kb190155 "RMI-TEC e.K." "1x PLA35 NR D" -l "Isny im Allgau" -c Deutschland --lang D</t>
  </si>
  <si>
    <t>python mk_project.py kb190156 "RMI-TEC e.K." "1x PLA35 NR D" -l "Isny im Allgau" -c Deutschland --lang D</t>
  </si>
  <si>
    <t>ep1548,1</t>
  </si>
  <si>
    <t>r17 r12 r7b c61</t>
  </si>
  <si>
    <t>Skoda</t>
  </si>
  <si>
    <t>Mlada Boleslav</t>
  </si>
  <si>
    <t>Mlada Boleslav, Czech Republiek</t>
  </si>
  <si>
    <t>1x CALIVAM calibration</t>
  </si>
  <si>
    <t>python mk_project.py  RFA190004 "Skoda" "Phare Etalon calibration" -l "Mlada Boleslav" -c " Czech Republiek" --lang EN</t>
  </si>
  <si>
    <t>python mk_project.py rgo190021 "DFI" "speedoscope repair" -l Belfast  -c Ireland --lang EN</t>
  </si>
  <si>
    <t>python mk_project.py kb190159 "RYTEC" "14x PLA35 NR" -l "Burgos" -c Spain --lang S,E</t>
  </si>
  <si>
    <t>python mk_project.py kb190182 "RMI-TEC e.K." "1x PLA35 NR D" -l "Isny im Allgau" -c Deutschland --lang D</t>
  </si>
  <si>
    <t>python mk_project.py kb190183 "RMI-TEC e.K." "1x PLA35 NR D" -l "Isny im Allgau" -c Deutschland --lang D</t>
  </si>
  <si>
    <t>python mk_project.py rde190004  "Tecalemit" "minical" -l Plymouth  -c UK --lang EN</t>
  </si>
  <si>
    <t>TECALEMIT</t>
  </si>
  <si>
    <t>c147 c56 c61 c104 r17 r21 c88b c88a</t>
  </si>
  <si>
    <t>EP1923,9</t>
  </si>
  <si>
    <t>20190218</t>
  </si>
  <si>
    <t>Toyota</t>
  </si>
  <si>
    <t>Mississippi</t>
  </si>
  <si>
    <t>Mississippi, USA</t>
  </si>
  <si>
    <t>Low beam module</t>
  </si>
  <si>
    <t>python mk_project.py 20191073 "Toyota Mississippi via GATTA" "Low beam module" -l "Mississippi" -c USA --lang EN</t>
  </si>
  <si>
    <t>python mk_project.py  RFA190023 "Renault Tanger" "Phare Etalon calibration +repair" -l "Tanger" -c Maroc --lang EN</t>
  </si>
  <si>
    <t>python mk_project.py rde190006  "Tecalemit" "minical" -l Plymouth  -c UK --lang EN</t>
  </si>
  <si>
    <t>GI Industry</t>
  </si>
  <si>
    <t>Bangkok</t>
  </si>
  <si>
    <t>Bangkok, Thailand</t>
  </si>
  <si>
    <t>python mk_project.py 20191216  "GI Industry" "minical" -l Bangkok  -c Thailand --lang EN</t>
  </si>
  <si>
    <t>python mk_project.py  RFA190035 "Skoda" "Phare Etalon calibration" -l "Mlada Boleslav" -c " Czech Republiek" --lang EN</t>
  </si>
  <si>
    <t>Renault Revoz</t>
  </si>
  <si>
    <t>Novo Mesto</t>
  </si>
  <si>
    <t>Novo Mesto, Slovenja</t>
  </si>
  <si>
    <t>Reparation Phare Etalon</t>
  </si>
  <si>
    <t>EN, FR</t>
  </si>
  <si>
    <t>python mk_project.py  RFA190033 "Renault Revoz" "Phare Etalon calibration +hbm" -l "Novo Mesto" -c Slovenja --lang EN,FR</t>
  </si>
  <si>
    <t>Alpine Renault</t>
  </si>
  <si>
    <t>Dieppe</t>
  </si>
  <si>
    <t>Dieppe, France</t>
  </si>
  <si>
    <t>Phare Etalon Recalibration</t>
  </si>
  <si>
    <t>F</t>
  </si>
  <si>
    <t>python mk_project.py  RFA190026 "Alpine Renault" "Phare Etalon calibration" -l "Dieppe" -c France --lang FR</t>
  </si>
  <si>
    <t>Renault MCA</t>
  </si>
  <si>
    <t>Le Plessis - Robinson</t>
  </si>
  <si>
    <t>Le Plessis - Robinson, France</t>
  </si>
  <si>
    <t>python mk_project.py  RFA190028 "Renault MCA" "Phare Etalon calibration" -l "Le Plessis - Robinson" -c France --lang FR</t>
  </si>
  <si>
    <t>1x LVC1050APSFM + 2xLVC1050FM</t>
  </si>
  <si>
    <t>Renault do Brasil S.A.</t>
  </si>
  <si>
    <t>Brazil</t>
  </si>
  <si>
    <t>sao jose dos pinhais</t>
  </si>
  <si>
    <t>python mk_project.py  RFA190006 "RENAULT DO BRASIL S.A." "Phare Etalon calibration" -l "sao jose dos pinhais" -c Brasil --lang EN</t>
  </si>
  <si>
    <t>python mk_project.py kb190210 TUV "1x  PLA5 NR" -l HANNOVER -c Deutschland --lang DE</t>
  </si>
  <si>
    <t>python mk_project.py kb190212 TUV "1x  PLA5 NR" -l HANNOVER -c Deutschland --lang DE</t>
  </si>
  <si>
    <t>python mk_project.py kb190171 TUV "1x  PLA5 DR" -l HANNOVER -c Deutschland --lang DE</t>
  </si>
  <si>
    <t>python mk_project.py kb190173 TUV "1x  PLA5 DR" -l HANNOVER -c Deutschland --lang DE</t>
  </si>
  <si>
    <t>python mk_project.py kb190186 TUV "1x  PLA5 DR" -l HANNOVER -c Deutschland --lang DE</t>
  </si>
  <si>
    <t>python mk_project.py kb190209  "GI Industry" "minical" -l Bangkok  -c Thailand --lang EN</t>
  </si>
  <si>
    <t>python mk_project.py kb190229 TUV "1x  PLA5 DR" -l HANNOVER -c Deutschland --lang DE</t>
  </si>
  <si>
    <t>python mk_project.py kb190236 TUV "1x  PLA5 SR" -l HANNOVER -c Deutschland --lang DE</t>
  </si>
  <si>
    <t>python mk_project.py kb190237 TUV "1x  PLA5 SR" -l HANNOVER -c Deutschland --lang DE</t>
  </si>
  <si>
    <t>python mk_project.py kb190233 TUV "1x  PLA5 DR" -l HANNOVER -c Deutschland --lang DE</t>
  </si>
  <si>
    <t>python mk_project.py kb190234 TUV "1x  PLA5 DR" -l HANNOVER -c Deutschland --lang DE</t>
  </si>
  <si>
    <t>python mk_project.py kb190235 TUV "1x  PLA5 DR" -l HANNOVER -c Deutschland --lang DE</t>
  </si>
  <si>
    <t>python mk_project.py kb190220 "GEMCO Equipment Ltd." "2x PLA35 DR" -l "Northamptonshire" -c UK --lang EN</t>
  </si>
  <si>
    <t>python mk_project.py rgo190009 "Schouwingcentrum voor autos NV" "repair speedoscope + speedocal" -l Geel  -c Belgie --lang NL</t>
  </si>
  <si>
    <t>python mk_project.py rgo190030 "BTC NV" "repair speedoscope" -l Geel  -c Belgie --lang NL</t>
  </si>
  <si>
    <t>tabel openoffice achteraan de word inplakken</t>
  </si>
  <si>
    <t>python mk_project.py kb190230 "RMI-TEC e.K." "5x PLA35 NR D" -l "Isny im Allgau" -c Deutschland --lang D</t>
  </si>
  <si>
    <t>python mk_project.py kb190231 "RMI-TEC e.K." "5x PLA35 NR D" -l "Isny im Allgau" -c Deutschland --lang D</t>
  </si>
  <si>
    <t>python mk_project.py kb190239 "Vietnet" "8x PLA35 DR" -l "Long Binh Tan - Bien Hoa" -c Vietnam --lang EN</t>
  </si>
  <si>
    <t>python mk_project.py rgo190035 "KM Oostende" "repair speedoscope" -l Oostende  -c Belgie --lang NL</t>
  </si>
  <si>
    <t>python mk_project.py rgo190036 "KM Oostende" "repair speedoscope" -l Oostende  -c Belgie --lang NL</t>
  </si>
  <si>
    <t>python mk_project.py kb190256 TUV "1x  PLA5 NR" -l HANNOVER -c Deutschland --lang DE</t>
  </si>
  <si>
    <t>MPCBL</t>
  </si>
  <si>
    <t>EP170091,001</t>
  </si>
  <si>
    <t>emc,low</t>
  </si>
  <si>
    <t>R17</t>
  </si>
  <si>
    <t>mpc</t>
  </si>
  <si>
    <t>20170740</t>
  </si>
  <si>
    <t>CAR-O-LINER</t>
  </si>
  <si>
    <t>Sweden</t>
  </si>
  <si>
    <t>Katrineholm, Sweden</t>
  </si>
  <si>
    <t>3x Target plate</t>
  </si>
  <si>
    <t>python mk_project.py  20191219 "CAR-O-LINER" "Target plate" -l "Katrineholm" -c " Sweden" --lang EN</t>
  </si>
  <si>
    <t>python mk_project.py rfa190042  "Volvo Group Belgium N. V." "minical" -l Gent  -c Belgie --lang NL</t>
  </si>
  <si>
    <t>python mk_project.py  RFA190041 "Skoda" "Phare Etalon calibration" -l "Mlada Boleslav" -c " Czech Republiek" --lang EN</t>
  </si>
  <si>
    <t>python mk_project.py rfa190043 "Daimler AG" "repair luminoscope LM6" -l "Worth Am Rhein"  -c Deutschland --lang D</t>
  </si>
  <si>
    <t>EP130030.010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</si>
</sst>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SourceSansPro"/>
    </font>
    <font>
      <sz val="10"/>
      <color rgb="FF000000"/>
      <name val="Calibri"/>
      <family val="2"/>
      <scheme val="minor"/>
    </font>
    <font>
      <sz val="8"/>
      <color rgb="FF99999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SourceSansPro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Arial1"/>
    </font>
    <font>
      <sz val="10"/>
      <color rgb="FF000000"/>
      <name val="Arial1"/>
    </font>
    <font>
      <sz val="11"/>
      <color theme="1"/>
      <name val="Calibri"/>
      <family val="2"/>
      <scheme val="minor"/>
    </font>
    <font>
      <i/>
      <sz val="11"/>
      <color rgb="FF000000"/>
      <name val="Calibri"/>
      <family val="2"/>
    </font>
    <font>
      <b/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4" fillId="0" borderId="0" applyNumberFormat="0" applyFill="0" applyBorder="0" applyAlignment="0" applyProtection="0"/>
    <xf numFmtId="0" fontId="15" fillId="0" borderId="0"/>
    <xf numFmtId="0" fontId="17" fillId="10" borderId="0"/>
    <xf numFmtId="0" fontId="17" fillId="0" borderId="0"/>
  </cellStyleXfs>
  <cellXfs count="159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/>
    <xf numFmtId="0" fontId="0" fillId="4" borderId="0" xfId="0" applyFill="1" applyAlignment="1">
      <alignment wrapText="1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vertical="center"/>
    </xf>
    <xf numFmtId="0" fontId="0" fillId="0" borderId="2" xfId="0" applyBorder="1" applyAlignment="1">
      <alignment horizontal="right"/>
    </xf>
    <xf numFmtId="0" fontId="10" fillId="6" borderId="3" xfId="0" applyFont="1" applyFill="1" applyBorder="1" applyAlignment="1">
      <alignment horizontal="right"/>
    </xf>
    <xf numFmtId="0" fontId="0" fillId="7" borderId="3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3" xfId="0" quotePrefix="1" applyFill="1" applyBorder="1"/>
    <xf numFmtId="0" fontId="0" fillId="0" borderId="4" xfId="0" applyBorder="1" applyAlignment="1">
      <alignment horizontal="right"/>
    </xf>
    <xf numFmtId="0" fontId="0" fillId="0" borderId="4" xfId="0" applyBorder="1"/>
    <xf numFmtId="0" fontId="10" fillId="6" borderId="3" xfId="0" applyFont="1" applyFill="1" applyBorder="1" applyAlignment="1">
      <alignment horizontal="center"/>
    </xf>
    <xf numFmtId="16" fontId="0" fillId="7" borderId="3" xfId="0" applyNumberFormat="1" applyFill="1" applyBorder="1"/>
    <xf numFmtId="14" fontId="0" fillId="7" borderId="3" xfId="0" applyNumberFormat="1" applyFill="1" applyBorder="1"/>
    <xf numFmtId="0" fontId="9" fillId="5" borderId="0" xfId="0" applyFont="1" applyFill="1"/>
    <xf numFmtId="0" fontId="11" fillId="5" borderId="0" xfId="0" applyFont="1" applyFill="1"/>
    <xf numFmtId="0" fontId="0" fillId="0" borderId="0" xfId="0"/>
    <xf numFmtId="0" fontId="0" fillId="0" borderId="0" xfId="0"/>
    <xf numFmtId="0" fontId="12" fillId="5" borderId="3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13" fillId="7" borderId="3" xfId="0" applyFont="1" applyFill="1" applyBorder="1"/>
    <xf numFmtId="0" fontId="0" fillId="0" borderId="0" xfId="0"/>
    <xf numFmtId="0" fontId="14" fillId="0" borderId="0" xfId="1"/>
    <xf numFmtId="0" fontId="0" fillId="0" borderId="0" xfId="0"/>
    <xf numFmtId="0" fontId="0" fillId="0" borderId="0" xfId="0"/>
    <xf numFmtId="0" fontId="0" fillId="0" borderId="5" xfId="0" applyBorder="1"/>
    <xf numFmtId="0" fontId="12" fillId="5" borderId="3" xfId="0" applyFont="1" applyFill="1" applyBorder="1"/>
    <xf numFmtId="0" fontId="0" fillId="0" borderId="6" xfId="0" applyBorder="1"/>
    <xf numFmtId="0" fontId="12" fillId="5" borderId="7" xfId="0" applyFont="1" applyFill="1" applyBorder="1"/>
    <xf numFmtId="0" fontId="12" fillId="8" borderId="3" xfId="0" applyFont="1" applyFill="1" applyBorder="1" applyAlignment="1">
      <alignment horizontal="right"/>
    </xf>
    <xf numFmtId="0" fontId="9" fillId="5" borderId="1" xfId="0" applyFont="1" applyFill="1" applyBorder="1"/>
    <xf numFmtId="0" fontId="9" fillId="5" borderId="8" xfId="0" applyFont="1" applyFill="1" applyBorder="1"/>
    <xf numFmtId="0" fontId="12" fillId="6" borderId="3" xfId="0" applyFont="1" applyFill="1" applyBorder="1" applyAlignment="1">
      <alignment horizontal="right"/>
    </xf>
    <xf numFmtId="0" fontId="0" fillId="9" borderId="8" xfId="0" applyFill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6" fillId="0" borderId="0" xfId="2" applyFont="1" applyAlignment="1">
      <alignment horizontal="left" vertical="center"/>
    </xf>
    <xf numFmtId="0" fontId="0" fillId="0" borderId="0" xfId="0"/>
    <xf numFmtId="0" fontId="0" fillId="7" borderId="6" xfId="0" applyFill="1" applyBorder="1"/>
    <xf numFmtId="0" fontId="0" fillId="9" borderId="8" xfId="0" quotePrefix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 applyAlignment="1">
      <alignment horizontal="left"/>
    </xf>
    <xf numFmtId="0" fontId="0" fillId="0" borderId="0" xfId="0"/>
    <xf numFmtId="0" fontId="17" fillId="0" borderId="0" xfId="3" applyFill="1"/>
    <xf numFmtId="0" fontId="17" fillId="0" borderId="0" xfId="3" applyFill="1" applyAlignment="1">
      <alignment horizontal="right"/>
    </xf>
    <xf numFmtId="0" fontId="10" fillId="6" borderId="3" xfId="3" applyFont="1" applyFill="1" applyBorder="1" applyAlignment="1">
      <alignment horizontal="right"/>
    </xf>
    <xf numFmtId="0" fontId="17" fillId="7" borderId="6" xfId="3" applyFill="1" applyBorder="1"/>
    <xf numFmtId="0" fontId="17" fillId="7" borderId="3" xfId="3" applyFill="1" applyBorder="1"/>
    <xf numFmtId="0" fontId="10" fillId="6" borderId="10" xfId="3" applyFont="1" applyFill="1" applyBorder="1" applyAlignment="1">
      <alignment horizontal="center"/>
    </xf>
    <xf numFmtId="16" fontId="17" fillId="7" borderId="3" xfId="3" applyNumberFormat="1" applyFill="1" applyBorder="1"/>
    <xf numFmtId="14" fontId="17" fillId="7" borderId="3" xfId="3" applyNumberFormat="1" applyFill="1" applyBorder="1"/>
    <xf numFmtId="0" fontId="9" fillId="5" borderId="9" xfId="3" applyFont="1" applyFill="1" applyBorder="1"/>
    <xf numFmtId="0" fontId="11" fillId="5" borderId="9" xfId="3" applyFont="1" applyFill="1" applyBorder="1"/>
    <xf numFmtId="0" fontId="9" fillId="5" borderId="8" xfId="3" applyFont="1" applyFill="1" applyBorder="1"/>
    <xf numFmtId="0" fontId="10" fillId="6" borderId="3" xfId="3" applyFont="1" applyFill="1" applyBorder="1"/>
    <xf numFmtId="0" fontId="17" fillId="6" borderId="3" xfId="3" applyFill="1" applyBorder="1"/>
    <xf numFmtId="0" fontId="17" fillId="6" borderId="1" xfId="3" applyFill="1" applyBorder="1"/>
    <xf numFmtId="0" fontId="17" fillId="9" borderId="8" xfId="3" applyFill="1" applyBorder="1" applyAlignment="1">
      <alignment horizontal="right"/>
    </xf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3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7" borderId="3" xfId="3" applyFont="1" applyFill="1" applyBorder="1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11" borderId="0" xfId="0" applyFont="1" applyFill="1"/>
    <xf numFmtId="0" fontId="0" fillId="11" borderId="3" xfId="0" applyFill="1" applyBorder="1"/>
    <xf numFmtId="0" fontId="0" fillId="0" borderId="0" xfId="0"/>
    <xf numFmtId="0" fontId="9" fillId="5" borderId="0" xfId="0" applyFont="1" applyFill="1" applyAlignment="1"/>
    <xf numFmtId="0" fontId="0" fillId="0" borderId="0" xfId="0" applyAlignme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9" fillId="5" borderId="1" xfId="0" applyFont="1" applyFill="1" applyBorder="1" applyAlignment="1">
      <alignment horizontal="right"/>
    </xf>
    <xf numFmtId="0" fontId="0" fillId="0" borderId="0" xfId="0"/>
    <xf numFmtId="0" fontId="9" fillId="5" borderId="0" xfId="0" applyFont="1" applyFill="1" applyAlignment="1">
      <alignment horizontal="righ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9" fillId="5" borderId="0" xfId="0" applyFont="1" applyFill="1" applyAlignment="1">
      <alignment horizontal="right"/>
    </xf>
    <xf numFmtId="0" fontId="0" fillId="0" borderId="0" xfId="0"/>
    <xf numFmtId="0" fontId="9" fillId="5" borderId="1" xfId="0" applyFont="1" applyFill="1" applyBorder="1" applyAlignment="1">
      <alignment horizontal="right"/>
    </xf>
    <xf numFmtId="0" fontId="9" fillId="5" borderId="1" xfId="3" applyFont="1" applyFill="1" applyBorder="1" applyAlignment="1">
      <alignment horizontal="right"/>
    </xf>
    <xf numFmtId="0" fontId="9" fillId="5" borderId="9" xfId="3" applyFont="1" applyFill="1" applyBorder="1" applyAlignment="1">
      <alignment horizontal="right"/>
    </xf>
    <xf numFmtId="0" fontId="9" fillId="5" borderId="8" xfId="3" applyFont="1" applyFill="1" applyBorder="1" applyAlignment="1">
      <alignment horizontal="right"/>
    </xf>
    <xf numFmtId="0" fontId="17" fillId="7" borderId="3" xfId="3" quotePrefix="1" applyFill="1" applyBorder="1" applyAlignment="1">
      <alignment horizontal="left"/>
    </xf>
    <xf numFmtId="0" fontId="17" fillId="7" borderId="3" xfId="3" applyFill="1" applyBorder="1" applyAlignment="1">
      <alignment horizontal="left"/>
    </xf>
    <xf numFmtId="0" fontId="0" fillId="0" borderId="9" xfId="0" applyBorder="1"/>
    <xf numFmtId="0" fontId="9" fillId="5" borderId="9" xfId="0" applyFont="1" applyFill="1" applyBorder="1" applyAlignment="1">
      <alignment horizontal="right"/>
    </xf>
    <xf numFmtId="0" fontId="9" fillId="5" borderId="8" xfId="0" applyFont="1" applyFill="1" applyBorder="1" applyAlignment="1">
      <alignment horizontal="right"/>
    </xf>
  </cellXfs>
  <cellStyles count="5">
    <cellStyle name="Hyperlink" xfId="1" builtinId="8"/>
    <cellStyle name="Ongeldig 2" xfId="4"/>
    <cellStyle name="Standaard" xfId="0" builtinId="0"/>
    <cellStyle name="Standaard 2" xfId="2"/>
    <cellStyle name="Standaard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externalLink" Target="externalLinks/externalLink6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981075</xdr:colOff>
          <xdr:row>2</xdr:row>
          <xdr:rowOff>9525</xdr:rowOff>
        </xdr:from>
        <xdr:to>
          <xdr:col>1</xdr:col>
          <xdr:colOff>2495550</xdr:colOff>
          <xdr:row>5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57150</xdr:rowOff>
        </xdr:from>
        <xdr:to>
          <xdr:col>0</xdr:col>
          <xdr:colOff>962025</xdr:colOff>
          <xdr:row>3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28575</xdr:rowOff>
        </xdr:from>
        <xdr:to>
          <xdr:col>0</xdr:col>
          <xdr:colOff>942975</xdr:colOff>
          <xdr:row>5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18</xdr:row>
          <xdr:rowOff>114300</xdr:rowOff>
        </xdr:from>
        <xdr:to>
          <xdr:col>0</xdr:col>
          <xdr:colOff>1800225</xdr:colOff>
          <xdr:row>20</xdr:row>
          <xdr:rowOff>38100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0</xdr:rowOff>
        </xdr:from>
        <xdr:to>
          <xdr:col>1</xdr:col>
          <xdr:colOff>733425</xdr:colOff>
          <xdr:row>10</xdr:row>
          <xdr:rowOff>114300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19</xdr:row>
          <xdr:rowOff>95250</xdr:rowOff>
        </xdr:from>
        <xdr:to>
          <xdr:col>1</xdr:col>
          <xdr:colOff>190500</xdr:colOff>
          <xdr:row>20</xdr:row>
          <xdr:rowOff>161925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81</xdr:row>
      <xdr:rowOff>41275</xdr:rowOff>
    </xdr:from>
    <xdr:to>
      <xdr:col>1</xdr:col>
      <xdr:colOff>3057526</xdr:colOff>
      <xdr:row>95</xdr:row>
      <xdr:rowOff>22595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2853650"/>
          <a:ext cx="6781800" cy="2648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3295650</xdr:colOff>
      <xdr:row>1</xdr:row>
      <xdr:rowOff>120208</xdr:rowOff>
    </xdr:from>
    <xdr:to>
      <xdr:col>9</xdr:col>
      <xdr:colOff>5524500</xdr:colOff>
      <xdr:row>20</xdr:row>
      <xdr:rowOff>14661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650" y="310708"/>
          <a:ext cx="2228850" cy="35139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20170740%20-%20CAR-O-LINER_2xLDW_backlight\20170740%20-%20certtoo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RFA180024%20-%20Skoda_1x%20CALIVAM%20calibration\RFA180024%20-%20certtoo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IDE160007%20-%20GATTA_2x%20LVC%201050%20TOYOTA%20WOODSTOCK\IDE160007%20-%20certtoo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20190218%20-%20Toyota%20Mississippi%20via%20GATTA_Low%20beam%20module\20190218%20-%20certtoo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KB190090%20-%20Hauterive%20Didier%20Sarl_1x%20PLA35%20SR\KB190090%20-%20certtool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NAP01\Temporary\_DOC\RFA190043%20-%20Daimler%20AG_repair%20luminoscope%20LM6\RFA190043%20-%20cert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Blad1"/>
      <sheetName val="Blad2"/>
    </sheetNames>
    <sheetDataSet>
      <sheetData sheetId="0">
        <row r="102">
          <cell r="C102" t="str">
            <v>ACCMFKPL</v>
          </cell>
          <cell r="D102" t="str">
            <v>flatness</v>
          </cell>
          <cell r="E102" t="str">
            <v>xz_angle</v>
          </cell>
          <cell r="F102" t="str">
            <v>xy_angle</v>
          </cell>
          <cell r="G102" t="str">
            <v xml:space="preserve"> </v>
          </cell>
          <cell r="H102" t="str">
            <v xml:space="preserve"> </v>
          </cell>
          <cell r="I102" t="str">
            <v xml:space="preserve"> </v>
          </cell>
          <cell r="J102" t="str">
            <v>Specify the value of "Plane B Flatness-Actual" expressed in mm</v>
          </cell>
          <cell r="K102" t="str">
            <v>Specify the value of "Angle 2 AngleXZ-Nom" expressed in decimal degrees</v>
          </cell>
          <cell r="L102" t="str">
            <v>Specify the value of "Angle 2 AngleXY-Nom" expressed in decimal degrees</v>
          </cell>
        </row>
        <row r="103">
          <cell r="C103" t="str">
            <v>CALIVAM</v>
          </cell>
          <cell r="D103" t="str">
            <v>laser_h</v>
          </cell>
          <cell r="E103" t="str">
            <v>laser_v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  <cell r="I103" t="str">
            <v xml:space="preserve"> </v>
          </cell>
          <cell r="J103" t="str">
            <v>Specify the value of "Eindcontrole laser links/rechts" expressed in mm/25m</v>
          </cell>
          <cell r="K103" t="str">
            <v>Specify the value of "Eindcontrole laser op/neer" expressed in mm/25m</v>
          </cell>
        </row>
        <row r="104">
          <cell r="C104" t="str">
            <v>CANDELAMETER</v>
          </cell>
          <cell r="D104" t="str">
            <v>etal_1</v>
          </cell>
          <cell r="E104" t="str">
            <v>etal_2</v>
          </cell>
          <cell r="F104" t="str">
            <v>etal_3</v>
          </cell>
          <cell r="G104" t="str">
            <v xml:space="preserve"> </v>
          </cell>
          <cell r="H104" t="str">
            <v xml:space="preserve"> </v>
          </cell>
          <cell r="I104" t="str">
            <v xml:space="preserve"> </v>
          </cell>
          <cell r="J104" t="str">
            <v>Specify the value of "Lamp 1" expressed in candela</v>
          </cell>
          <cell r="K104" t="str">
            <v>Specify the value of "Lamp 2" expressed in candela</v>
          </cell>
          <cell r="L104" t="str">
            <v>Specify the value of "Lamp 3" expressed in candela</v>
          </cell>
        </row>
        <row r="105">
          <cell r="C105" t="str">
            <v>HBM</v>
          </cell>
          <cell r="D105" t="str">
            <v>project_code</v>
          </cell>
          <cell r="E105" t="str">
            <v>csv_file</v>
          </cell>
          <cell r="F105" t="str">
            <v xml:space="preserve"> </v>
          </cell>
          <cell r="G105" t="str">
            <v xml:space="preserve"> </v>
          </cell>
          <cell r="H105" t="str">
            <v xml:space="preserve"> </v>
          </cell>
          <cell r="I105" t="str">
            <v xml:space="preserve"> </v>
          </cell>
          <cell r="J105" t="str">
            <v>Project NRS number</v>
          </cell>
          <cell r="K105" t="str">
            <v>Name of the CSV file containing the data</v>
          </cell>
        </row>
        <row r="106">
          <cell r="C106" t="str">
            <v>MINICAL</v>
          </cell>
          <cell r="D106" t="str">
            <v>baseplate_h</v>
          </cell>
          <cell r="E106" t="str">
            <v>laser_h</v>
          </cell>
          <cell r="F106" t="str">
            <v>laser_v</v>
          </cell>
          <cell r="G106" t="str">
            <v xml:space="preserve"> </v>
          </cell>
          <cell r="H106" t="str">
            <v xml:space="preserve"> </v>
          </cell>
          <cell r="I106" t="str">
            <v xml:space="preserve"> </v>
          </cell>
          <cell r="J106" t="str">
            <v>Specify the value of "Controle horizontaliteit langsvlak" expressed in mm/10m</v>
          </cell>
          <cell r="K106" t="str">
            <v>Specify the value of "Controle calibratie L/R" (once divided by 2) expressed in mm/25m</v>
          </cell>
          <cell r="L106" t="str">
            <v>Specify the value of "Controle calibratie U/D" expressed in mm/25m</v>
          </cell>
        </row>
        <row r="107">
          <cell r="C107" t="str">
            <v>MIRRMOD</v>
          </cell>
          <cell r="D107" t="str">
            <v>perp</v>
          </cell>
          <cell r="E107" t="str">
            <v>flat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  <cell r="I107" t="str">
            <v xml:space="preserve"> </v>
          </cell>
          <cell r="J107" t="str">
            <v>Specify the value of "Controle speling op de AS..." (mm/10m)</v>
          </cell>
          <cell r="K107" t="str">
            <v>Specify the value on "Oppervlaktecontrole: vlakheid spiegel..." (mm/15m)</v>
          </cell>
        </row>
        <row r="108">
          <cell r="C108" t="str">
            <v>MPC</v>
          </cell>
          <cell r="D108" t="str">
            <v>dev_h</v>
          </cell>
          <cell r="E108" t="str">
            <v>width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  <cell r="I108" t="str">
            <v xml:space="preserve"> </v>
          </cell>
          <cell r="J108" t="str">
            <v>Specify the value of "Controle horizontaliteit opdruk..." (mm)</v>
          </cell>
          <cell r="K108" t="str">
            <v>Specify the width of the MPC plate (cm)</v>
          </cell>
        </row>
        <row r="109">
          <cell r="C109" t="str">
            <v>PHARE_ETALON</v>
          </cell>
          <cell r="D109" t="str">
            <v>laser_h</v>
          </cell>
          <cell r="E109" t="str">
            <v>laser_v</v>
          </cell>
          <cell r="F109" t="str">
            <v>lb_115</v>
          </cell>
          <cell r="G109" t="str">
            <v>lb_165</v>
          </cell>
          <cell r="H109" t="str">
            <v xml:space="preserve"> </v>
          </cell>
          <cell r="I109" t="str">
            <v xml:space="preserve"> </v>
          </cell>
          <cell r="J109" t="str">
            <v>Specify the value of "Controle calibratie L/R" expressed in mm/25m</v>
          </cell>
          <cell r="K109" t="str">
            <v>Specify the value of "Controle calibratie U/D" expressed in mm/25m</v>
          </cell>
          <cell r="L109" t="str">
            <v>Specify the value of "afw. UD for -1,15%" expressed in mm/10m</v>
          </cell>
          <cell r="M109" t="str">
            <v>Specify the value of "afw. UD for -1,65%" expressed in mm/10m</v>
          </cell>
        </row>
        <row r="110">
          <cell r="C110" t="str">
            <v>UNICAL</v>
          </cell>
          <cell r="D110" t="str">
            <v>laser_h</v>
          </cell>
          <cell r="E110" t="str">
            <v>laser_v</v>
          </cell>
          <cell r="F110" t="str">
            <v>lb_115</v>
          </cell>
          <cell r="G110" t="str">
            <v xml:space="preserve"> </v>
          </cell>
          <cell r="H110" t="str">
            <v xml:space="preserve"> </v>
          </cell>
          <cell r="I110" t="str">
            <v xml:space="preserve"> </v>
          </cell>
          <cell r="J110" t="str">
            <v>Specify the value of "Controle calibratie L/R" expressed in mm/25m</v>
          </cell>
          <cell r="K110" t="str">
            <v>Specify the value of "Controle calibratie U/D" expressed in mm/25m</v>
          </cell>
          <cell r="L110" t="str">
            <v>Specify the value of "afw. UD for -1,15%" expressed in mm/10m</v>
          </cell>
        </row>
        <row r="111">
          <cell r="C111" t="str">
            <v>UNICAL_HB</v>
          </cell>
          <cell r="D111" t="str">
            <v>laser_h</v>
          </cell>
          <cell r="E111" t="str">
            <v>laser_v</v>
          </cell>
          <cell r="F111" t="str">
            <v>lowb_ud</v>
          </cell>
          <cell r="G111" t="str">
            <v>hib_ud</v>
          </cell>
          <cell r="H111" t="str">
            <v xml:space="preserve"> </v>
          </cell>
          <cell r="I111" t="str">
            <v xml:space="preserve"> </v>
          </cell>
          <cell r="J111" t="str">
            <v>Specify the value of "Controle calibratie L/R" expressed in mm/25m</v>
          </cell>
          <cell r="K111" t="str">
            <v>Specify the value of "Controle calibratie U/D" expressed in mm/25m</v>
          </cell>
          <cell r="L111" t="str">
            <v>WRONG DESCRIPTION: Specify the value of "afw. UD for -1,15%" expressed in mm/10m</v>
          </cell>
          <cell r="M111" t="str">
            <v>WRONG DESCRIPTION: Specify the value of "afw. UD for -1,65%" expressed in mm/10m</v>
          </cell>
        </row>
        <row r="112">
          <cell r="C112" t="str">
            <v xml:space="preserve"> </v>
          </cell>
          <cell r="D112" t="str">
            <v xml:space="preserve"> </v>
          </cell>
          <cell r="E112" t="str">
            <v xml:space="preserve"> 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I112" t="str">
            <v xml:space="preserve"> </v>
          </cell>
        </row>
        <row r="113"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  <cell r="I113" t="str">
            <v xml:space="preserve"> </v>
          </cell>
        </row>
        <row r="114"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 t="str">
            <v xml:space="preserve"> </v>
          </cell>
        </row>
        <row r="115"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  <cell r="I115" t="str">
            <v xml:space="preserve"> </v>
          </cell>
        </row>
        <row r="116">
          <cell r="C116" t="str">
            <v xml:space="preserve"> </v>
          </cell>
          <cell r="D116" t="str">
            <v xml:space="preserve"> </v>
          </cell>
          <cell r="E116" t="str">
            <v xml:space="preserve"> 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  <cell r="I116" t="str">
            <v xml:space="preserve"> </v>
          </cell>
        </row>
        <row r="117">
          <cell r="C117" t="str">
            <v xml:space="preserve"> </v>
          </cell>
          <cell r="D117" t="str">
            <v xml:space="preserve"> </v>
          </cell>
          <cell r="E117" t="str">
            <v xml:space="preserve"> 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  <cell r="I117" t="str">
            <v xml:space="preserve"> </v>
          </cell>
        </row>
        <row r="118">
          <cell r="C118" t="str">
            <v xml:space="preserve"> </v>
          </cell>
          <cell r="D118" t="str">
            <v xml:space="preserve"> </v>
          </cell>
          <cell r="E118" t="str">
            <v xml:space="preserve"> </v>
          </cell>
          <cell r="F118" t="str">
            <v xml:space="preserve"> </v>
          </cell>
          <cell r="G118" t="str">
            <v xml:space="preserve"> </v>
          </cell>
          <cell r="H118" t="str">
            <v xml:space="preserve"> </v>
          </cell>
          <cell r="I118" t="str">
            <v xml:space="preserve"> </v>
          </cell>
        </row>
        <row r="119">
          <cell r="C119" t="str">
            <v xml:space="preserve"> </v>
          </cell>
          <cell r="D119" t="str">
            <v xml:space="preserve"> </v>
          </cell>
          <cell r="E119" t="str">
            <v xml:space="preserve"> </v>
          </cell>
          <cell r="F119" t="str">
            <v xml:space="preserve"> </v>
          </cell>
          <cell r="G119" t="str">
            <v xml:space="preserve"> </v>
          </cell>
          <cell r="H119" t="str">
            <v xml:space="preserve"> </v>
          </cell>
          <cell r="I119" t="str">
            <v xml:space="preserve"> </v>
          </cell>
        </row>
        <row r="120">
          <cell r="C120" t="str">
            <v xml:space="preserve"> </v>
          </cell>
          <cell r="D120" t="str">
            <v xml:space="preserve"> </v>
          </cell>
          <cell r="E120" t="str">
            <v xml:space="preserve"> </v>
          </cell>
          <cell r="F120" t="str">
            <v xml:space="preserve"> </v>
          </cell>
          <cell r="G120" t="str">
            <v xml:space="preserve"> </v>
          </cell>
          <cell r="H120" t="str">
            <v xml:space="preserve"> </v>
          </cell>
          <cell r="I120" t="str">
            <v xml:space="preserve"> 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 xml:space="preserve"> </v>
          </cell>
          <cell r="F105" t="str">
            <v xml:space="preserve"> </v>
          </cell>
          <cell r="G105" t="str">
            <v xml:space="preserve"> </v>
          </cell>
          <cell r="H105" t="str">
            <v xml:space="preserve"> 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of "afw. LR Low Beam" expressed in mm/10m</v>
          </cell>
          <cell r="E111" t="str">
            <v>lb_v::Specify the value of "afw. UD Low Beam" expressed in mm/10m</v>
          </cell>
          <cell r="F111" t="str">
            <v>left_v::Specify the value of "Matrix Module/Left Verticality" expressed in mm/25m</v>
          </cell>
          <cell r="G111" t="str">
            <v>right_v::Specify the value of "Matrix Module/Right Verticality" expressed in mm/25m</v>
          </cell>
          <cell r="H111" t="str">
            <v>position_lr::Specify the value of "Matrix Module/Controle Symmetrie L/R" expressed in mm/10m</v>
          </cell>
          <cell r="I111" t="str">
            <v>position_ud::Specify the value of "Matrix Module/Controle 2/3 up" expressed in mm/10m</v>
          </cell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</row>
        <row r="113">
          <cell r="A113" t="str">
            <v>REFLAMP</v>
          </cell>
          <cell r="B113" t="str">
            <v>lb_000::Specify the value of "afw. Groen LED for 0,00%" expressed in mm/10m</v>
          </cell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UNICAL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lb_115::Specify the value of "afw. UD for -1,15%" expressed in mm/10m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UNICAL_HB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lowb_ud::WRONG DESCRIPTION: Specify the value of "afw. UD for -1,15%" expressed in mm/10m</v>
          </cell>
          <cell r="E115" t="str">
            <v>hib_ud::WRONG DESCRIPTION: Specify the value of "afw. UD for -1,65%" expressed in mm/10m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DE160007.001"/>
      <sheetName val="IDE160007.002"/>
    </sheetNames>
    <sheetDataSet>
      <sheetData sheetId="0">
        <row r="4">
          <cell r="B4" t="str">
            <v>IDE160007</v>
          </cell>
        </row>
        <row r="102">
          <cell r="C102" t="str">
            <v>CALIVAM</v>
          </cell>
          <cell r="D102" t="str">
            <v>laser_h</v>
          </cell>
          <cell r="E102" t="str">
            <v>laser_v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  <cell r="I102" t="str">
            <v xml:space="preserve"> </v>
          </cell>
          <cell r="J102" t="str">
            <v>Specify the value of "Eindcontrole laser links/rechts" expressed in mm/25m</v>
          </cell>
          <cell r="K102" t="str">
            <v>Specify the value of "Eindcontrole laser op/neer" expressed in mm/25m</v>
          </cell>
        </row>
        <row r="103">
          <cell r="C103" t="str">
            <v>CANDELAMETER</v>
          </cell>
          <cell r="D103" t="str">
            <v>etal_1</v>
          </cell>
          <cell r="E103" t="str">
            <v>etal_2</v>
          </cell>
          <cell r="F103" t="str">
            <v>etal_3</v>
          </cell>
          <cell r="G103" t="str">
            <v xml:space="preserve"> </v>
          </cell>
          <cell r="H103" t="str">
            <v xml:space="preserve"> </v>
          </cell>
          <cell r="I103" t="str">
            <v xml:space="preserve"> </v>
          </cell>
          <cell r="J103" t="str">
            <v>Specify the value of "Lamp 1" expressed in candela</v>
          </cell>
          <cell r="K103" t="str">
            <v>Specify the value of "Lamp 2" expressed in candela</v>
          </cell>
          <cell r="L103" t="str">
            <v>Specify the value of "Lamp 3" expressed in candela</v>
          </cell>
        </row>
        <row r="104">
          <cell r="C104" t="str">
            <v>HBM</v>
          </cell>
          <cell r="D104" t="str">
            <v>project_code</v>
          </cell>
          <cell r="E104" t="str">
            <v>csv_file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  <cell r="I104" t="str">
            <v xml:space="preserve"> </v>
          </cell>
          <cell r="J104" t="str">
            <v>Project NRS number</v>
          </cell>
          <cell r="K104" t="str">
            <v>Name of the CSV file containing the data</v>
          </cell>
        </row>
        <row r="105">
          <cell r="C105" t="str">
            <v>MINICAL</v>
          </cell>
          <cell r="D105" t="str">
            <v>baseplate_h</v>
          </cell>
          <cell r="E105" t="str">
            <v>laser_h</v>
          </cell>
          <cell r="F105" t="str">
            <v>laser_v</v>
          </cell>
          <cell r="G105" t="str">
            <v xml:space="preserve"> </v>
          </cell>
          <cell r="H105" t="str">
            <v xml:space="preserve"> </v>
          </cell>
          <cell r="I105" t="str">
            <v xml:space="preserve"> </v>
          </cell>
          <cell r="J105" t="str">
            <v>Specify the value of "Controle horizontaliteit langsvlak" expressed in mm/10m</v>
          </cell>
          <cell r="K105" t="str">
            <v>Specify the value of "Controle calibratie L/R" (once divided by 2) expressed in mm/25m</v>
          </cell>
          <cell r="L105" t="str">
            <v>Specify the value of "Controle calibratie U/D" expressed in mm/25m</v>
          </cell>
        </row>
        <row r="106">
          <cell r="C106" t="str">
            <v>MPC</v>
          </cell>
          <cell r="D106" t="str">
            <v>dev_h (mm)</v>
          </cell>
          <cell r="E106" t="str">
            <v>width (cm)</v>
          </cell>
          <cell r="F106" t="str">
            <v xml:space="preserve"> </v>
          </cell>
          <cell r="G106" t="str">
            <v xml:space="preserve"> </v>
          </cell>
          <cell r="H106" t="str">
            <v xml:space="preserve"> </v>
          </cell>
          <cell r="I106" t="str">
            <v xml:space="preserve"> </v>
          </cell>
          <cell r="J106" t="str">
            <v>Specify the value of "Controle horizontaliteit opdruk..." (mm)</v>
          </cell>
          <cell r="K106" t="str">
            <v>Specify the width of the MPC plate (cm)</v>
          </cell>
        </row>
        <row r="107">
          <cell r="C107" t="str">
            <v>PHARE_ETALON</v>
          </cell>
          <cell r="D107" t="str">
            <v>laser_h</v>
          </cell>
          <cell r="E107" t="str">
            <v>laser_v</v>
          </cell>
          <cell r="F107" t="str">
            <v>lb_115</v>
          </cell>
          <cell r="G107" t="str">
            <v>lb_165</v>
          </cell>
          <cell r="H107" t="str">
            <v xml:space="preserve"> </v>
          </cell>
          <cell r="I107" t="str">
            <v xml:space="preserve"> </v>
          </cell>
          <cell r="J107" t="str">
            <v>Specify the value of "Controle calibratie L/R" expressed in mm/25m</v>
          </cell>
          <cell r="K107" t="str">
            <v>Specify the value of "Controle calibratie U/D" expressed in mm/25m</v>
          </cell>
          <cell r="L107" t="str">
            <v>Specify the value of "afw. UD for -1,15%" expressed in mm/10m</v>
          </cell>
          <cell r="M107" t="str">
            <v>Specify the value of "afw. UD for -1,65%" expressed in mm/10m</v>
          </cell>
        </row>
        <row r="108">
          <cell r="C108" t="str">
            <v>UNICAL</v>
          </cell>
          <cell r="D108" t="str">
            <v>laser_h</v>
          </cell>
          <cell r="E108" t="str">
            <v>laser_v</v>
          </cell>
          <cell r="F108" t="str">
            <v>lb_115</v>
          </cell>
          <cell r="G108" t="str">
            <v xml:space="preserve"> </v>
          </cell>
          <cell r="H108" t="str">
            <v xml:space="preserve"> </v>
          </cell>
          <cell r="I108" t="str">
            <v xml:space="preserve"> </v>
          </cell>
          <cell r="J108" t="str">
            <v>Specify the value of "Controle calibratie L/R" expressed in mm/25m</v>
          </cell>
          <cell r="K108" t="str">
            <v>Specify the value of "Controle calibratie U/D" expressed in mm/25m</v>
          </cell>
          <cell r="L108" t="str">
            <v>Specify the value of "afw. UD for -1,15%" expressed in mm/10m</v>
          </cell>
        </row>
        <row r="109">
          <cell r="C109" t="str">
            <v>UNICAL_HB</v>
          </cell>
          <cell r="D109" t="str">
            <v>laser_h</v>
          </cell>
          <cell r="E109" t="str">
            <v>laser_v</v>
          </cell>
          <cell r="F109" t="str">
            <v>lowb_ud</v>
          </cell>
          <cell r="G109" t="str">
            <v>hib_ud</v>
          </cell>
          <cell r="H109" t="str">
            <v xml:space="preserve"> </v>
          </cell>
          <cell r="I109" t="str">
            <v xml:space="preserve"> </v>
          </cell>
          <cell r="J109" t="str">
            <v>Specify the value of "Controle calibratie L/R" expressed in mm/25m</v>
          </cell>
          <cell r="K109" t="str">
            <v>Specify the value of "Controle calibratie U/D" expressed in mm/25m</v>
          </cell>
          <cell r="L109" t="str">
            <v>WRONG DESCRIPTION: Specify the value of "afw. UD for -1,15%" expressed in mm/10m</v>
          </cell>
          <cell r="M109" t="str">
            <v>WRONG DESCRIPTION: Specify the value of "afw. UD for -1,65%" expressed in mm/10m</v>
          </cell>
        </row>
        <row r="110">
          <cell r="C110" t="str">
            <v xml:space="preserve"> 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  <cell r="I110" t="str">
            <v xml:space="preserve"> </v>
          </cell>
        </row>
        <row r="111">
          <cell r="C111" t="str">
            <v xml:space="preserve"> 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  <cell r="I111" t="str">
            <v xml:space="preserve"> </v>
          </cell>
        </row>
        <row r="112">
          <cell r="C112" t="str">
            <v xml:space="preserve"> </v>
          </cell>
          <cell r="D112" t="str">
            <v xml:space="preserve"> </v>
          </cell>
          <cell r="E112" t="str">
            <v xml:space="preserve"> 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I112" t="str">
            <v xml:space="preserve"> </v>
          </cell>
        </row>
        <row r="113"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  <cell r="I113" t="str">
            <v xml:space="preserve"> </v>
          </cell>
        </row>
        <row r="114"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 t="str">
            <v xml:space="preserve"> </v>
          </cell>
        </row>
        <row r="115"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  <cell r="I115" t="str">
            <v xml:space="preserve"> </v>
          </cell>
        </row>
        <row r="116">
          <cell r="C116" t="str">
            <v xml:space="preserve"> </v>
          </cell>
          <cell r="D116" t="str">
            <v xml:space="preserve"> </v>
          </cell>
          <cell r="E116" t="str">
            <v xml:space="preserve"> 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  <cell r="I116" t="str">
            <v xml:space="preserve"> </v>
          </cell>
        </row>
        <row r="117">
          <cell r="C117" t="str">
            <v xml:space="preserve"> </v>
          </cell>
          <cell r="D117" t="str">
            <v xml:space="preserve"> </v>
          </cell>
          <cell r="E117" t="str">
            <v xml:space="preserve"> 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  <cell r="I117" t="str">
            <v xml:space="preserve"> </v>
          </cell>
        </row>
        <row r="118">
          <cell r="C118" t="str">
            <v xml:space="preserve"> </v>
          </cell>
          <cell r="D118" t="str">
            <v xml:space="preserve"> </v>
          </cell>
          <cell r="E118" t="str">
            <v xml:space="preserve"> </v>
          </cell>
          <cell r="F118" t="str">
            <v xml:space="preserve"> </v>
          </cell>
          <cell r="G118" t="str">
            <v xml:space="preserve"> </v>
          </cell>
          <cell r="H118" t="str">
            <v xml:space="preserve"> </v>
          </cell>
          <cell r="I118" t="str">
            <v xml:space="preserve"> </v>
          </cell>
        </row>
        <row r="119">
          <cell r="C119" t="str">
            <v xml:space="preserve"> </v>
          </cell>
          <cell r="D119" t="str">
            <v xml:space="preserve"> </v>
          </cell>
          <cell r="E119" t="str">
            <v xml:space="preserve"> </v>
          </cell>
          <cell r="F119" t="str">
            <v xml:space="preserve"> </v>
          </cell>
          <cell r="G119" t="str">
            <v xml:space="preserve"> </v>
          </cell>
          <cell r="H119" t="str">
            <v xml:space="preserve"> </v>
          </cell>
          <cell r="I119" t="str">
            <v xml:space="preserve"> </v>
          </cell>
        </row>
        <row r="120">
          <cell r="C120" t="str">
            <v xml:space="preserve"> </v>
          </cell>
          <cell r="D120" t="str">
            <v xml:space="preserve"> </v>
          </cell>
          <cell r="E120" t="str">
            <v xml:space="preserve"> </v>
          </cell>
          <cell r="F120" t="str">
            <v xml:space="preserve"> </v>
          </cell>
          <cell r="G120" t="str">
            <v xml:space="preserve"> </v>
          </cell>
          <cell r="H120" t="str">
            <v xml:space="preserve"> </v>
          </cell>
          <cell r="I120" t="str">
            <v xml:space="preserve"> </v>
          </cell>
        </row>
      </sheetData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R41, R42, lower limit of lamp 1 (Cd)</v>
          </cell>
          <cell r="G105" t="str">
            <v>hi_1::If not R41, R42, higher limit of lamp 1 (Cd)</v>
          </cell>
          <cell r="H105" t="str">
            <v>low_2::If not R41, R42, lower limit of lamp 2 (Cd)</v>
          </cell>
          <cell r="I105" t="str">
            <v>hi_2::If not R41, R42, higher limit of lamp 2 (Cd)</v>
          </cell>
          <cell r="J105" t="str">
            <v>low_3::If not R41, R42, lower limit of lamp 3 (Cd)</v>
          </cell>
          <cell r="K105" t="str">
            <v>hi_3::If not R41, R42, higher limit of lamp 3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LBM</v>
          </cell>
          <cell r="B108" t="str">
            <v>lb_000::Either specify the value of "afw. UD for -0,00%" expressed in mm/10m (isocoupure)</v>
          </cell>
          <cell r="C108" t="str">
            <v>lb_10mw_h::Or (10m wall) specify the value for "Low Beam Module/Horizontal/Afwijking" in mm/10m"...</v>
          </cell>
          <cell r="D108" t="str">
            <v>lb_10mw_v::and (10m wall) specify the value for "Low Beam Module / Vertical / Afwijking" in mm/10m"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MINICAL</v>
          </cell>
          <cell r="B109" t="str">
            <v>baseplate_h::Specify the value of "Controle horizontaliteit langsvlak" expressed in mm/10m</v>
          </cell>
          <cell r="C109" t="str">
            <v>laser_h::Specify the value of "Controle calibratie L/R" (once divided by 2) expressed in mm/25m</v>
          </cell>
          <cell r="D109" t="str">
            <v>laser_v::Specify the value of "Controle calibratie U/D" expressed in mm/25m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MIRRMOD</v>
          </cell>
          <cell r="B110" t="str">
            <v>perp::Specify the value of "Controle speling op de AS..." (mm/10m)</v>
          </cell>
          <cell r="C110" t="str">
            <v>flat::Specify the value on "Oppervlaktecontrole: vlakheid spiegel..." (mm/15m)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MPC</v>
          </cell>
          <cell r="B111" t="str">
            <v>dev_h::Specify the value of "Controle horizontaliteit opdruk..." (mm)</v>
          </cell>
          <cell r="C111" t="str">
            <v>width::Specify the width of the MPC plate (cm)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</row>
        <row r="112">
          <cell r="A112" t="str">
            <v>PE_MATRIX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lb_h::Specify the value for "Low Beam Module/Horizontal/Afwijking" in mm/10m"</v>
          </cell>
          <cell r="E112" t="str">
            <v>lb_v::Specify the value for "Low Beam Module / Vertical / Afwijking" in mm/10m</v>
          </cell>
          <cell r="F112" t="str">
            <v>left_v::Specify the value of "Matrix Module / Left Verticality" expressed in mm/25m (def: &lt;20)</v>
          </cell>
          <cell r="G112" t="str">
            <v>right_v::Specify the value of "Matrix Module / Right Verticality" expressed in mm/25m (def: &lt;20)</v>
          </cell>
          <cell r="H112" t="str">
            <v>position_lr::Specify the value of "Matrix Module / Controle Symmetrie L/R" expressed in mm/10m</v>
          </cell>
          <cell r="I112" t="str">
            <v>position_ud::Specify the value of "Matrix Module / Controle 2/3 up" expressed in mm/10m</v>
          </cell>
        </row>
        <row r="113">
          <cell r="A113" t="str">
            <v>PHARE_ETALON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lb_115::Specify the value of "afw. UD for -1,15%" expressed in mm/10m</v>
          </cell>
          <cell r="E113" t="str">
            <v>lb_165::Specify the value of "afw. UD for -1,65%" expressed in mm/10m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PHETALON_LR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lb_000::Either specify the value of "afw. UD for -0,00%" expressed in mm/10m (isocoupure)</v>
          </cell>
          <cell r="E114" t="str">
            <v>lb_10mw_h::Or (10m wall) specify the value for "Low Beam Module/Horizontal/Afwijking" in mm/10m"...</v>
          </cell>
          <cell r="F114" t="str">
            <v>lb_10mw_v::and (10m wall) specify the value for "Low Beam Module / Vertical / Afwijking" in mm/10m"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REFLAMP</v>
          </cell>
          <cell r="B115" t="str">
            <v>lb_000::Specify the value of "afw. Groen LED for 0,00%" expressed in mm/10m</v>
          </cell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lb_000::Either specify the value of "afw. UD for -0,00%" expressed in mm/10m (isocoupure)</v>
          </cell>
          <cell r="E116" t="str">
            <v>lb_10mw_h::Or (10m wall) specify the value for "Low Beam Module/Horizontal/Afwijking" in mm/10m"...</v>
          </cell>
          <cell r="F116" t="str">
            <v>lb_10mw_v::and (10m wall) specify the value for "Low Beam Module / Vertical / Afwijking" in mm/10m"</v>
          </cell>
          <cell r="G116" t="str">
            <v xml:space="preserve"> </v>
          </cell>
          <cell r="H116" t="str">
            <v xml:space="preserve"> </v>
          </cell>
        </row>
        <row r="117">
          <cell r="A117" t="str">
            <v>UNICAL_HB</v>
          </cell>
          <cell r="B117" t="str">
            <v>laser_h::Specify the value of "Controle calibratie L/R" expressed in mm/25m</v>
          </cell>
          <cell r="C117" t="str">
            <v>laser_v::Specify the value of "Controle calibratie U/D" expressed in mm/25m</v>
          </cell>
          <cell r="D117" t="str">
            <v>lowb_ud::WRONG DESCRIPTION: Specify the value of "afw. UD for -1,15%" expressed in mm/10m</v>
          </cell>
          <cell r="E117" t="str">
            <v>hib_ud::WRONG DESCRIPTION: Specify the value of "afw. UD for -1,65%" expressed in mm/10m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KB190090.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C26, lower limit of lamp 1 (Cd)</v>
          </cell>
          <cell r="G105" t="str">
            <v>hi_1::If not C26, higher limit of lamp 1 (Cd)</v>
          </cell>
          <cell r="H105" t="str">
            <v>low_2::If not C26, lower limit of lamp 2 (Cd)</v>
          </cell>
          <cell r="I105" t="str">
            <v>hi_2::If not C26, higher limit of lamp 2 (Cd)</v>
          </cell>
          <cell r="J105" t="str">
            <v>low_3::If not C26, lower limit of lamp 3 (Cd)</v>
          </cell>
          <cell r="K105" t="str">
            <v>hi_3::If not C26, higher limit of lamp 4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for "Low Beam Module/Horizontal/Afwijking" in mm/10m"</v>
          </cell>
          <cell r="E111" t="str">
            <v>lb_v::Specify the value for "Low Beam Module / Vertical / Afwijking" in mm/10m</v>
          </cell>
          <cell r="F111" t="str">
            <v>left_v::Specify the value of "Matrix Module / Left Verticality" expressed in mm/25m (def: &lt;20)</v>
          </cell>
          <cell r="G111" t="str">
            <v>right_v::Specify the value of "Matrix Module / Right Verticality" expressed in mm/25m (def: &lt;20)</v>
          </cell>
          <cell r="H111" t="str">
            <v>position_lr::Specify the value of "Matrix Module / Controle Symmetrie L/R" expressed in mm/10m</v>
          </cell>
          <cell r="I111" t="str">
            <v>position_ud::Specify the value of "Matrix Module / Controle 2/3 up" expressed in mm/10m</v>
          </cell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</row>
        <row r="113">
          <cell r="A113" t="str">
            <v>PHETALON_LR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lb_000::Either specify the value of "afw. UD for -0,00%" expressed in mm/10m (isocoupure)</v>
          </cell>
          <cell r="E113" t="str">
            <v>lb_10mw_h::Or (10m wall) specify the value for "Low Beam Module/Horizontal/Afwijking" in mm/10m"...</v>
          </cell>
          <cell r="F113" t="str">
            <v>lb_10mw_v::and (10m wall) specify the value for "Low Beam Module / Vertical / Afwijking" in mm/10m"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REFLAMP</v>
          </cell>
          <cell r="B114" t="str">
            <v>lb_000::Specify the value of "afw. Groen LED for 0,00%" expressed in mm/10m</v>
          </cell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UNICAL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lb_000::Either specify the value of "afw. UD for -0,00%" expressed in mm/10m (isocoupure)</v>
          </cell>
          <cell r="E115" t="str">
            <v>lb_10mw_h::Or (10m wall) specify the value for "Low Beam Module/Horizontal/Afwijking" in mm/10m"...</v>
          </cell>
          <cell r="F115" t="str">
            <v>lb_10mw_v::and (10m wall) specify the value for "Low Beam Module / Vertical / Afwijking" in mm/10m"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UNICAL_HB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lowb_ud::WRONG DESCRIPTION: Specify the value of "afw. UD for -1,15%" expressed in mm/10m</v>
          </cell>
          <cell r="E116" t="str">
            <v>hib_ud::WRONG DESCRIPTION: Specify the value of "afw. UD for -1,65%" expressed in mm/10m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</row>
      </sheetData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4">
          <cell r="B4" t="str">
            <v>RFA190043</v>
          </cell>
        </row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R41, R42, lower limit of lamp 1 (Cd)</v>
          </cell>
          <cell r="G105" t="str">
            <v>hi_1::If not R41, R42, higher limit of lamp 1 (Cd)</v>
          </cell>
          <cell r="H105" t="str">
            <v>low_2::If not R41, R42, lower limit of lamp 2 (Cd)</v>
          </cell>
          <cell r="I105" t="str">
            <v>hi_2::If not R41, R42, higher limit of lamp 2 (Cd)</v>
          </cell>
          <cell r="J105" t="str">
            <v>low_3::If not R41, R42, lower limit of lamp 3 (Cd)</v>
          </cell>
          <cell r="K105" t="str">
            <v>hi_3::If not R41, R42, higher limit of lamp 3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LBM</v>
          </cell>
          <cell r="B108" t="str">
            <v>lb_000::Either specify the value of "afw. UD for -0,00%" expressed in mm/10m (isocoupure)</v>
          </cell>
          <cell r="C108" t="str">
            <v>lb_10mw_h::Or (10m wall) specify the value for "Low Beam Module/Horizontal/Afwijking" in mm/10m"...</v>
          </cell>
          <cell r="D108" t="str">
            <v>lb_10mw_v::and (10m wall) specify the value for "Low Beam Module / Vertical / Afwijking" in mm/10m"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MINICAL</v>
          </cell>
          <cell r="B109" t="str">
            <v>baseplate_h::Specify the value of "Controle horizontaliteit langsvlak" expressed in mm/10m</v>
          </cell>
          <cell r="C109" t="str">
            <v>laser_h::Specify the value of "Controle calibratie L/R" (once divided by 2) expressed in mm/25m</v>
          </cell>
          <cell r="D109" t="str">
            <v>laser_v::Specify the value of "Controle calibratie U/D" expressed in mm/25m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MIRRMOD</v>
          </cell>
          <cell r="B110" t="str">
            <v>perp::Specify the value of "Controle speling op de AS..." (mm/10m)</v>
          </cell>
          <cell r="C110" t="str">
            <v>flat::Specify the value on "Oppervlaktecontrole: vlakheid spiegel..." (mm/15m)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MPC</v>
          </cell>
          <cell r="B111" t="str">
            <v>dev_h::Specify the value of "Controle horizontaliteit opdruk..." (mm)</v>
          </cell>
          <cell r="C111" t="str">
            <v>width::Specify the width of the MPC plate (cm)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</row>
        <row r="112">
          <cell r="A112" t="str">
            <v>PE_MATRIX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lb_h::Specify the value for "Low Beam Module/Horizontal/Afwijking" in mm/10m"</v>
          </cell>
          <cell r="E112" t="str">
            <v>lb_v::Specify the value for "Low Beam Module / Vertical / Afwijking" in mm/10m</v>
          </cell>
          <cell r="F112" t="str">
            <v>left_v::Specify the value of "Matrix Module / Left Verticality" expressed in mm/25m (def: &lt;20)</v>
          </cell>
          <cell r="G112" t="str">
            <v>right_v::Specify the value of "Matrix Module / Right Verticality" expressed in mm/25m (def: &lt;20)</v>
          </cell>
          <cell r="H112" t="str">
            <v>position_lr::Specify the value of "Matrix Module / Controle Symmetrie L/R" expressed in mm/10m</v>
          </cell>
          <cell r="I112" t="str">
            <v>position_ud::Specify the value of "Matrix Module / Controle 2/3 up" expressed in mm/10m</v>
          </cell>
        </row>
        <row r="113">
          <cell r="A113" t="str">
            <v>PHARE_ETALON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lb_115::Specify the value of "afw. UD for -1,15%" expressed in mm/10m</v>
          </cell>
          <cell r="E113" t="str">
            <v>lb_165::Specify the value of "afw. UD for -1,65%" expressed in mm/10m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PHETALON_LR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lb_000::Either specify the value of "afw. UD for -0,00%" expressed in mm/10m (isocoupure)</v>
          </cell>
          <cell r="E114" t="str">
            <v>lb_10mw_h::Or (10m wall) specify the value for "Low Beam Module/Horizontal/Afwijking" in mm/10m"...</v>
          </cell>
          <cell r="F114" t="str">
            <v>lb_10mw_v::and (10m wall) specify the value for "Low Beam Module / Vertical / Afwijking" in mm/10m"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REFLAMP</v>
          </cell>
          <cell r="B115" t="str">
            <v>lb_000::Specify the value of "afw. Groen LED for 0,00%" expressed in mm/10m</v>
          </cell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lb_000::Either specify the value of "afw. UD for -0,00%" expressed in mm/10m (isocoupure)</v>
          </cell>
          <cell r="E116" t="str">
            <v>lb_10mw_h::Or (10m wall) specify the value for "Low Beam Module/Horizontal/Afwijking" in mm/10m"...</v>
          </cell>
          <cell r="F116" t="str">
            <v>lb_10mw_v::and (10m wall) specify the value for "Low Beam Module / Vertical / Afwijking" in mm/10m"</v>
          </cell>
          <cell r="G116" t="str">
            <v xml:space="preserve"> </v>
          </cell>
          <cell r="H116" t="str">
            <v xml:space="preserve"> </v>
          </cell>
        </row>
        <row r="117">
          <cell r="A117" t="str">
            <v>UNICAL_HB</v>
          </cell>
          <cell r="B117" t="str">
            <v>laser_h::Specify the value of "Controle calibratie L/R" expressed in mm/25m</v>
          </cell>
          <cell r="C117" t="str">
            <v>laser_v::Specify the value of "Controle calibratie U/D" expressed in mm/25m</v>
          </cell>
          <cell r="D117" t="str">
            <v>lowb_ud::WRONG DESCRIPTION: Specify the value of "afw. UD for -1,15%" expressed in mm/10m</v>
          </cell>
          <cell r="E117" t="str">
            <v>hib_ud::WRONG DESCRIPTION: Specify the value of "afw. UD for -1,65%" expressed in mm/10m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QNAP01\Temporary\PRODUKTIE\SOFTWARE\Public\Products\Speedocal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file:///\\file01.letdeinze.lan\company\Letdata\data\17\0012_01\G4\170012_01-G4N01C.XLSX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file:///\\file01.letdeinze.lan\company\Letdata\data\02\0001_00\D5\020001_00-D5N05_.docx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s://www.armbian.com/orange-pi-one/" TargetMode="External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QNAP01\Temporary\PRODUKTIE\SOFTWARE\Public\Products\Speedoca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file01.letdeinze.lan\company\Letdata\data\06\0011_00\D1\060011_00-D1N32E.xlsx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6"/>
  <sheetViews>
    <sheetView tabSelected="1" workbookViewId="0">
      <selection activeCell="C32" sqref="C32"/>
    </sheetView>
  </sheetViews>
  <sheetFormatPr defaultColWidth="11.42578125" defaultRowHeight="15"/>
  <cols>
    <col min="1" max="1" width="11.42578125" style="147"/>
    <col min="2" max="2" width="11.42578125" style="147" bestFit="1" customWidth="1"/>
    <col min="3" max="8" width="17.140625" style="147" customWidth="1"/>
    <col min="9" max="9" width="11.42578125" style="147"/>
    <col min="10" max="10" width="13.85546875" style="147" bestFit="1" customWidth="1"/>
    <col min="11" max="16384" width="11.42578125" style="147"/>
  </cols>
  <sheetData>
    <row r="1" spans="1:11">
      <c r="A1" s="150" t="s">
        <v>12</v>
      </c>
      <c r="B1" s="156"/>
      <c r="C1" s="148"/>
      <c r="D1" s="149"/>
      <c r="E1" s="148"/>
      <c r="F1" s="149"/>
      <c r="G1" s="148"/>
      <c r="H1" s="149"/>
      <c r="I1" s="37"/>
    </row>
    <row r="2" spans="1:11">
      <c r="A2" s="14"/>
      <c r="B2" s="15" t="s">
        <v>13</v>
      </c>
      <c r="C2" s="113" t="s">
        <v>42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317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50" t="s">
        <v>19</v>
      </c>
      <c r="B6" s="156"/>
      <c r="C6" s="148"/>
      <c r="D6" s="149"/>
      <c r="E6" s="148"/>
      <c r="F6" s="149"/>
      <c r="G6" s="148"/>
      <c r="H6" s="149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13"/>
    </row>
    <row r="8" spans="1:11">
      <c r="A8" s="18"/>
      <c r="B8" s="15" t="s">
        <v>25</v>
      </c>
      <c r="C8" s="113"/>
      <c r="D8" s="113">
        <v>1</v>
      </c>
      <c r="E8" s="113"/>
      <c r="F8" s="113"/>
      <c r="G8" s="113"/>
      <c r="H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H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  <c r="H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H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48" t="s">
        <v>29</v>
      </c>
      <c r="B13" s="149"/>
      <c r="C13" s="148"/>
      <c r="D13" s="149"/>
      <c r="E13" s="148"/>
      <c r="F13" s="149"/>
      <c r="G13" s="148"/>
      <c r="H13" s="149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43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IF(COUNTIF([6]Main!A102:A125,C2)=1,C2,"")</f>
        <v/>
      </c>
    </row>
    <row r="19" spans="1:12">
      <c r="C19" s="113"/>
      <c r="D19" s="113"/>
      <c r="F19" s="113"/>
      <c r="H19" s="113"/>
      <c r="I19" s="147">
        <v>1</v>
      </c>
      <c r="J19" s="15" t="str">
        <f>IF($K$18="","",IF(VLOOKUP($K$18,[6]Main!$A$102:$Q$125,1+I19,FALSE)="","",LEFT(VLOOKUP($K$18,[6]Main!$A$102:$Q$125,1+I19,FALSE),SEARCH("::",VLOOKUP($K$18,[6]Main!$A$102:$Q$125,1+I19,FALSE))-1)))</f>
        <v/>
      </c>
      <c r="K19" s="45" t="str">
        <f>IF(J19="project_code",[6]Main!B4," ")</f>
        <v xml:space="preserve"> </v>
      </c>
      <c r="L19" s="46" t="str">
        <f>IF(TRIM(J19)=""," ",IF($K$18="","",RIGHT(VLOOKUP($K$18,[6]Main!$A$102:$Q$125,1+I19,FALSE),LEN(VLOOKUP($K$18,[6]Main!$A$102:$Q$125,1+I19,FALSE))-1-SEARCH("::",VLOOKUP($K$18,[6]Main!$A$102:$Q$125,1+I19,FALSE)))))</f>
        <v xml:space="preserve"> </v>
      </c>
    </row>
    <row r="20" spans="1:12">
      <c r="C20" s="113"/>
      <c r="D20" s="113"/>
      <c r="E20" s="113"/>
      <c r="F20" s="113"/>
      <c r="G20" s="113"/>
      <c r="H20" s="113"/>
      <c r="I20" s="147">
        <v>2</v>
      </c>
      <c r="J20" s="15" t="str">
        <f>IF($K$18="","",IF(VLOOKUP($K$18,[6]Main!$A$102:$Q$125,1+I20,FALSE)="","",LEFT(VLOOKUP($K$18,[6]Main!$A$102:$Q$125,1+I20,FALSE),SEARCH("::",VLOOKUP($K$18,[6]Main!$A$102:$Q$125,1+I20,FALSE))-1)))</f>
        <v/>
      </c>
      <c r="K20" s="45"/>
      <c r="L20" s="46" t="str">
        <f>IF(TRIM(J20)=""," ",IF($K$18="","",RIGHT(VLOOKUP($K$18,[6]Main!$A$102:$Q$125,1+I20,FALSE),LEN(VLOOKUP($K$18,[6]Main!$A$102:$Q$125,1+I20,FALSE))-1-SEARCH("::",VLOOKUP($K$18,[6]Main!$A$102:$Q$125,1+I20,FALSE)))))</f>
        <v xml:space="preserve"> </v>
      </c>
    </row>
    <row r="21" spans="1:12">
      <c r="C21" s="113"/>
      <c r="D21" s="113"/>
      <c r="E21" s="113"/>
      <c r="F21" s="113"/>
      <c r="G21" s="113"/>
      <c r="H21" s="113"/>
      <c r="I21" s="147">
        <v>3</v>
      </c>
      <c r="J21" s="15" t="str">
        <f>IF($K$18="","",IF(VLOOKUP($K$18,[6]Main!$A$102:$Q$125,1+I21,FALSE)="","",LEFT(VLOOKUP($K$18,[6]Main!$A$102:$Q$125,1+I21,FALSE),SEARCH("::",VLOOKUP($K$18,[6]Main!$A$102:$Q$125,1+I21,FALSE))-1)))</f>
        <v/>
      </c>
      <c r="K21" s="45"/>
      <c r="L21" s="46" t="str">
        <f>IF(TRIM(J21)=""," ",IF($K$18="","",RIGHT(VLOOKUP($K$18,[6]Main!$A$102:$Q$125,1+I21,FALSE),LEN(VLOOKUP($K$18,[6]Main!$A$102:$Q$125,1+I21,FALSE))-1-SEARCH("::",VLOOKUP($K$18,[6]Main!$A$102:$Q$125,1+I21,FALSE)))))</f>
        <v xml:space="preserve"> </v>
      </c>
    </row>
    <row r="22" spans="1:12">
      <c r="C22" s="113"/>
      <c r="D22" s="113"/>
      <c r="E22" s="113"/>
      <c r="F22" s="113"/>
      <c r="G22" s="113"/>
      <c r="H22" s="113"/>
      <c r="I22" s="147">
        <v>4</v>
      </c>
      <c r="J22" s="15" t="str">
        <f>IF($K$18="","",IF(VLOOKUP($K$18,[6]Main!$A$102:$Q$125,1+I22,FALSE)="","",LEFT(VLOOKUP($K$18,[6]Main!$A$102:$Q$125,1+I22,FALSE),SEARCH("::",VLOOKUP($K$18,[6]Main!$A$102:$Q$125,1+I22,FALSE))-1)))</f>
        <v/>
      </c>
      <c r="K22" s="45"/>
      <c r="L22" s="46" t="str">
        <f>IF(TRIM(J22)=""," ",IF($K$18="","",RIGHT(VLOOKUP($K$18,[6]Main!$A$102:$Q$125,1+I22,FALSE),LEN(VLOOKUP($K$18,[6]Main!$A$102:$Q$125,1+I22,FALSE))-1-SEARCH("::",VLOOKUP($K$18,[6]Main!$A$102:$Q$125,1+I22,FALSE)))))</f>
        <v xml:space="preserve"> </v>
      </c>
    </row>
    <row r="23" spans="1:12">
      <c r="C23" s="113"/>
      <c r="D23" s="113"/>
      <c r="E23" s="113"/>
      <c r="F23" s="113"/>
      <c r="G23" s="113"/>
      <c r="H23" s="113"/>
      <c r="I23" s="147">
        <v>5</v>
      </c>
      <c r="J23" s="15" t="str">
        <f>IF($K$18="","",IF(VLOOKUP($K$18,[6]Main!$A$102:$Q$125,1+I23,FALSE)="","",LEFT(VLOOKUP($K$18,[6]Main!$A$102:$Q$125,1+I23,FALSE),SEARCH("::",VLOOKUP($K$18,[6]Main!$A$102:$Q$125,1+I23,FALSE))-1)))</f>
        <v/>
      </c>
      <c r="K23" s="45"/>
      <c r="L23" s="46" t="str">
        <f>IF(TRIM(J23)=""," ",IF($K$18="","",RIGHT(VLOOKUP($K$18,[6]Main!$A$102:$Q$125,1+I23,FALSE),LEN(VLOOKUP($K$18,[6]Main!$A$102:$Q$125,1+I23,FALSE))-1-SEARCH("::",VLOOKUP($K$18,[6]Main!$A$102:$Q$125,1+I23,FALSE)))))</f>
        <v xml:space="preserve"> </v>
      </c>
    </row>
    <row r="24" spans="1:12">
      <c r="I24" s="147">
        <v>6</v>
      </c>
      <c r="J24" s="15" t="str">
        <f>IF($K$18="","",IF(VLOOKUP($K$18,[6]Main!$A$102:$Q$125,1+I24,FALSE)="","",LEFT(VLOOKUP($K$18,[6]Main!$A$102:$Q$125,1+I24,FALSE),SEARCH("::",VLOOKUP($K$18,[6]Main!$A$102:$Q$125,1+I24,FALSE))-1)))</f>
        <v/>
      </c>
      <c r="K24" s="45"/>
      <c r="L24" s="46" t="str">
        <f>IF(TRIM(J24)=""," ",IF($K$18="","",RIGHT(VLOOKUP($K$18,[6]Main!$A$102:$Q$125,1+I24,FALSE),LEN(VLOOKUP($K$18,[6]Main!$A$102:$Q$125,1+I24,FALSE))-1-SEARCH("::",VLOOKUP($K$18,[6]Main!$A$102:$Q$125,1+I24,FALSE)))))</f>
        <v xml:space="preserve"> </v>
      </c>
    </row>
    <row r="25" spans="1:12">
      <c r="I25" s="147">
        <v>7</v>
      </c>
      <c r="J25" s="15" t="str">
        <f>IF($K$18="","",IF(VLOOKUP($K$18,[6]Main!$A$102:$Q$125,1+I25,FALSE)="","",LEFT(VLOOKUP($K$18,[6]Main!$A$102:$Q$125,1+I25,FALSE),SEARCH("::",VLOOKUP($K$18,[6]Main!$A$102:$Q$125,1+I25,FALSE))-1)))</f>
        <v/>
      </c>
      <c r="K25" s="45"/>
      <c r="L25" s="46" t="str">
        <f>IF(TRIM(J25)=""," ",IF($K$18="","",RIGHT(VLOOKUP($K$18,[6]Main!$A$102:$Q$125,1+I25,FALSE),LEN(VLOOKUP($K$18,[6]Main!$A$102:$Q$125,1+I25,FALSE))-1-SEARCH("::",VLOOKUP($K$18,[6]Main!$A$102:$Q$125,1+I25,FALSE)))))</f>
        <v xml:space="preserve"> </v>
      </c>
    </row>
    <row r="26" spans="1:12">
      <c r="I26" s="147">
        <v>8</v>
      </c>
      <c r="J26" s="15" t="str">
        <f>IF($K$18="","",IF(VLOOKUP($K$18,[6]Main!$A$102:$Q$125,1+I26,FALSE)="","",LEFT(VLOOKUP($K$18,[6]Main!$A$102:$Q$125,1+I26,FALSE),SEARCH("::",VLOOKUP($K$18,[6]Main!$A$102:$Q$125,1+I26,FALSE))-1)))</f>
        <v/>
      </c>
      <c r="K26" s="45"/>
      <c r="L26" s="46" t="str">
        <f>IF(TRIM(J26)=""," ",IF($K$18="","",RIGHT(VLOOKUP($K$18,[6]Main!$A$102:$Q$125,1+I26,FALSE),LEN(VLOOKUP($K$18,[6]Main!$A$102:$Q$125,1+I26,FALSE))-1-SEARCH("::",VLOOKUP($K$18,[6]Main!$A$102:$Q$125,1+I26,FALSE)))))</f>
        <v xml:space="preserve"> 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30"/>
  <sheetViews>
    <sheetView topLeftCell="B1" workbookViewId="0">
      <selection activeCell="C26" sqref="C26"/>
    </sheetView>
  </sheetViews>
  <sheetFormatPr defaultColWidth="11.42578125" defaultRowHeight="15"/>
  <cols>
    <col min="1" max="1" width="11.42578125" style="141"/>
    <col min="2" max="2" width="11.42578125" style="141" bestFit="1" customWidth="1"/>
    <col min="3" max="8" width="17.140625" style="141" customWidth="1"/>
    <col min="9" max="9" width="11.42578125" style="141"/>
    <col min="10" max="10" width="13.85546875" style="141" bestFit="1" customWidth="1"/>
    <col min="11" max="12" width="11.42578125" style="141"/>
    <col min="13" max="13" width="87.140625" style="141" customWidth="1"/>
    <col min="14" max="16384" width="11.42578125" style="141"/>
  </cols>
  <sheetData>
    <row r="1" spans="1:11">
      <c r="A1" s="140" t="s">
        <v>12</v>
      </c>
      <c r="C1" s="148"/>
      <c r="D1" s="149"/>
      <c r="E1" s="148"/>
      <c r="F1" s="149"/>
      <c r="G1" s="148"/>
      <c r="H1" s="149"/>
      <c r="I1" s="37"/>
    </row>
    <row r="2" spans="1:11">
      <c r="A2" s="14"/>
      <c r="B2" s="15" t="s">
        <v>13</v>
      </c>
      <c r="C2" s="113" t="s">
        <v>303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304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40" t="s">
        <v>19</v>
      </c>
      <c r="C6" s="148"/>
      <c r="D6" s="149"/>
      <c r="E6" s="148"/>
      <c r="F6" s="149"/>
      <c r="G6" s="148"/>
      <c r="H6" s="149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13"/>
    </row>
    <row r="8" spans="1:11">
      <c r="A8" s="18"/>
      <c r="B8" s="15" t="s">
        <v>25</v>
      </c>
      <c r="C8" s="113">
        <v>1</v>
      </c>
      <c r="D8" s="113">
        <v>2</v>
      </c>
      <c r="E8" s="113"/>
      <c r="F8" s="113"/>
      <c r="G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42" t="s">
        <v>29</v>
      </c>
      <c r="C13" s="148"/>
      <c r="D13" s="149"/>
      <c r="E13" s="148"/>
      <c r="F13" s="149"/>
      <c r="G13" s="148"/>
      <c r="H13" s="149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 t="s">
        <v>305</v>
      </c>
      <c r="D15" s="113" t="s">
        <v>306</v>
      </c>
      <c r="E15" s="113" t="s">
        <v>307</v>
      </c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42" t="s">
        <v>37</v>
      </c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">
        <v>307</v>
      </c>
    </row>
    <row r="19" spans="1:13">
      <c r="C19" s="113"/>
      <c r="D19" s="113"/>
      <c r="E19" s="113"/>
      <c r="F19" s="113"/>
      <c r="G19" s="113"/>
      <c r="H19" s="113"/>
      <c r="J19" s="15" t="str">
        <f>IF($K$18="","",VLOOKUP($K$18,[1]Main!$C$102:$M$120,2,FALSE))</f>
        <v>dev_h</v>
      </c>
      <c r="K19" s="45">
        <v>0.5</v>
      </c>
      <c r="L19" s="46" t="str">
        <f>IF(TRIM(J19)=""," ",IF($K$18="","",VLOOKUP($K$18,[1]Main!$C$102:$M$120,8,FALSE)))</f>
        <v>Specify the value of "Controle horizontaliteit opdruk..." (mm)</v>
      </c>
    </row>
    <row r="20" spans="1:13">
      <c r="C20" s="113"/>
      <c r="D20" s="113"/>
      <c r="E20" s="113"/>
      <c r="F20" s="113"/>
      <c r="G20" s="113"/>
      <c r="H20" s="113"/>
      <c r="J20" s="15" t="str">
        <f>IF($K$18="","",VLOOKUP($K$18,[1]Main!$C$102:$M$120,3,FALSE))</f>
        <v>width</v>
      </c>
      <c r="K20" s="45">
        <v>35</v>
      </c>
      <c r="L20" s="46" t="str">
        <f>IF(TRIM(J20)=""," ",IF($K$18="","",VLOOKUP($K$18,[1]Main!$C$102:$M$120,9,FALSE)))</f>
        <v>Specify the width of the MPC plate (cm)</v>
      </c>
    </row>
    <row r="21" spans="1:13">
      <c r="C21" s="113"/>
      <c r="D21" s="113"/>
      <c r="E21" s="113"/>
      <c r="F21" s="113"/>
      <c r="G21" s="113"/>
      <c r="H21" s="113"/>
      <c r="J21" s="15" t="str">
        <f>IF($K$18="","",VLOOKUP($K$18,[1]Main!$C$102:$M$120,4,FALSE))</f>
        <v xml:space="preserve"> </v>
      </c>
      <c r="K21" s="45"/>
      <c r="L21" s="46" t="str">
        <f>IF(TRIM(J21)=""," ",IF($K$18="","",VLOOKUP($K$18,[1]Main!$C$102:$M$120,10,FALSE)))</f>
        <v xml:space="preserve"> </v>
      </c>
    </row>
    <row r="22" spans="1:13">
      <c r="C22" s="113"/>
      <c r="D22" s="113"/>
      <c r="E22" s="113"/>
      <c r="F22" s="113"/>
      <c r="G22" s="113"/>
      <c r="H22" s="113"/>
      <c r="J22" s="15" t="str">
        <f>IF($K$18="","",VLOOKUP($K$18,[1]Main!$C$102:$M$120,5,FALSE))</f>
        <v xml:space="preserve"> </v>
      </c>
      <c r="K22" s="45"/>
      <c r="L22" s="46" t="str">
        <f>IF(TRIM(J22)=""," ",IF($K$18="","",VLOOKUP($K$18,[1]Main!$C$102:$M$120,11,FALSE)))</f>
        <v xml:space="preserve"> </v>
      </c>
    </row>
    <row r="23" spans="1:13">
      <c r="C23" s="113"/>
      <c r="D23" s="113"/>
      <c r="E23" s="113"/>
      <c r="F23" s="113"/>
      <c r="G23" s="113"/>
      <c r="H23" s="113"/>
      <c r="J23" s="15" t="str">
        <f>IF($K$18="","",VLOOKUP($K$18,[1]Main!$C$102:$M$120,6,FALSE))</f>
        <v xml:space="preserve"> </v>
      </c>
      <c r="K23" s="45"/>
      <c r="L23" s="46" t="str">
        <f>IF(TRIM(J23)=""," ",IF($K$18="","",VLOOKUP($K$18,[1]Main!$C$102:$M$120,12,FALSE)))</f>
        <v xml:space="preserve"> </v>
      </c>
    </row>
    <row r="24" spans="1:13">
      <c r="M24" s="141" t="s">
        <v>313</v>
      </c>
    </row>
    <row r="25" spans="1:13">
      <c r="J25" s="100" t="s">
        <v>308</v>
      </c>
    </row>
    <row r="26" spans="1:13">
      <c r="J26" s="113" t="s">
        <v>309</v>
      </c>
    </row>
    <row r="27" spans="1:13">
      <c r="J27" s="113" t="s">
        <v>310</v>
      </c>
    </row>
    <row r="28" spans="1:13">
      <c r="J28" s="113" t="s">
        <v>311</v>
      </c>
    </row>
    <row r="29" spans="1:13">
      <c r="J29" s="113" t="s">
        <v>312</v>
      </c>
    </row>
    <row r="30" spans="1:13">
      <c r="J30" s="113" t="s">
        <v>138</v>
      </c>
    </row>
  </sheetData>
  <mergeCells count="9">
    <mergeCell ref="C13:D13"/>
    <mergeCell ref="E13:F13"/>
    <mergeCell ref="G13:H13"/>
    <mergeCell ref="C1:D1"/>
    <mergeCell ref="E1:F1"/>
    <mergeCell ref="G1:H1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6"/>
  <sheetViews>
    <sheetView topLeftCell="B1" workbookViewId="0">
      <selection activeCell="G26" sqref="G26"/>
    </sheetView>
  </sheetViews>
  <sheetFormatPr defaultColWidth="11.42578125" defaultRowHeight="15"/>
  <cols>
    <col min="1" max="1" width="11.42578125" style="115"/>
    <col min="2" max="2" width="11.42578125" style="115" bestFit="1" customWidth="1"/>
    <col min="3" max="8" width="17.140625" style="115" customWidth="1"/>
    <col min="9" max="9" width="11.42578125" style="115"/>
    <col min="10" max="10" width="13.85546875" style="115" bestFit="1" customWidth="1"/>
    <col min="11" max="11" width="11.42578125" style="115"/>
    <col min="12" max="12" width="103.5703125" style="115" customWidth="1"/>
    <col min="13" max="16384" width="11.42578125" style="115"/>
  </cols>
  <sheetData>
    <row r="1" spans="1:11">
      <c r="A1" s="150" t="s">
        <v>12</v>
      </c>
      <c r="B1" s="149"/>
      <c r="C1" s="148"/>
      <c r="D1" s="149"/>
      <c r="E1" s="148"/>
      <c r="F1" s="149"/>
      <c r="G1" s="148"/>
      <c r="H1" s="149"/>
      <c r="I1" s="37"/>
    </row>
    <row r="2" spans="1:11">
      <c r="A2" s="14"/>
      <c r="B2" s="15" t="s">
        <v>13</v>
      </c>
      <c r="C2" s="113" t="s">
        <v>151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232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50" t="s">
        <v>19</v>
      </c>
      <c r="B6" s="149"/>
      <c r="C6" s="148"/>
      <c r="D6" s="149"/>
      <c r="E6" s="148"/>
      <c r="F6" s="149"/>
      <c r="G6" s="148"/>
      <c r="H6" s="149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13"/>
    </row>
    <row r="8" spans="1:11">
      <c r="A8" s="18"/>
      <c r="B8" s="15" t="s">
        <v>25</v>
      </c>
      <c r="C8" s="113"/>
      <c r="D8" s="113">
        <v>1</v>
      </c>
      <c r="E8" s="113"/>
      <c r="F8" s="113"/>
      <c r="G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48" t="s">
        <v>29</v>
      </c>
      <c r="B13" s="149"/>
      <c r="C13" s="148"/>
      <c r="D13" s="149"/>
      <c r="E13" s="148"/>
      <c r="F13" s="149"/>
      <c r="G13" s="148"/>
      <c r="H13" s="149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233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IF(COUNTIF([2]Main!A102:A125,C2)=1,C2,"")</f>
        <v>CALIVAM</v>
      </c>
    </row>
    <row r="19" spans="1:12">
      <c r="C19" s="113"/>
      <c r="D19" s="113"/>
      <c r="E19" s="113"/>
      <c r="F19" s="113"/>
      <c r="G19" s="113"/>
      <c r="H19" s="113"/>
      <c r="I19" s="115">
        <v>1</v>
      </c>
      <c r="J19" s="15" t="str">
        <f>IF($K$18="","",IF(VLOOKUP($K$18,[2]Main!$A$102:$Q$125,1+I19,FALSE)="","",LEFT(VLOOKUP($K$18,[2]Main!$A$102:$Q$125,1+I19,FALSE),SEARCH("::",VLOOKUP($K$18,[2]Main!$A$102:$Q$125,1+I19,FALSE))-1)))</f>
        <v>laser_h</v>
      </c>
      <c r="K19" s="45">
        <v>3</v>
      </c>
      <c r="L19" s="46" t="str">
        <f>IF(TRIM(J19)=""," ",IF($K$18="","",RIGHT(VLOOKUP($K$18,[2]Main!$A$102:$Q$125,1+I19,FALSE),LEN(VLOOKUP($K$18,[2]Main!$A$102:$Q$125,1+I19,FALSE))-1-SEARCH("::",VLOOKUP($K$18,[2]Main!$A$102:$Q$125,1+I19,FALSE)))))</f>
        <v>Specify the value of "Eindcontrole laser links/rechts" expressed in mm/25m</v>
      </c>
    </row>
    <row r="20" spans="1:12">
      <c r="C20" s="113"/>
      <c r="D20" s="113"/>
      <c r="E20" s="113"/>
      <c r="F20" s="113"/>
      <c r="G20" s="113"/>
      <c r="H20" s="113"/>
      <c r="I20" s="115">
        <v>2</v>
      </c>
      <c r="J20" s="15" t="str">
        <f>IF($K$18="","",IF(VLOOKUP($K$18,[2]Main!$A$102:$Q$125,1+I20,FALSE)="","",LEFT(VLOOKUP($K$18,[2]Main!$A$102:$Q$125,1+I20,FALSE),SEARCH("::",VLOOKUP($K$18,[2]Main!$A$102:$Q$125,1+I20,FALSE))-1)))</f>
        <v>laser_v</v>
      </c>
      <c r="K20" s="45">
        <v>1</v>
      </c>
      <c r="L20" s="46" t="str">
        <f>IF(TRIM(J20)=""," ",IF($K$18="","",RIGHT(VLOOKUP($K$18,[2]Main!$A$102:$Q$125,1+I20,FALSE),LEN(VLOOKUP($K$18,[2]Main!$A$102:$Q$125,1+I20,FALSE))-1-SEARCH("::",VLOOKUP($K$18,[2]Main!$A$102:$Q$125,1+I20,FALSE)))))</f>
        <v>Specify the value of "Eindcontrole laser op/neer" expressed in mm/25m</v>
      </c>
    </row>
    <row r="21" spans="1:12">
      <c r="C21" s="113"/>
      <c r="D21" s="113"/>
      <c r="E21" s="113"/>
      <c r="F21" s="113"/>
      <c r="G21" s="113"/>
      <c r="H21" s="113"/>
      <c r="I21" s="115">
        <v>3</v>
      </c>
      <c r="J21" s="15" t="e">
        <f>IF($K$18="","",IF(VLOOKUP($K$18,[2]Main!$A$102:$Q$125,1+I21,FALSE)="","",LEFT(VLOOKUP($K$18,[2]Main!$A$102:$Q$125,1+I21,FALSE),SEARCH("::",VLOOKUP($K$18,[2]Main!$A$102:$Q$125,1+I21,FALSE))-1)))</f>
        <v>#VALUE!</v>
      </c>
      <c r="K21" s="45"/>
      <c r="L21" s="46" t="e">
        <f>IF(TRIM(J21)=""," ",IF($K$18="","",RIGHT(VLOOKUP($K$18,[2]Main!$A$102:$Q$125,1+I21,FALSE),LEN(VLOOKUP($K$18,[2]Main!$A$102:$Q$125,1+I21,FALSE))-1-SEARCH("::",VLOOKUP($K$18,[2]Main!$A$102:$Q$125,1+I21,FALSE)))))</f>
        <v>#VALUE!</v>
      </c>
    </row>
    <row r="22" spans="1:12">
      <c r="C22" s="113"/>
      <c r="D22" s="113"/>
      <c r="E22" s="113"/>
      <c r="F22" s="113"/>
      <c r="G22" s="113"/>
      <c r="H22" s="113"/>
      <c r="I22" s="115">
        <v>4</v>
      </c>
      <c r="J22" s="15" t="e">
        <f>IF($K$18="","",IF(VLOOKUP($K$18,[2]Main!$A$102:$Q$125,1+I22,FALSE)="","",LEFT(VLOOKUP($K$18,[2]Main!$A$102:$Q$125,1+I22,FALSE),SEARCH("::",VLOOKUP($K$18,[2]Main!$A$102:$Q$125,1+I22,FALSE))-1)))</f>
        <v>#VALUE!</v>
      </c>
      <c r="K22" s="45"/>
      <c r="L22" s="46" t="e">
        <f>IF(TRIM(J22)=""," ",IF($K$18="","",RIGHT(VLOOKUP($K$18,[2]Main!$A$102:$Q$125,1+I22,FALSE),LEN(VLOOKUP($K$18,[2]Main!$A$102:$Q$125,1+I22,FALSE))-1-SEARCH("::",VLOOKUP($K$18,[2]Main!$A$102:$Q$125,1+I22,FALSE)))))</f>
        <v>#VALUE!</v>
      </c>
    </row>
    <row r="23" spans="1:12">
      <c r="C23" s="113"/>
      <c r="D23" s="113"/>
      <c r="E23" s="113"/>
      <c r="F23" s="113"/>
      <c r="G23" s="113"/>
      <c r="H23" s="113"/>
      <c r="I23" s="115">
        <v>5</v>
      </c>
      <c r="J23" s="15" t="e">
        <f>IF($K$18="","",IF(VLOOKUP($K$18,[2]Main!$A$102:$Q$125,1+I23,FALSE)="","",LEFT(VLOOKUP($K$18,[2]Main!$A$102:$Q$125,1+I23,FALSE),SEARCH("::",VLOOKUP($K$18,[2]Main!$A$102:$Q$125,1+I23,FALSE))-1)))</f>
        <v>#VALUE!</v>
      </c>
      <c r="K23" s="45"/>
      <c r="L23" s="46" t="e">
        <f>IF(TRIM(J23)=""," ",IF($K$18="","",RIGHT(VLOOKUP($K$18,[2]Main!$A$102:$Q$125,1+I23,FALSE),LEN(VLOOKUP($K$18,[2]Main!$A$102:$Q$125,1+I23,FALSE))-1-SEARCH("::",VLOOKUP($K$18,[2]Main!$A$102:$Q$125,1+I23,FALSE)))))</f>
        <v>#VALUE!</v>
      </c>
    </row>
    <row r="24" spans="1:12">
      <c r="I24" s="115">
        <v>6</v>
      </c>
      <c r="J24" s="15" t="e">
        <f>IF($K$18="","",IF(VLOOKUP($K$18,[2]Main!$A$102:$Q$125,1+I24,FALSE)="","",LEFT(VLOOKUP($K$18,[2]Main!$A$102:$Q$125,1+I24,FALSE),SEARCH("::",VLOOKUP($K$18,[2]Main!$A$102:$Q$125,1+I24,FALSE))-1)))</f>
        <v>#VALUE!</v>
      </c>
      <c r="K24" s="45"/>
      <c r="L24" s="46" t="e">
        <f>IF(TRIM(J24)=""," ",IF($K$18="","",RIGHT(VLOOKUP($K$18,[2]Main!$A$102:$Q$125,1+I24,FALSE),LEN(VLOOKUP($K$18,[2]Main!$A$102:$Q$125,1+I24,FALSE))-1-SEARCH("::",VLOOKUP($K$18,[2]Main!$A$102:$Q$125,1+I24,FALSE)))))</f>
        <v>#VALUE!</v>
      </c>
    </row>
    <row r="25" spans="1:12">
      <c r="I25" s="115">
        <v>7</v>
      </c>
      <c r="J25" s="15" t="e">
        <f>IF($K$18="","",IF(VLOOKUP($K$18,[2]Main!$A$102:$Q$125,1+I25,FALSE)="","",LEFT(VLOOKUP($K$18,[2]Main!$A$102:$Q$125,1+I25,FALSE),SEARCH("::",VLOOKUP($K$18,[2]Main!$A$102:$Q$125,1+I25,FALSE))-1)))</f>
        <v>#VALUE!</v>
      </c>
      <c r="K25" s="45"/>
      <c r="L25" s="46" t="e">
        <f>IF(TRIM(J25)=""," ",IF($K$18="","",RIGHT(VLOOKUP($K$18,[2]Main!$A$102:$Q$125,1+I25,FALSE),LEN(VLOOKUP($K$18,[2]Main!$A$102:$Q$125,1+I25,FALSE))-1-SEARCH("::",VLOOKUP($K$18,[2]Main!$A$102:$Q$125,1+I25,FALSE)))))</f>
        <v>#VALUE!</v>
      </c>
    </row>
    <row r="26" spans="1:12">
      <c r="I26" s="115">
        <v>8</v>
      </c>
      <c r="J26" s="15" t="str">
        <f>IF($K$18="","",IF(VLOOKUP($K$18,[2]Main!$A$102:$Q$125,1+I26,FALSE)="","",LEFT(VLOOKUP($K$18,[2]Main!$A$102:$Q$125,1+I26,FALSE),SEARCH("::",VLOOKUP($K$18,[2]Main!$A$102:$Q$125,1+I26,FALSE))-1)))</f>
        <v/>
      </c>
      <c r="K26" s="45"/>
      <c r="L26" s="46" t="str">
        <f>IF(TRIM(J26)=""," ",IF($K$18="","",RIGHT(VLOOKUP($K$18,[2]Main!$A$102:$Q$125,1+I26,FALSE),LEN(VLOOKUP($K$18,[2]Main!$A$102:$Q$125,1+I26,FALSE))-1-SEARCH("::",VLOOKUP($K$18,[2]Main!$A$102:$Q$125,1+I26,FALSE)))))</f>
        <v xml:space="preserve"> </v>
      </c>
    </row>
    <row r="30" spans="1:12">
      <c r="I30" s="113" t="s">
        <v>234</v>
      </c>
    </row>
    <row r="31" spans="1:12">
      <c r="I31" s="113" t="s">
        <v>235</v>
      </c>
    </row>
    <row r="32" spans="1:12">
      <c r="I32" s="113" t="s">
        <v>236</v>
      </c>
    </row>
    <row r="33" spans="9:12">
      <c r="I33" s="113" t="s">
        <v>237</v>
      </c>
      <c r="L33" s="115" t="s">
        <v>238</v>
      </c>
    </row>
    <row r="34" spans="9:12">
      <c r="I34" s="113" t="s">
        <v>138</v>
      </c>
      <c r="L34" s="123" t="s">
        <v>259</v>
      </c>
    </row>
    <row r="35" spans="9:12">
      <c r="L35" s="144" t="s">
        <v>315</v>
      </c>
    </row>
    <row r="36" spans="9:12">
      <c r="L36" s="145" t="s">
        <v>315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31" r:id="rId1" display="T:\PRODUKTIE\SOFTWARE\Public\Products\Speedocal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7"/>
  <sheetViews>
    <sheetView workbookViewId="0">
      <selection activeCell="L13" sqref="L13"/>
    </sheetView>
  </sheetViews>
  <sheetFormatPr defaultColWidth="11.42578125" defaultRowHeight="15"/>
  <cols>
    <col min="1" max="1" width="11.42578125" style="94"/>
    <col min="2" max="2" width="11.42578125" style="94" bestFit="1" customWidth="1"/>
    <col min="3" max="8" width="17.140625" style="94" customWidth="1"/>
    <col min="9" max="9" width="11.42578125" style="94"/>
    <col min="10" max="10" width="13.85546875" style="94" bestFit="1" customWidth="1"/>
    <col min="11" max="11" width="11.42578125" style="94"/>
    <col min="12" max="12" width="92.42578125" style="94" customWidth="1"/>
    <col min="13" max="16384" width="11.42578125" style="94"/>
  </cols>
  <sheetData>
    <row r="1" spans="1:11">
      <c r="A1" s="150" t="s">
        <v>12</v>
      </c>
      <c r="B1" s="149"/>
      <c r="C1" s="148"/>
      <c r="D1" s="149"/>
      <c r="E1" s="148"/>
      <c r="F1" s="149"/>
      <c r="G1" s="148"/>
      <c r="H1" s="149"/>
      <c r="I1" s="37"/>
    </row>
    <row r="2" spans="1:11">
      <c r="A2" s="14"/>
      <c r="B2" s="15" t="s">
        <v>13</v>
      </c>
      <c r="C2" s="95" t="s">
        <v>187</v>
      </c>
      <c r="D2" s="17"/>
      <c r="E2" s="17"/>
      <c r="F2" s="17"/>
      <c r="G2" s="15" t="s">
        <v>15</v>
      </c>
      <c r="H2" s="91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91"/>
    </row>
    <row r="4" spans="1:11">
      <c r="A4" s="18"/>
      <c r="B4" s="15" t="s">
        <v>18</v>
      </c>
      <c r="C4" s="91" t="s">
        <v>188</v>
      </c>
      <c r="J4" s="15" t="s">
        <v>72</v>
      </c>
      <c r="K4" s="91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91"/>
    </row>
    <row r="6" spans="1:11">
      <c r="A6" s="150" t="s">
        <v>19</v>
      </c>
      <c r="B6" s="149"/>
      <c r="C6" s="148"/>
      <c r="D6" s="149"/>
      <c r="E6" s="148"/>
      <c r="F6" s="149"/>
      <c r="G6" s="148"/>
      <c r="H6" s="149"/>
      <c r="I6" s="39"/>
      <c r="J6" s="15" t="s">
        <v>74</v>
      </c>
      <c r="K6" s="91"/>
    </row>
    <row r="7" spans="1:11">
      <c r="A7" s="14"/>
      <c r="B7" s="14"/>
      <c r="C7" s="22" t="s">
        <v>20</v>
      </c>
      <c r="D7" s="22" t="s">
        <v>21</v>
      </c>
      <c r="E7" s="22" t="s">
        <v>23</v>
      </c>
      <c r="F7" s="22" t="s">
        <v>22</v>
      </c>
      <c r="G7" s="22" t="s">
        <v>24</v>
      </c>
      <c r="H7" s="17"/>
      <c r="J7" s="15" t="s">
        <v>75</v>
      </c>
      <c r="K7" s="91"/>
    </row>
    <row r="8" spans="1:11">
      <c r="A8" s="18"/>
      <c r="B8" s="15" t="s">
        <v>25</v>
      </c>
      <c r="C8" s="91">
        <v>1</v>
      </c>
      <c r="D8" s="91">
        <v>2</v>
      </c>
      <c r="E8" s="91"/>
      <c r="F8" s="91"/>
      <c r="G8" s="91"/>
      <c r="J8" s="15" t="s">
        <v>76</v>
      </c>
      <c r="K8" s="91"/>
    </row>
    <row r="9" spans="1:11">
      <c r="A9" s="18"/>
      <c r="B9" s="15" t="s">
        <v>26</v>
      </c>
      <c r="C9" s="91"/>
      <c r="D9" s="91"/>
      <c r="E9" s="91"/>
      <c r="F9" s="91"/>
      <c r="G9" s="91"/>
      <c r="J9" s="15" t="s">
        <v>77</v>
      </c>
      <c r="K9" s="91"/>
    </row>
    <row r="10" spans="1:11">
      <c r="A10" s="18"/>
      <c r="B10" s="15" t="s">
        <v>27</v>
      </c>
      <c r="C10" s="91"/>
      <c r="D10" s="91"/>
      <c r="E10" s="91"/>
      <c r="F10" s="91"/>
      <c r="G10" s="91"/>
    </row>
    <row r="11" spans="1:11">
      <c r="A11" s="18"/>
      <c r="B11" s="15" t="s">
        <v>28</v>
      </c>
      <c r="C11" s="91"/>
      <c r="D11" s="91"/>
      <c r="E11" s="91"/>
      <c r="F11" s="91"/>
      <c r="G11" s="91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91"/>
    </row>
    <row r="13" spans="1:11">
      <c r="A13" s="148" t="s">
        <v>29</v>
      </c>
      <c r="B13" s="149"/>
      <c r="C13" s="148"/>
      <c r="D13" s="149"/>
      <c r="E13" s="148"/>
      <c r="F13" s="149"/>
      <c r="G13" s="148"/>
      <c r="H13" s="149"/>
      <c r="I13" s="39"/>
      <c r="J13" s="41" t="s">
        <v>80</v>
      </c>
      <c r="K13" s="91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91"/>
    </row>
    <row r="15" spans="1:11">
      <c r="A15" s="18"/>
      <c r="B15" s="15" t="s">
        <v>36</v>
      </c>
      <c r="C15" s="91"/>
      <c r="D15" s="91" t="s">
        <v>189</v>
      </c>
      <c r="E15" s="91"/>
      <c r="F15" s="23"/>
      <c r="G15" s="24"/>
      <c r="H15" s="91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91" t="e">
        <f>IF(COUNTIF([3]Main!C102:C120,#REF!)=1,#REF!,"")</f>
        <v>#VALUE!</v>
      </c>
    </row>
    <row r="19" spans="1:12">
      <c r="D19" s="91"/>
      <c r="F19" s="91"/>
      <c r="H19" s="91"/>
      <c r="J19" s="15" t="e">
        <f>IF($K$18="","",VLOOKUP($K$18,[3]Main!$C$102:$M$120,2,FALSE))</f>
        <v>#VALUE!</v>
      </c>
      <c r="K19" s="45" t="e">
        <f>IF(J19="project_code",[3]Main!B4," ")</f>
        <v>#VALUE!</v>
      </c>
      <c r="L19" s="46" t="e">
        <f>IF(TRIM(J19)=""," ",IF($K$18="","",VLOOKUP($K$18,[3]Main!$C$102:$M$120,8,FALSE)))</f>
        <v>#VALUE!</v>
      </c>
    </row>
    <row r="20" spans="1:12">
      <c r="C20" s="95"/>
      <c r="D20" s="91"/>
      <c r="E20" s="91"/>
      <c r="F20" s="91"/>
      <c r="G20" s="91"/>
      <c r="H20" s="91"/>
      <c r="J20" s="15" t="e">
        <f>IF($K$18="","",VLOOKUP($K$18,[3]Main!$C$102:$M$120,3,FALSE))</f>
        <v>#VALUE!</v>
      </c>
      <c r="K20" s="45"/>
      <c r="L20" s="46" t="e">
        <f>IF(TRIM(J20)=""," ",IF($K$18="","",VLOOKUP($K$18,[3]Main!$C$102:$M$120,9,FALSE)))</f>
        <v>#VALUE!</v>
      </c>
    </row>
    <row r="21" spans="1:12">
      <c r="C21" s="95"/>
      <c r="D21" s="91"/>
      <c r="E21" s="91"/>
      <c r="F21" s="91"/>
      <c r="G21" s="91"/>
      <c r="H21" s="91"/>
      <c r="J21" s="15" t="e">
        <f>IF($K$18="","",VLOOKUP($K$18,[3]Main!$C$102:$M$120,4,FALSE))</f>
        <v>#VALUE!</v>
      </c>
      <c r="K21" s="45"/>
      <c r="L21" s="46" t="e">
        <f>IF(TRIM(J21)=""," ",IF($K$18="","",VLOOKUP($K$18,[3]Main!$C$102:$M$120,10,FALSE)))</f>
        <v>#VALUE!</v>
      </c>
    </row>
    <row r="22" spans="1:12">
      <c r="C22" s="95"/>
      <c r="D22" s="91"/>
      <c r="E22" s="91"/>
      <c r="F22" s="91"/>
      <c r="G22" s="91"/>
      <c r="H22" s="91"/>
      <c r="J22" s="15" t="e">
        <f>IF($K$18="","",VLOOKUP($K$18,[3]Main!$C$102:$M$120,5,FALSE))</f>
        <v>#VALUE!</v>
      </c>
      <c r="K22" s="45"/>
      <c r="L22" s="46" t="e">
        <f>IF(TRIM(J22)=""," ",IF($K$18="","",VLOOKUP($K$18,[3]Main!$C$102:$M$120,11,FALSE)))</f>
        <v>#VALUE!</v>
      </c>
    </row>
    <row r="23" spans="1:12">
      <c r="C23" s="95"/>
      <c r="D23" s="91"/>
      <c r="E23" s="91"/>
      <c r="F23" s="91"/>
      <c r="G23" s="91"/>
      <c r="H23" s="91"/>
      <c r="J23" s="15" t="e">
        <f>IF($K$18="","",VLOOKUP($K$18,[3]Main!$C$102:$M$120,6,FALSE))</f>
        <v>#VALUE!</v>
      </c>
      <c r="K23" s="45"/>
      <c r="L23" s="46" t="e">
        <f>IF(TRIM(J23)=""," ",IF($K$18="","",VLOOKUP($K$18,[3]Main!$C$102:$M$120,12,FALSE)))</f>
        <v>#VALUE!</v>
      </c>
    </row>
    <row r="27" spans="1:12">
      <c r="L27" s="94" t="s">
        <v>190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2"/>
  <sheetViews>
    <sheetView workbookViewId="0">
      <selection activeCell="A24" sqref="A24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1.42578125" style="59"/>
    <col min="10" max="10" width="6.140625" style="59" customWidth="1"/>
    <col min="11" max="11" width="11.42578125" style="59"/>
    <col min="12" max="12" width="7.85546875" style="59" customWidth="1"/>
    <col min="13" max="13" width="7" style="59" customWidth="1"/>
    <col min="14" max="14" width="97.42578125" style="59" bestFit="1" customWidth="1"/>
    <col min="15" max="15" width="11.85546875" style="59" bestFit="1" customWidth="1"/>
    <col min="16" max="17" width="11.42578125" style="59"/>
    <col min="18" max="18" width="24.7109375" style="59" customWidth="1"/>
    <col min="19" max="16384" width="11.42578125" style="59"/>
  </cols>
  <sheetData>
    <row r="1" spans="1:8">
      <c r="A1" s="151" t="s">
        <v>12</v>
      </c>
      <c r="B1" s="152"/>
      <c r="C1" s="152"/>
      <c r="D1" s="152"/>
      <c r="E1" s="152"/>
      <c r="F1" s="152"/>
      <c r="G1" s="152"/>
      <c r="H1" s="153"/>
    </row>
    <row r="2" spans="1:8">
      <c r="A2" s="60"/>
      <c r="B2" s="61" t="s">
        <v>13</v>
      </c>
      <c r="C2" s="62" t="s">
        <v>151</v>
      </c>
      <c r="G2" s="61" t="s">
        <v>15</v>
      </c>
      <c r="H2" s="63"/>
    </row>
    <row r="3" spans="1:8">
      <c r="A3" s="60"/>
      <c r="B3" s="61" t="s">
        <v>16</v>
      </c>
      <c r="C3" s="154"/>
      <c r="D3" s="155"/>
    </row>
    <row r="4" spans="1:8">
      <c r="A4" s="60"/>
      <c r="B4" s="61" t="s">
        <v>18</v>
      </c>
      <c r="C4" s="63">
        <v>1007</v>
      </c>
    </row>
    <row r="5" spans="1:8">
      <c r="A5" s="60"/>
      <c r="B5" s="60"/>
    </row>
    <row r="6" spans="1:8">
      <c r="A6" s="151" t="s">
        <v>19</v>
      </c>
      <c r="B6" s="152"/>
      <c r="C6" s="152"/>
      <c r="D6" s="152"/>
      <c r="E6" s="152"/>
      <c r="F6" s="152"/>
      <c r="G6" s="152"/>
      <c r="H6" s="153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/>
      <c r="D8" s="63">
        <v>1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51" t="s">
        <v>29</v>
      </c>
      <c r="B13" s="152"/>
      <c r="C13" s="152"/>
      <c r="D13" s="152"/>
      <c r="E13" s="152"/>
      <c r="F13" s="152"/>
      <c r="G13" s="152"/>
      <c r="H13" s="153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158</v>
      </c>
      <c r="E15" s="63"/>
      <c r="F15" s="65"/>
      <c r="G15" s="66"/>
      <c r="H15" s="63"/>
    </row>
    <row r="16" spans="1:8">
      <c r="A16" s="60"/>
      <c r="B16" s="60"/>
    </row>
    <row r="17" spans="1:17">
      <c r="A17" s="151" t="s">
        <v>37</v>
      </c>
      <c r="B17" s="152"/>
      <c r="C17" s="67"/>
      <c r="D17" s="67"/>
      <c r="E17" s="68" t="s">
        <v>38</v>
      </c>
      <c r="F17" s="67"/>
      <c r="G17" s="67"/>
      <c r="H17" s="69"/>
      <c r="J17" s="151" t="s">
        <v>82</v>
      </c>
      <c r="K17" s="152"/>
      <c r="L17" s="152"/>
      <c r="M17" s="152"/>
      <c r="N17" s="152"/>
      <c r="O17" s="152"/>
      <c r="P17" s="152"/>
      <c r="Q17" s="153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121</v>
      </c>
      <c r="M18" s="70" t="s">
        <v>122</v>
      </c>
      <c r="N18" s="70" t="s">
        <v>106</v>
      </c>
      <c r="O18" s="70" t="s">
        <v>106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151</v>
      </c>
      <c r="L19" s="59">
        <v>5</v>
      </c>
      <c r="M19" s="59">
        <v>0.1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</row>
    <row r="24" spans="1:17">
      <c r="N24" s="85" t="s">
        <v>157</v>
      </c>
    </row>
    <row r="25" spans="1:17">
      <c r="N25" s="102" t="s">
        <v>209</v>
      </c>
    </row>
    <row r="28" spans="1:17">
      <c r="H28" s="84" t="s">
        <v>152</v>
      </c>
    </row>
    <row r="29" spans="1:17">
      <c r="H29" s="84" t="s">
        <v>153</v>
      </c>
    </row>
    <row r="30" spans="1:17">
      <c r="H30" s="84" t="s">
        <v>154</v>
      </c>
    </row>
    <row r="31" spans="1:17">
      <c r="H31" s="84" t="s">
        <v>155</v>
      </c>
    </row>
    <row r="32" spans="1:17">
      <c r="H32" s="84" t="s">
        <v>156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G93"/>
  <sheetViews>
    <sheetView zoomScaleNormal="100" workbookViewId="0">
      <selection activeCell="B15" sqref="B15"/>
    </sheetView>
  </sheetViews>
  <sheetFormatPr defaultRowHeight="15"/>
  <cols>
    <col min="1" max="1" width="55.85546875" customWidth="1"/>
    <col min="2" max="2" width="57.85546875" customWidth="1"/>
    <col min="4" max="4" width="108.28515625" customWidth="1"/>
    <col min="5" max="5" width="45.5703125" customWidth="1"/>
    <col min="6" max="6" width="14.7109375" customWidth="1"/>
    <col min="7" max="7" width="18.28515625" customWidth="1"/>
    <col min="8" max="8" width="13.42578125" customWidth="1"/>
    <col min="15" max="15" width="17.85546875" customWidth="1"/>
    <col min="16" max="16" width="16.140625" customWidth="1"/>
  </cols>
  <sheetData>
    <row r="1" spans="1:7" ht="242.25" customHeight="1">
      <c r="A1" s="3" t="s">
        <v>4</v>
      </c>
      <c r="B1" s="6" t="s">
        <v>9</v>
      </c>
      <c r="C1">
        <v>6</v>
      </c>
      <c r="D1" t="s">
        <v>0</v>
      </c>
      <c r="E1" t="s">
        <v>5</v>
      </c>
      <c r="F1" s="4"/>
    </row>
    <row r="2" spans="1:7">
      <c r="D2" t="s">
        <v>1</v>
      </c>
      <c r="E2" t="s">
        <v>6</v>
      </c>
    </row>
    <row r="3" spans="1:7">
      <c r="D3" s="13" t="s">
        <v>2</v>
      </c>
      <c r="E3" t="s">
        <v>7</v>
      </c>
    </row>
    <row r="4" spans="1:7">
      <c r="D4" t="s">
        <v>3</v>
      </c>
      <c r="E4" t="s">
        <v>8</v>
      </c>
    </row>
    <row r="5" spans="1:7">
      <c r="D5" t="s">
        <v>4</v>
      </c>
      <c r="E5" t="s">
        <v>9</v>
      </c>
    </row>
    <row r="6" spans="1:7">
      <c r="D6" t="s">
        <v>11</v>
      </c>
      <c r="G6" s="54" t="s">
        <v>11</v>
      </c>
    </row>
    <row r="7" spans="1:7">
      <c r="D7" s="30" t="s">
        <v>54</v>
      </c>
    </row>
    <row r="8" spans="1:7">
      <c r="D8" t="s">
        <v>10</v>
      </c>
    </row>
    <row r="9" spans="1:7">
      <c r="D9" t="s">
        <v>53</v>
      </c>
    </row>
    <row r="10" spans="1:7">
      <c r="C10" s="34" t="s">
        <v>66</v>
      </c>
      <c r="D10" s="31" t="s">
        <v>62</v>
      </c>
      <c r="E10" t="s">
        <v>55</v>
      </c>
    </row>
    <row r="11" spans="1:7">
      <c r="D11" t="s">
        <v>63</v>
      </c>
    </row>
    <row r="12" spans="1:7">
      <c r="D12" t="s">
        <v>68</v>
      </c>
      <c r="E12" t="s">
        <v>59</v>
      </c>
    </row>
    <row r="13" spans="1:7">
      <c r="D13" t="s">
        <v>67</v>
      </c>
    </row>
    <row r="14" spans="1:7">
      <c r="D14" s="34" t="s">
        <v>64</v>
      </c>
      <c r="E14" t="s">
        <v>65</v>
      </c>
    </row>
    <row r="15" spans="1:7">
      <c r="D15" s="5"/>
    </row>
    <row r="16" spans="1:7">
      <c r="D16" t="s">
        <v>102</v>
      </c>
    </row>
    <row r="17" spans="4:5">
      <c r="D17" t="s">
        <v>93</v>
      </c>
    </row>
    <row r="18" spans="4:5">
      <c r="D18" s="51" t="s">
        <v>101</v>
      </c>
    </row>
    <row r="19" spans="4:5">
      <c r="D19" s="53" t="s">
        <v>107</v>
      </c>
    </row>
    <row r="20" spans="4:5">
      <c r="D20" s="1"/>
      <c r="E20" s="1"/>
    </row>
    <row r="23" spans="4:5">
      <c r="D23" t="s">
        <v>108</v>
      </c>
    </row>
    <row r="24" spans="4:5">
      <c r="D24" s="8"/>
    </row>
    <row r="27" spans="4:5">
      <c r="D27" s="54" t="s">
        <v>109</v>
      </c>
    </row>
    <row r="36" spans="4:4">
      <c r="D36" s="8"/>
    </row>
    <row r="48" spans="4:4" ht="57" customHeight="1">
      <c r="D48" s="1"/>
    </row>
    <row r="49" spans="4:5" ht="57" customHeight="1">
      <c r="E49" s="1"/>
    </row>
    <row r="50" spans="4:5" ht="57" customHeight="1">
      <c r="E50" s="1"/>
    </row>
    <row r="51" spans="4:5" ht="57" customHeight="1">
      <c r="E51" s="1"/>
    </row>
    <row r="52" spans="4:5" ht="57" customHeight="1">
      <c r="E52" s="1"/>
    </row>
    <row r="53" spans="4:5" ht="57" customHeight="1">
      <c r="D53" s="1"/>
    </row>
    <row r="54" spans="4:5">
      <c r="D54" s="2"/>
      <c r="E54" s="1"/>
    </row>
    <row r="55" spans="4:5">
      <c r="E55" s="1"/>
    </row>
    <row r="59" spans="4:5">
      <c r="D59" s="8"/>
    </row>
    <row r="60" spans="4:5">
      <c r="D60" s="12"/>
    </row>
    <row r="61" spans="4:5">
      <c r="D61" s="8"/>
    </row>
    <row r="66" spans="4:5">
      <c r="E66" s="7"/>
    </row>
    <row r="70" spans="4:5">
      <c r="E70" s="10"/>
    </row>
    <row r="71" spans="4:5">
      <c r="D71" s="10"/>
    </row>
    <row r="72" spans="4:5">
      <c r="D72" s="10"/>
    </row>
    <row r="73" spans="4:5">
      <c r="D73" s="8"/>
    </row>
    <row r="74" spans="4:5">
      <c r="D74" s="5"/>
    </row>
    <row r="75" spans="4:5">
      <c r="D75" s="5"/>
    </row>
    <row r="76" spans="4:5">
      <c r="D76" s="5"/>
    </row>
    <row r="77" spans="4:5">
      <c r="D77" s="5"/>
    </row>
    <row r="78" spans="4:5">
      <c r="D78" s="1"/>
    </row>
    <row r="79" spans="4:5">
      <c r="D79" s="5"/>
    </row>
    <row r="80" spans="4:5">
      <c r="D80" s="5"/>
    </row>
    <row r="81" spans="4:5">
      <c r="D81" s="5"/>
    </row>
    <row r="82" spans="4:5">
      <c r="D82" s="1"/>
    </row>
    <row r="83" spans="4:5">
      <c r="D83" s="5"/>
      <c r="E83" s="9"/>
    </row>
    <row r="84" spans="4:5">
      <c r="E84" s="9"/>
    </row>
    <row r="85" spans="4:5">
      <c r="D85" s="5"/>
    </row>
    <row r="86" spans="4:5">
      <c r="D86" s="5"/>
    </row>
    <row r="87" spans="4:5">
      <c r="D87" s="5"/>
    </row>
    <row r="88" spans="4:5">
      <c r="D88" s="11"/>
    </row>
    <row r="89" spans="4:5">
      <c r="D89" s="1"/>
    </row>
    <row r="90" spans="4:5">
      <c r="D90" s="2"/>
      <c r="E90" s="1"/>
    </row>
    <row r="91" spans="4:5">
      <c r="E91" s="1"/>
    </row>
    <row r="92" spans="4:5">
      <c r="D92" s="5"/>
    </row>
    <row r="93" spans="4:5">
      <c r="D93" s="5"/>
    </row>
  </sheetData>
  <hyperlinks>
    <hyperlink ref="D1" r:id="rId1" display="https://www.armbian.com/orange-pi-one/"/>
    <hyperlink ref="D14" r:id="rId2"/>
    <hyperlink ref="C10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0</xdr:col>
                <xdr:colOff>981075</xdr:colOff>
                <xdr:row>2</xdr:row>
                <xdr:rowOff>9525</xdr:rowOff>
              </from>
              <to>
                <xdr:col>1</xdr:col>
                <xdr:colOff>2495550</xdr:colOff>
                <xdr:row>5</xdr:row>
                <xdr:rowOff>133350</xdr:rowOff>
              </to>
            </anchor>
          </controlPr>
        </control>
      </mc:Choice>
      <mc:Fallback>
        <control shapeId="1025" r:id="rId7" name="CommandButton1"/>
      </mc:Fallback>
    </mc:AlternateContent>
    <mc:AlternateContent xmlns:mc="http://schemas.openxmlformats.org/markup-compatibility/2006">
      <mc:Choice Requires="x14">
        <control shapeId="1026" r:id="rId9" name="CommandButton2">
          <controlPr autoLine="0" r:id="rId10">
            <anchor moveWithCells="1">
              <from>
                <xdr:col>0</xdr:col>
                <xdr:colOff>47625</xdr:colOff>
                <xdr:row>2</xdr:row>
                <xdr:rowOff>57150</xdr:rowOff>
              </from>
              <to>
                <xdr:col>0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26" r:id="rId9" name="CommandButton2"/>
      </mc:Fallback>
    </mc:AlternateContent>
    <mc:AlternateContent xmlns:mc="http://schemas.openxmlformats.org/markup-compatibility/2006">
      <mc:Choice Requires="x14">
        <control shapeId="1027" r:id="rId11" name="CommandButton3">
          <controlPr autoLine="0" r:id="rId12">
            <anchor moveWithCells="1">
              <from>
                <xdr:col>0</xdr:col>
                <xdr:colOff>28575</xdr:colOff>
                <xdr:row>4</xdr:row>
                <xdr:rowOff>28575</xdr:rowOff>
              </from>
              <to>
                <xdr:col>0</xdr:col>
                <xdr:colOff>942975</xdr:colOff>
                <xdr:row>5</xdr:row>
                <xdr:rowOff>142875</xdr:rowOff>
              </to>
            </anchor>
          </controlPr>
        </control>
      </mc:Choice>
      <mc:Fallback>
        <control shapeId="1027" r:id="rId11" name="CommandButton3"/>
      </mc:Fallback>
    </mc:AlternateContent>
    <mc:AlternateContent xmlns:mc="http://schemas.openxmlformats.org/markup-compatibility/2006">
      <mc:Choice Requires="x14">
        <control shapeId="1028" r:id="rId13" name="CommandButton4">
          <controlPr autoLine="0" r:id="rId14">
            <anchor moveWithCells="1">
              <from>
                <xdr:col>0</xdr:col>
                <xdr:colOff>752475</xdr:colOff>
                <xdr:row>18</xdr:row>
                <xdr:rowOff>114300</xdr:rowOff>
              </from>
              <to>
                <xdr:col>0</xdr:col>
                <xdr:colOff>1800225</xdr:colOff>
                <xdr:row>20</xdr:row>
                <xdr:rowOff>38100</xdr:rowOff>
              </to>
            </anchor>
          </controlPr>
        </control>
      </mc:Choice>
      <mc:Fallback>
        <control shapeId="1028" r:id="rId13" name="CommandButton4"/>
      </mc:Fallback>
    </mc:AlternateContent>
    <mc:AlternateContent xmlns:mc="http://schemas.openxmlformats.org/markup-compatibility/2006">
      <mc:Choice Requires="x14">
        <control shapeId="1029" r:id="rId15" name="CommandButton5">
          <controlPr autoLine="0" r:id="rId16">
            <anchor moveWithCells="1">
              <from>
                <xdr:col>0</xdr:col>
                <xdr:colOff>581025</xdr:colOff>
                <xdr:row>9</xdr:row>
                <xdr:rowOff>0</xdr:rowOff>
              </from>
              <to>
                <xdr:col>1</xdr:col>
                <xdr:colOff>733425</xdr:colOff>
                <xdr:row>10</xdr:row>
                <xdr:rowOff>114300</xdr:rowOff>
              </to>
            </anchor>
          </controlPr>
        </control>
      </mc:Choice>
      <mc:Fallback>
        <control shapeId="1029" r:id="rId15" name="CommandButton5"/>
      </mc:Fallback>
    </mc:AlternateContent>
    <mc:AlternateContent xmlns:mc="http://schemas.openxmlformats.org/markup-compatibility/2006">
      <mc:Choice Requires="x14">
        <control shapeId="1034" r:id="rId17" name="CommandButton10">
          <controlPr defaultSize="0" autoLine="0" r:id="rId18">
            <anchor moveWithCells="1">
              <from>
                <xdr:col>0</xdr:col>
                <xdr:colOff>2047875</xdr:colOff>
                <xdr:row>19</xdr:row>
                <xdr:rowOff>95250</xdr:rowOff>
              </from>
              <to>
                <xdr:col>1</xdr:col>
                <xdr:colOff>190500</xdr:colOff>
                <xdr:row>20</xdr:row>
                <xdr:rowOff>161925</xdr:rowOff>
              </to>
            </anchor>
          </controlPr>
        </control>
      </mc:Choice>
      <mc:Fallback>
        <control shapeId="1034" r:id="rId17" name="CommandButton10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opLeftCell="B1" workbookViewId="0">
      <selection activeCell="M30" sqref="M30"/>
    </sheetView>
  </sheetViews>
  <sheetFormatPr defaultColWidth="11.42578125" defaultRowHeight="15"/>
  <cols>
    <col min="1" max="1" width="11.42578125" style="74"/>
    <col min="2" max="2" width="11.42578125" style="74" bestFit="1" customWidth="1"/>
    <col min="3" max="8" width="17.140625" style="74" customWidth="1"/>
    <col min="9" max="9" width="11.42578125" style="74"/>
    <col min="10" max="10" width="13.85546875" style="74" bestFit="1" customWidth="1"/>
    <col min="11" max="12" width="11.42578125" style="74"/>
    <col min="13" max="13" width="91.85546875" style="74" bestFit="1" customWidth="1"/>
    <col min="14" max="16384" width="11.42578125" style="74"/>
  </cols>
  <sheetData>
    <row r="1" spans="1:11">
      <c r="A1" s="150" t="s">
        <v>12</v>
      </c>
      <c r="B1" s="149"/>
      <c r="C1" s="148"/>
      <c r="D1" s="149"/>
      <c r="E1" s="148"/>
      <c r="F1" s="149"/>
      <c r="G1" s="148"/>
      <c r="H1" s="149"/>
      <c r="I1" s="37"/>
    </row>
    <row r="2" spans="1:11">
      <c r="A2" s="14"/>
      <c r="B2" s="15" t="s">
        <v>13</v>
      </c>
      <c r="C2" s="99" t="s">
        <v>123</v>
      </c>
      <c r="D2" s="17"/>
      <c r="E2" s="17"/>
      <c r="F2" s="17"/>
      <c r="G2" s="15" t="s">
        <v>15</v>
      </c>
      <c r="H2" s="99"/>
      <c r="K2" s="38" t="s">
        <v>70</v>
      </c>
    </row>
    <row r="3" spans="1:11">
      <c r="A3" s="18"/>
      <c r="B3" s="15" t="s">
        <v>16</v>
      </c>
      <c r="C3" s="19"/>
      <c r="D3" s="108"/>
      <c r="E3" s="108"/>
      <c r="F3" s="108"/>
      <c r="G3" s="15" t="s">
        <v>17</v>
      </c>
      <c r="H3" s="99"/>
      <c r="J3" s="15" t="s">
        <v>71</v>
      </c>
      <c r="K3" s="16"/>
    </row>
    <row r="4" spans="1:11">
      <c r="A4" s="18"/>
      <c r="B4" s="15" t="s">
        <v>18</v>
      </c>
      <c r="C4" s="99" t="s">
        <v>222</v>
      </c>
      <c r="D4" s="108"/>
      <c r="E4" s="108"/>
      <c r="F4" s="108"/>
      <c r="G4" s="108"/>
      <c r="H4" s="108"/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50" t="s">
        <v>19</v>
      </c>
      <c r="B6" s="149"/>
      <c r="C6" s="148"/>
      <c r="D6" s="149"/>
      <c r="E6" s="148"/>
      <c r="F6" s="149"/>
      <c r="G6" s="148"/>
      <c r="H6" s="149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6"/>
    </row>
    <row r="8" spans="1:11">
      <c r="A8" s="18"/>
      <c r="B8" s="15" t="s">
        <v>25</v>
      </c>
      <c r="C8" s="99"/>
      <c r="D8" s="99"/>
      <c r="E8" s="99"/>
      <c r="F8" s="99"/>
      <c r="G8" s="99"/>
      <c r="H8" s="99">
        <v>1</v>
      </c>
      <c r="J8" s="15" t="s">
        <v>76</v>
      </c>
      <c r="K8" s="16"/>
    </row>
    <row r="9" spans="1:11">
      <c r="A9" s="18"/>
      <c r="B9" s="15" t="s">
        <v>26</v>
      </c>
      <c r="C9" s="99"/>
      <c r="D9" s="99"/>
      <c r="E9" s="99"/>
      <c r="F9" s="99"/>
      <c r="G9" s="99"/>
      <c r="H9" s="99"/>
      <c r="J9" s="15" t="s">
        <v>77</v>
      </c>
      <c r="K9" s="16"/>
    </row>
    <row r="10" spans="1:11">
      <c r="A10" s="18"/>
      <c r="B10" s="15" t="s">
        <v>27</v>
      </c>
      <c r="C10" s="99"/>
      <c r="D10" s="99"/>
      <c r="E10" s="99"/>
      <c r="F10" s="99"/>
      <c r="G10" s="99"/>
      <c r="H10" s="99"/>
    </row>
    <row r="11" spans="1:11">
      <c r="A11" s="18"/>
      <c r="B11" s="15" t="s">
        <v>28</v>
      </c>
      <c r="C11" s="99"/>
      <c r="D11" s="99"/>
      <c r="E11" s="99"/>
      <c r="F11" s="99"/>
      <c r="G11" s="99"/>
      <c r="H11" s="99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48" t="s">
        <v>29</v>
      </c>
      <c r="B13" s="149"/>
      <c r="C13" s="148"/>
      <c r="D13" s="149"/>
      <c r="E13" s="148"/>
      <c r="F13" s="149"/>
      <c r="G13" s="148"/>
      <c r="H13" s="149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99"/>
      <c r="D15" s="99" t="s">
        <v>124</v>
      </c>
      <c r="E15" s="99"/>
      <c r="F15" s="23"/>
      <c r="G15" s="24"/>
      <c r="H15" s="99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3">
      <c r="C19" s="99"/>
      <c r="D19" s="99"/>
      <c r="E19" s="99"/>
      <c r="F19" s="99"/>
      <c r="G19" s="99"/>
      <c r="H19" s="99"/>
      <c r="I19" s="74">
        <v>1</v>
      </c>
      <c r="J19" s="15" t="e">
        <v>#VALUE!</v>
      </c>
      <c r="K19" s="45" t="e">
        <v>#VALUE!</v>
      </c>
      <c r="L19" s="46" t="e">
        <v>#VALUE!</v>
      </c>
    </row>
    <row r="20" spans="1:13">
      <c r="C20" s="99"/>
      <c r="D20" s="99"/>
      <c r="E20" s="99"/>
      <c r="F20" s="99"/>
      <c r="G20" s="99"/>
      <c r="H20" s="99"/>
      <c r="I20" s="74">
        <v>2</v>
      </c>
      <c r="J20" s="15" t="e">
        <v>#VALUE!</v>
      </c>
      <c r="K20" s="45"/>
      <c r="L20" s="46" t="e">
        <v>#VALUE!</v>
      </c>
    </row>
    <row r="21" spans="1:13">
      <c r="C21" s="99"/>
      <c r="D21" s="99"/>
      <c r="E21" s="99"/>
      <c r="F21" s="99"/>
      <c r="G21" s="99"/>
      <c r="H21" s="99"/>
      <c r="I21" s="74">
        <v>3</v>
      </c>
      <c r="J21" s="15" t="e">
        <v>#VALUE!</v>
      </c>
      <c r="K21" s="45"/>
      <c r="L21" s="46" t="e">
        <v>#VALUE!</v>
      </c>
    </row>
    <row r="22" spans="1:13">
      <c r="C22" s="99"/>
      <c r="D22" s="99"/>
      <c r="E22" s="99"/>
      <c r="F22" s="99"/>
      <c r="G22" s="99"/>
      <c r="H22" s="99"/>
      <c r="I22" s="74">
        <v>4</v>
      </c>
      <c r="J22" s="15" t="e">
        <v>#VALUE!</v>
      </c>
      <c r="K22" s="45"/>
      <c r="L22" s="46" t="e">
        <v>#VALUE!</v>
      </c>
    </row>
    <row r="23" spans="1:13">
      <c r="C23" s="99"/>
      <c r="D23" s="99"/>
      <c r="E23" s="99"/>
      <c r="F23" s="99"/>
      <c r="G23" s="99"/>
      <c r="H23" s="99"/>
      <c r="I23" s="74">
        <v>5</v>
      </c>
      <c r="J23" s="15" t="e">
        <v>#VALUE!</v>
      </c>
      <c r="K23" s="45"/>
      <c r="L23" s="46" t="e">
        <v>#VALUE!</v>
      </c>
    </row>
    <row r="24" spans="1:13">
      <c r="I24" s="74">
        <v>6</v>
      </c>
      <c r="J24" s="15" t="e">
        <v>#VALUE!</v>
      </c>
      <c r="K24" s="45"/>
      <c r="L24" s="46" t="e">
        <v>#VALUE!</v>
      </c>
    </row>
    <row r="25" spans="1:13">
      <c r="I25" s="74">
        <v>7</v>
      </c>
      <c r="J25" s="15" t="e">
        <v>#VALUE!</v>
      </c>
      <c r="K25" s="45"/>
      <c r="L25" s="46" t="e">
        <v>#VALUE!</v>
      </c>
    </row>
    <row r="26" spans="1:13">
      <c r="I26" s="74">
        <v>8</v>
      </c>
      <c r="J26" s="15" t="e">
        <v>#VALUE!</v>
      </c>
      <c r="K26" s="45"/>
      <c r="L26" s="46" t="e">
        <v>#VALUE!</v>
      </c>
    </row>
    <row r="29" spans="1:13">
      <c r="M29" s="107" t="s">
        <v>221</v>
      </c>
    </row>
    <row r="30" spans="1:13">
      <c r="D30" s="74" t="s">
        <v>125</v>
      </c>
      <c r="M30" s="109" t="s">
        <v>224</v>
      </c>
    </row>
    <row r="31" spans="1:13">
      <c r="D31" s="34" t="s">
        <v>223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hyperlinks>
    <hyperlink ref="D31" r:id="rId1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37"/>
  <sheetViews>
    <sheetView topLeftCell="B1" workbookViewId="0">
      <selection activeCell="L32" sqref="L32"/>
    </sheetView>
  </sheetViews>
  <sheetFormatPr defaultColWidth="11.42578125" defaultRowHeight="15"/>
  <cols>
    <col min="1" max="1" width="11.42578125" style="48"/>
    <col min="2" max="2" width="11.42578125" style="48" bestFit="1" customWidth="1"/>
    <col min="3" max="8" width="17.140625" style="48" customWidth="1"/>
    <col min="9" max="9" width="5.28515625" style="48" customWidth="1"/>
    <col min="10" max="10" width="13.85546875" style="48" bestFit="1" customWidth="1"/>
    <col min="11" max="11" width="11.42578125" style="48"/>
    <col min="12" max="12" width="116" style="48" customWidth="1"/>
    <col min="13" max="16384" width="11.42578125" style="48"/>
  </cols>
  <sheetData>
    <row r="1" spans="1:11">
      <c r="A1" s="150" t="s">
        <v>12</v>
      </c>
      <c r="B1" s="149"/>
      <c r="C1" s="148"/>
      <c r="D1" s="149"/>
      <c r="E1" s="148"/>
      <c r="F1" s="149"/>
      <c r="G1" s="148"/>
      <c r="H1" s="149"/>
      <c r="I1" s="37"/>
    </row>
    <row r="2" spans="1:11">
      <c r="A2" s="14"/>
      <c r="B2" s="15" t="s">
        <v>13</v>
      </c>
      <c r="C2" s="49" t="s">
        <v>91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94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50" t="s">
        <v>19</v>
      </c>
      <c r="B6" s="149"/>
      <c r="C6" s="148"/>
      <c r="D6" s="149"/>
      <c r="E6" s="148"/>
      <c r="F6" s="149"/>
      <c r="G6" s="148"/>
      <c r="H6" s="149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 t="s">
        <v>99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48" t="s">
        <v>29</v>
      </c>
      <c r="B13" s="149"/>
      <c r="C13" s="148"/>
      <c r="D13" s="149"/>
      <c r="E13" s="148"/>
      <c r="F13" s="149"/>
      <c r="G13" s="148"/>
      <c r="H13" s="149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95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 t="s">
        <v>84</v>
      </c>
      <c r="D19" s="16"/>
      <c r="E19" s="16" t="s">
        <v>96</v>
      </c>
      <c r="F19" s="16"/>
      <c r="G19" s="16"/>
      <c r="H19" s="16"/>
      <c r="I19" s="48">
        <v>1</v>
      </c>
      <c r="J19" s="15"/>
      <c r="K19" s="50" t="s">
        <v>97</v>
      </c>
      <c r="L19" s="46"/>
    </row>
    <row r="20" spans="1:12">
      <c r="C20" s="16" t="s">
        <v>92</v>
      </c>
      <c r="D20" s="16"/>
      <c r="E20" s="16" t="s">
        <v>98</v>
      </c>
      <c r="F20" s="16"/>
      <c r="G20" s="16"/>
      <c r="H20" s="16"/>
      <c r="I20" s="48">
        <v>2</v>
      </c>
      <c r="J20" s="15"/>
      <c r="K20" s="45">
        <v>2</v>
      </c>
      <c r="L20" s="46"/>
    </row>
    <row r="21" spans="1:12">
      <c r="C21" s="16"/>
      <c r="D21" s="16"/>
      <c r="E21" s="16"/>
      <c r="F21" s="16"/>
      <c r="G21" s="16"/>
      <c r="H21" s="16"/>
      <c r="I21" s="48">
        <v>3</v>
      </c>
      <c r="J21" s="15"/>
      <c r="K21" s="45">
        <f>0.035*50</f>
        <v>1.7500000000000002</v>
      </c>
      <c r="L21" s="46"/>
    </row>
    <row r="22" spans="1:12">
      <c r="C22" s="16"/>
      <c r="D22" s="16"/>
      <c r="E22" s="16"/>
      <c r="F22" s="16"/>
      <c r="G22" s="16"/>
      <c r="H22" s="16"/>
      <c r="I22" s="48">
        <v>4</v>
      </c>
      <c r="J22" s="15"/>
      <c r="K22" s="45">
        <f>0.025*50</f>
        <v>1.25</v>
      </c>
      <c r="L22" s="46"/>
    </row>
    <row r="23" spans="1:12">
      <c r="C23" s="16"/>
      <c r="D23" s="16"/>
      <c r="E23" s="16"/>
      <c r="F23" s="16"/>
      <c r="G23" s="16"/>
      <c r="H23" s="16"/>
      <c r="I23" s="48">
        <v>5</v>
      </c>
      <c r="J23" s="15"/>
      <c r="K23" s="45"/>
      <c r="L23" s="46"/>
    </row>
    <row r="24" spans="1:12">
      <c r="I24" s="48">
        <v>6</v>
      </c>
      <c r="J24" s="15"/>
      <c r="K24" s="45"/>
      <c r="L24" s="46"/>
    </row>
    <row r="25" spans="1:12">
      <c r="I25" s="48">
        <v>7</v>
      </c>
      <c r="J25" s="15"/>
      <c r="K25" s="45"/>
      <c r="L25" s="46"/>
    </row>
    <row r="26" spans="1:12">
      <c r="I26" s="48">
        <v>8</v>
      </c>
      <c r="J26" s="15"/>
      <c r="K26" s="45"/>
      <c r="L26" s="46"/>
    </row>
    <row r="28" spans="1:12">
      <c r="L28" s="124" t="s">
        <v>93</v>
      </c>
    </row>
    <row r="29" spans="1:12">
      <c r="C29" s="53" t="s">
        <v>93</v>
      </c>
      <c r="L29" s="124" t="s">
        <v>119</v>
      </c>
    </row>
    <row r="30" spans="1:12">
      <c r="C30" s="53" t="s">
        <v>119</v>
      </c>
      <c r="L30" s="124" t="s">
        <v>253</v>
      </c>
    </row>
    <row r="31" spans="1:12">
      <c r="C31" s="120" t="s">
        <v>253</v>
      </c>
      <c r="L31" s="124" t="s">
        <v>265</v>
      </c>
    </row>
    <row r="32" spans="1:12">
      <c r="L32" s="125" t="s">
        <v>271</v>
      </c>
    </row>
    <row r="33" spans="3:12">
      <c r="C33" s="113" t="s">
        <v>272</v>
      </c>
      <c r="E33" s="113" t="s">
        <v>260</v>
      </c>
      <c r="G33" s="113" t="s">
        <v>266</v>
      </c>
      <c r="H33" s="127" t="s">
        <v>277</v>
      </c>
      <c r="L33" s="125" t="s">
        <v>275</v>
      </c>
    </row>
    <row r="34" spans="3:12">
      <c r="C34" s="113" t="s">
        <v>273</v>
      </c>
      <c r="E34" s="113" t="s">
        <v>261</v>
      </c>
      <c r="G34" s="113" t="s">
        <v>267</v>
      </c>
      <c r="H34" s="128" t="s">
        <v>279</v>
      </c>
      <c r="L34" s="125" t="s">
        <v>280</v>
      </c>
    </row>
    <row r="35" spans="3:12">
      <c r="C35" s="113" t="s">
        <v>274</v>
      </c>
      <c r="E35" s="113" t="s">
        <v>262</v>
      </c>
      <c r="G35" s="113" t="s">
        <v>268</v>
      </c>
      <c r="H35" s="128" t="s">
        <v>278</v>
      </c>
    </row>
    <row r="36" spans="3:12">
      <c r="C36" s="113" t="s">
        <v>269</v>
      </c>
      <c r="E36" s="113" t="s">
        <v>263</v>
      </c>
      <c r="G36" s="113" t="s">
        <v>269</v>
      </c>
      <c r="H36" s="128" t="s">
        <v>276</v>
      </c>
    </row>
    <row r="37" spans="3:12">
      <c r="C37" s="113" t="s">
        <v>270</v>
      </c>
      <c r="E37" s="113" t="s">
        <v>264</v>
      </c>
      <c r="G37" s="113" t="s">
        <v>270</v>
      </c>
      <c r="H37" s="128"/>
    </row>
  </sheetData>
  <mergeCells count="13">
    <mergeCell ref="A6:B6"/>
    <mergeCell ref="C6:D6"/>
    <mergeCell ref="E6:F6"/>
    <mergeCell ref="G6:H6"/>
    <mergeCell ref="A1:B1"/>
    <mergeCell ref="C1:D1"/>
    <mergeCell ref="E1:F1"/>
    <mergeCell ref="G1:H1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N34"/>
  <sheetViews>
    <sheetView workbookViewId="0">
      <selection activeCell="H31" sqref="H31"/>
    </sheetView>
  </sheetViews>
  <sheetFormatPr defaultColWidth="11.42578125" defaultRowHeight="15"/>
  <cols>
    <col min="1" max="1" width="11.42578125" style="36"/>
    <col min="2" max="2" width="11.42578125" style="36" bestFit="1" customWidth="1"/>
    <col min="3" max="8" width="17.140625" style="36" customWidth="1"/>
    <col min="9" max="9" width="11.42578125" style="36"/>
    <col min="10" max="10" width="13.85546875" style="36" bestFit="1" customWidth="1"/>
    <col min="11" max="16384" width="11.42578125" style="36"/>
  </cols>
  <sheetData>
    <row r="1" spans="1:14">
      <c r="A1" s="150" t="s">
        <v>12</v>
      </c>
      <c r="B1" s="149"/>
      <c r="C1" s="148"/>
      <c r="D1" s="149"/>
      <c r="E1" s="148"/>
      <c r="F1" s="149"/>
      <c r="G1" s="148"/>
      <c r="H1" s="149"/>
      <c r="I1" s="37"/>
    </row>
    <row r="2" spans="1:14">
      <c r="A2" s="14"/>
      <c r="B2" s="15" t="s">
        <v>13</v>
      </c>
      <c r="C2" s="16" t="s">
        <v>90</v>
      </c>
      <c r="D2" s="17"/>
      <c r="E2" s="17"/>
      <c r="F2" s="17"/>
      <c r="G2" s="15" t="s">
        <v>15</v>
      </c>
      <c r="H2" s="16"/>
      <c r="K2" s="38" t="s">
        <v>70</v>
      </c>
    </row>
    <row r="3" spans="1:14">
      <c r="A3" s="18"/>
      <c r="B3" s="15" t="s">
        <v>16</v>
      </c>
      <c r="C3" s="19"/>
      <c r="J3" s="15" t="s">
        <v>71</v>
      </c>
      <c r="K3" s="16"/>
    </row>
    <row r="4" spans="1:14">
      <c r="A4" s="18"/>
      <c r="B4" s="15" t="s">
        <v>18</v>
      </c>
      <c r="C4" s="16" t="s">
        <v>87</v>
      </c>
      <c r="J4" s="15" t="s">
        <v>72</v>
      </c>
      <c r="K4" s="16"/>
    </row>
    <row r="5" spans="1:14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4">
      <c r="A6" s="150" t="s">
        <v>19</v>
      </c>
      <c r="B6" s="149"/>
      <c r="C6" s="148"/>
      <c r="D6" s="149"/>
      <c r="E6" s="148"/>
      <c r="F6" s="149"/>
      <c r="G6" s="148"/>
      <c r="H6" s="149"/>
      <c r="I6" s="39"/>
      <c r="J6" s="15" t="s">
        <v>74</v>
      </c>
      <c r="K6" s="16"/>
    </row>
    <row r="7" spans="1:14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4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4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4">
      <c r="A10" s="18"/>
      <c r="B10" s="15" t="s">
        <v>27</v>
      </c>
      <c r="C10" s="16"/>
      <c r="D10" s="16"/>
      <c r="E10" s="16"/>
      <c r="F10" s="16"/>
      <c r="G10" s="16"/>
    </row>
    <row r="11" spans="1:14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  <c r="N11" s="47"/>
    </row>
    <row r="12" spans="1:14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4">
      <c r="A13" s="148" t="s">
        <v>29</v>
      </c>
      <c r="B13" s="149"/>
      <c r="C13" s="148"/>
      <c r="D13" s="149"/>
      <c r="E13" s="148"/>
      <c r="F13" s="149"/>
      <c r="G13" s="148"/>
      <c r="H13" s="149"/>
      <c r="I13" s="39"/>
      <c r="J13" s="41" t="s">
        <v>80</v>
      </c>
      <c r="K13" s="16"/>
    </row>
    <row r="14" spans="1:14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4">
      <c r="A15" s="18"/>
      <c r="B15" s="15" t="s">
        <v>36</v>
      </c>
      <c r="C15" s="16"/>
      <c r="D15" s="16" t="s">
        <v>88</v>
      </c>
      <c r="F15" s="23"/>
      <c r="G15" s="24"/>
      <c r="H15" s="16"/>
    </row>
    <row r="16" spans="1:14">
      <c r="A16" s="20"/>
      <c r="B16" s="20"/>
      <c r="C16" s="21"/>
      <c r="D16" s="21" t="s">
        <v>105</v>
      </c>
      <c r="E16" s="21"/>
      <c r="F16" s="21"/>
      <c r="G16" s="21"/>
      <c r="H16" s="21"/>
    </row>
    <row r="17" spans="1:12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/>
      <c r="K19" s="45" t="s">
        <v>106</v>
      </c>
      <c r="L19" s="46"/>
    </row>
    <row r="20" spans="1:12">
      <c r="C20" s="16"/>
      <c r="D20" s="16"/>
      <c r="E20" s="16"/>
      <c r="F20" s="16"/>
      <c r="G20" s="16"/>
      <c r="H20" s="16"/>
      <c r="J20" s="15"/>
      <c r="K20" s="45" t="s">
        <v>89</v>
      </c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  <row r="24" spans="1:12">
      <c r="C24" s="52"/>
      <c r="D24" s="52"/>
      <c r="E24" s="52"/>
      <c r="F24" s="52"/>
      <c r="G24" s="52"/>
      <c r="H24" s="52"/>
      <c r="I24" s="52"/>
      <c r="J24" s="52"/>
    </row>
    <row r="25" spans="1:12">
      <c r="C25" s="52"/>
      <c r="D25" s="52"/>
      <c r="E25" s="52"/>
      <c r="F25" s="52"/>
      <c r="G25" s="52"/>
      <c r="H25" s="52"/>
      <c r="I25" s="52"/>
      <c r="J25" s="52"/>
    </row>
    <row r="26" spans="1:12">
      <c r="C26" s="52"/>
      <c r="D26" s="34" t="s">
        <v>104</v>
      </c>
      <c r="E26" s="52"/>
      <c r="F26" s="52"/>
      <c r="G26" s="52"/>
      <c r="H26" s="52"/>
      <c r="I26" s="52"/>
      <c r="J26" s="52"/>
      <c r="K26" s="52"/>
    </row>
    <row r="27" spans="1:12">
      <c r="C27" s="52"/>
      <c r="D27" s="52"/>
      <c r="E27" s="52"/>
      <c r="F27" s="52"/>
      <c r="G27" s="52"/>
      <c r="H27" s="52"/>
      <c r="I27" s="52"/>
      <c r="J27" s="52"/>
      <c r="K27" s="52"/>
    </row>
    <row r="28" spans="1:12">
      <c r="C28" s="52"/>
      <c r="D28" s="52"/>
      <c r="E28" s="52"/>
      <c r="F28" s="52"/>
      <c r="G28" s="52"/>
      <c r="H28" s="52"/>
      <c r="I28" s="52"/>
      <c r="J28" s="52"/>
      <c r="K28" s="52"/>
    </row>
    <row r="29" spans="1:12">
      <c r="D29" s="52"/>
      <c r="E29" s="52"/>
      <c r="F29" s="52"/>
      <c r="G29" s="52"/>
      <c r="H29" s="52"/>
      <c r="I29" s="52"/>
      <c r="J29" s="52"/>
      <c r="K29" s="52"/>
    </row>
    <row r="30" spans="1:12">
      <c r="D30" s="52"/>
      <c r="E30" s="113" t="s">
        <v>260</v>
      </c>
      <c r="F30" s="52"/>
      <c r="G30" s="52"/>
      <c r="H30" s="52"/>
      <c r="I30" s="52"/>
      <c r="J30" s="52"/>
      <c r="K30" s="52"/>
    </row>
    <row r="31" spans="1:12">
      <c r="D31" s="52"/>
      <c r="E31" s="113" t="s">
        <v>261</v>
      </c>
      <c r="F31" s="52"/>
      <c r="G31" s="52"/>
      <c r="H31" s="52"/>
      <c r="I31" s="52"/>
      <c r="J31" s="52"/>
      <c r="K31" s="52"/>
    </row>
    <row r="32" spans="1:12">
      <c r="E32" s="113" t="s">
        <v>262</v>
      </c>
    </row>
    <row r="33" spans="5:5">
      <c r="E33" s="113" t="s">
        <v>263</v>
      </c>
    </row>
    <row r="34" spans="5:5">
      <c r="E34" s="113" t="s">
        <v>264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26" r:id="rId1"/>
  </hyperlinks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L23"/>
  <sheetViews>
    <sheetView workbookViewId="0">
      <selection activeCell="I30" sqref="I30"/>
    </sheetView>
  </sheetViews>
  <sheetFormatPr defaultColWidth="11.42578125" defaultRowHeight="15"/>
  <cols>
    <col min="1" max="1" width="11.42578125" style="35"/>
    <col min="2" max="2" width="11.42578125" style="35" bestFit="1" customWidth="1"/>
    <col min="3" max="8" width="17.140625" style="35" customWidth="1"/>
    <col min="9" max="9" width="11.42578125" style="35"/>
    <col min="10" max="10" width="13.85546875" style="35" bestFit="1" customWidth="1"/>
    <col min="11" max="16384" width="11.42578125" style="35"/>
  </cols>
  <sheetData>
    <row r="1" spans="1:11">
      <c r="A1" s="150" t="s">
        <v>12</v>
      </c>
      <c r="B1" s="149"/>
      <c r="C1" s="148"/>
      <c r="D1" s="149"/>
      <c r="E1" s="148"/>
      <c r="F1" s="149"/>
      <c r="G1" s="148"/>
      <c r="H1" s="149"/>
      <c r="I1" s="37"/>
    </row>
    <row r="2" spans="1:11">
      <c r="A2" s="14"/>
      <c r="B2" s="15" t="s">
        <v>13</v>
      </c>
      <c r="C2" s="16" t="s">
        <v>69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>
        <v>17014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50" t="s">
        <v>19</v>
      </c>
      <c r="B6" s="149"/>
      <c r="C6" s="148"/>
      <c r="D6" s="149"/>
      <c r="E6" s="148"/>
      <c r="F6" s="149"/>
      <c r="G6" s="148"/>
      <c r="H6" s="149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48" t="s">
        <v>29</v>
      </c>
      <c r="B13" s="149"/>
      <c r="C13" s="148"/>
      <c r="D13" s="149"/>
      <c r="E13" s="148"/>
      <c r="F13" s="149"/>
      <c r="G13" s="148"/>
      <c r="H13" s="149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s">
        <v>69</v>
      </c>
    </row>
    <row r="19" spans="1:12">
      <c r="C19" s="16" t="s">
        <v>84</v>
      </c>
      <c r="D19" s="16"/>
      <c r="E19" s="16" t="s">
        <v>85</v>
      </c>
      <c r="F19" s="16"/>
      <c r="G19" s="16" t="s">
        <v>86</v>
      </c>
      <c r="H19" s="16"/>
      <c r="J19" s="15"/>
      <c r="K19" s="45" t="s">
        <v>106</v>
      </c>
      <c r="L19" s="46"/>
    </row>
    <row r="20" spans="1:12">
      <c r="C20" s="16" t="s">
        <v>103</v>
      </c>
      <c r="D20" s="16"/>
      <c r="E20" s="16" t="s">
        <v>85</v>
      </c>
      <c r="F20" s="16"/>
      <c r="G20" s="16"/>
      <c r="H20" s="16"/>
      <c r="J20" s="15"/>
      <c r="K20" s="45"/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6"/>
  <sheetViews>
    <sheetView topLeftCell="C1" workbookViewId="0">
      <selection activeCell="M25" sqref="M25"/>
    </sheetView>
  </sheetViews>
  <sheetFormatPr defaultColWidth="11.42578125" defaultRowHeight="15"/>
  <cols>
    <col min="1" max="1" width="11.42578125" style="119"/>
    <col min="2" max="2" width="11.42578125" style="119" bestFit="1" customWidth="1"/>
    <col min="3" max="4" width="17.140625" style="119" customWidth="1"/>
    <col min="5" max="6" width="10.42578125" style="119" customWidth="1"/>
    <col min="7" max="7" width="17.140625" style="119" customWidth="1"/>
    <col min="8" max="8" width="13.42578125" style="119" customWidth="1"/>
    <col min="9" max="9" width="3.5703125" style="119" customWidth="1"/>
    <col min="10" max="10" width="13.85546875" style="119" bestFit="1" customWidth="1"/>
    <col min="11" max="11" width="11.42578125" style="119"/>
    <col min="12" max="12" width="30.28515625" style="119" customWidth="1"/>
    <col min="13" max="13" width="105.85546875" style="119" customWidth="1"/>
    <col min="14" max="16384" width="11.42578125" style="119"/>
  </cols>
  <sheetData>
    <row r="1" spans="1:11">
      <c r="A1" s="150" t="s">
        <v>12</v>
      </c>
      <c r="B1" s="156"/>
      <c r="C1" s="148"/>
      <c r="D1" s="149"/>
      <c r="E1" s="148"/>
      <c r="F1" s="149"/>
      <c r="G1" s="148"/>
      <c r="H1" s="149"/>
      <c r="I1" s="37"/>
    </row>
    <row r="2" spans="1:11">
      <c r="A2" s="14"/>
      <c r="B2" s="15" t="s">
        <v>13</v>
      </c>
      <c r="C2" s="113" t="s">
        <v>84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246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50" t="s">
        <v>19</v>
      </c>
      <c r="B6" s="156"/>
      <c r="C6" s="148"/>
      <c r="D6" s="149"/>
      <c r="E6" s="148"/>
      <c r="F6" s="149"/>
      <c r="G6" s="148"/>
      <c r="H6" s="149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13"/>
    </row>
    <row r="8" spans="1:11">
      <c r="A8" s="18"/>
      <c r="B8" s="15" t="s">
        <v>25</v>
      </c>
      <c r="C8" s="113">
        <v>1</v>
      </c>
      <c r="D8" s="113">
        <v>2</v>
      </c>
      <c r="E8" s="113"/>
      <c r="F8" s="113"/>
      <c r="G8" s="113"/>
      <c r="H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H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  <c r="H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H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48" t="s">
        <v>29</v>
      </c>
      <c r="B13" s="149"/>
      <c r="C13" s="148"/>
      <c r="D13" s="149"/>
      <c r="E13" s="148"/>
      <c r="F13" s="149"/>
      <c r="G13" s="148"/>
      <c r="H13" s="149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245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IF(COUNTIF([4]Main!A102:A125,C2)=1,C2,"")</f>
        <v>LBM</v>
      </c>
    </row>
    <row r="19" spans="1:13">
      <c r="C19" s="113"/>
      <c r="D19" s="113"/>
      <c r="E19" s="113"/>
      <c r="F19" s="113"/>
      <c r="G19" s="113"/>
      <c r="H19" s="113"/>
      <c r="I19" s="119">
        <v>1</v>
      </c>
      <c r="J19" s="15" t="str">
        <f>IF($K$18="","",IF(VLOOKUP($K$18,[4]Main!$A$102:$Q$125,1+I19,FALSE)="","",LEFT(VLOOKUP($K$18,[4]Main!$A$102:$Q$125,1+I19,FALSE),SEARCH("::",VLOOKUP($K$18,[4]Main!$A$102:$Q$125,1+I19,FALSE))-1)))</f>
        <v>lb_000</v>
      </c>
      <c r="K19" s="45"/>
      <c r="L19" s="46" t="str">
        <f>IF(TRIM(J19)=""," ",IF($K$18="","",RIGHT(VLOOKUP($K$18,[4]Main!$A$102:$Q$125,1+I19,FALSE),LEN(VLOOKUP($K$18,[4]Main!$A$102:$Q$125,1+I19,FALSE))-1-SEARCH("::",VLOOKUP($K$18,[4]Main!$A$102:$Q$125,1+I19,FALSE)))))</f>
        <v>Either specify the value of "afw. UD for -0,00%" expressed in mm/10m (isocoupure)</v>
      </c>
    </row>
    <row r="20" spans="1:13">
      <c r="C20" s="113"/>
      <c r="D20" s="113"/>
      <c r="E20" s="113"/>
      <c r="F20" s="113"/>
      <c r="G20" s="113"/>
      <c r="H20" s="113"/>
      <c r="I20" s="119">
        <v>2</v>
      </c>
      <c r="J20" s="15" t="str">
        <f>IF($K$18="","",IF(VLOOKUP($K$18,[4]Main!$A$102:$Q$125,1+I20,FALSE)="","",LEFT(VLOOKUP($K$18,[4]Main!$A$102:$Q$125,1+I20,FALSE),SEARCH("::",VLOOKUP($K$18,[4]Main!$A$102:$Q$125,1+I20,FALSE))-1)))</f>
        <v>lb_10mw_h</v>
      </c>
      <c r="K20" s="45">
        <v>5</v>
      </c>
      <c r="L20" s="46" t="str">
        <f>IF(TRIM(J20)=""," ",IF($K$18="","",RIGHT(VLOOKUP($K$18,[4]Main!$A$102:$Q$125,1+I20,FALSE),LEN(VLOOKUP($K$18,[4]Main!$A$102:$Q$125,1+I20,FALSE))-1-SEARCH("::",VLOOKUP($K$18,[4]Main!$A$102:$Q$125,1+I20,FALSE)))))</f>
        <v>Or (10m wall) specify the value for "Low Beam Module/Horizontal/Afwijking" in mm/10m"...</v>
      </c>
    </row>
    <row r="21" spans="1:13">
      <c r="C21" s="113"/>
      <c r="D21" s="113"/>
      <c r="E21" s="113"/>
      <c r="F21" s="113"/>
      <c r="G21" s="113"/>
      <c r="H21" s="113"/>
      <c r="I21" s="119">
        <v>3</v>
      </c>
      <c r="J21" s="15" t="str">
        <f>IF($K$18="","",IF(VLOOKUP($K$18,[4]Main!$A$102:$Q$125,1+I21,FALSE)="","",LEFT(VLOOKUP($K$18,[4]Main!$A$102:$Q$125,1+I21,FALSE),SEARCH("::",VLOOKUP($K$18,[4]Main!$A$102:$Q$125,1+I21,FALSE))-1)))</f>
        <v>lb_10mw_v</v>
      </c>
      <c r="K21" s="45">
        <v>1.4</v>
      </c>
      <c r="L21" s="46" t="str">
        <f>IF(TRIM(J21)=""," ",IF($K$18="","",RIGHT(VLOOKUP($K$18,[4]Main!$A$102:$Q$125,1+I21,FALSE),LEN(VLOOKUP($K$18,[4]Main!$A$102:$Q$125,1+I21,FALSE))-1-SEARCH("::",VLOOKUP($K$18,[4]Main!$A$102:$Q$125,1+I21,FALSE)))))</f>
        <v>and (10m wall) specify the value for "Low Beam Module / Vertical / Afwijking" in mm/10m"</v>
      </c>
    </row>
    <row r="22" spans="1:13">
      <c r="C22" s="113"/>
      <c r="D22" s="113"/>
      <c r="E22" s="113"/>
      <c r="F22" s="113"/>
      <c r="G22" s="113"/>
      <c r="H22" s="113"/>
      <c r="I22" s="119">
        <v>4</v>
      </c>
      <c r="J22" s="15" t="e">
        <f>IF($K$18="","",IF(VLOOKUP($K$18,[4]Main!$A$102:$Q$125,1+I22,FALSE)="","",LEFT(VLOOKUP($K$18,[4]Main!$A$102:$Q$125,1+I22,FALSE),SEARCH("::",VLOOKUP($K$18,[4]Main!$A$102:$Q$125,1+I22,FALSE))-1)))</f>
        <v>#VALUE!</v>
      </c>
      <c r="K22" s="45"/>
      <c r="L22" s="46" t="e">
        <f>IF(TRIM(J22)=""," ",IF($K$18="","",RIGHT(VLOOKUP($K$18,[4]Main!$A$102:$Q$125,1+I22,FALSE),LEN(VLOOKUP($K$18,[4]Main!$A$102:$Q$125,1+I22,FALSE))-1-SEARCH("::",VLOOKUP($K$18,[4]Main!$A$102:$Q$125,1+I22,FALSE)))))</f>
        <v>#VALUE!</v>
      </c>
    </row>
    <row r="23" spans="1:13">
      <c r="C23" s="113"/>
      <c r="D23" s="113"/>
      <c r="E23" s="113"/>
      <c r="F23" s="113"/>
      <c r="G23" s="113"/>
      <c r="H23" s="113"/>
      <c r="I23" s="119">
        <v>5</v>
      </c>
      <c r="J23" s="15" t="e">
        <f>IF($K$18="","",IF(VLOOKUP($K$18,[4]Main!$A$102:$Q$125,1+I23,FALSE)="","",LEFT(VLOOKUP($K$18,[4]Main!$A$102:$Q$125,1+I23,FALSE),SEARCH("::",VLOOKUP($K$18,[4]Main!$A$102:$Q$125,1+I23,FALSE))-1)))</f>
        <v>#VALUE!</v>
      </c>
      <c r="K23" s="45"/>
      <c r="L23" s="46" t="e">
        <f>IF(TRIM(J23)=""," ",IF($K$18="","",RIGHT(VLOOKUP($K$18,[4]Main!$A$102:$Q$125,1+I23,FALSE),LEN(VLOOKUP($K$18,[4]Main!$A$102:$Q$125,1+I23,FALSE))-1-SEARCH("::",VLOOKUP($K$18,[4]Main!$A$102:$Q$125,1+I23,FALSE)))))</f>
        <v>#VALUE!</v>
      </c>
    </row>
    <row r="24" spans="1:13">
      <c r="I24" s="119">
        <v>6</v>
      </c>
      <c r="J24" s="15" t="e">
        <f>IF($K$18="","",IF(VLOOKUP($K$18,[4]Main!$A$102:$Q$125,1+I24,FALSE)="","",LEFT(VLOOKUP($K$18,[4]Main!$A$102:$Q$125,1+I24,FALSE),SEARCH("::",VLOOKUP($K$18,[4]Main!$A$102:$Q$125,1+I24,FALSE))-1)))</f>
        <v>#VALUE!</v>
      </c>
      <c r="K24" s="45"/>
      <c r="L24" s="46" t="e">
        <f>IF(TRIM(J24)=""," ",IF($K$18="","",RIGHT(VLOOKUP($K$18,[4]Main!$A$102:$Q$125,1+I24,FALSE),LEN(VLOOKUP($K$18,[4]Main!$A$102:$Q$125,1+I24,FALSE))-1-SEARCH("::",VLOOKUP($K$18,[4]Main!$A$102:$Q$125,1+I24,FALSE)))))</f>
        <v>#VALUE!</v>
      </c>
    </row>
    <row r="25" spans="1:13">
      <c r="I25" s="119">
        <v>7</v>
      </c>
      <c r="J25" s="15" t="e">
        <f>IF($K$18="","",IF(VLOOKUP($K$18,[4]Main!$A$102:$Q$125,1+I25,FALSE)="","",LEFT(VLOOKUP($K$18,[4]Main!$A$102:$Q$125,1+I25,FALSE),SEARCH("::",VLOOKUP($K$18,[4]Main!$A$102:$Q$125,1+I25,FALSE))-1)))</f>
        <v>#VALUE!</v>
      </c>
      <c r="K25" s="45"/>
      <c r="L25" s="46" t="e">
        <f>IF(TRIM(J25)=""," ",IF($K$18="","",RIGHT(VLOOKUP($K$18,[4]Main!$A$102:$Q$125,1+I25,FALSE),LEN(VLOOKUP($K$18,[4]Main!$A$102:$Q$125,1+I25,FALSE))-1-SEARCH("::",VLOOKUP($K$18,[4]Main!$A$102:$Q$125,1+I25,FALSE)))))</f>
        <v>#VALUE!</v>
      </c>
    </row>
    <row r="26" spans="1:13">
      <c r="I26" s="119">
        <v>8</v>
      </c>
      <c r="J26" s="15" t="str">
        <f>IF($K$18="","",IF(VLOOKUP($K$18,[4]Main!$A$102:$Q$125,1+I26,FALSE)="","",LEFT(VLOOKUP($K$18,[4]Main!$A$102:$Q$125,1+I26,FALSE),SEARCH("::",VLOOKUP($K$18,[4]Main!$A$102:$Q$125,1+I26,FALSE))-1)))</f>
        <v/>
      </c>
      <c r="K26" s="45"/>
      <c r="L26" s="46" t="str">
        <f>IF(TRIM(J26)=""," ",IF($K$18="","",RIGHT(VLOOKUP($K$18,[4]Main!$A$102:$Q$125,1+I26,FALSE),LEN(VLOOKUP($K$18,[4]Main!$A$102:$Q$125,1+I26,FALSE))-1-SEARCH("::",VLOOKUP($K$18,[4]Main!$A$102:$Q$125,1+I26,FALSE)))))</f>
        <v xml:space="preserve"> </v>
      </c>
    </row>
    <row r="31" spans="1:13">
      <c r="L31" s="100" t="s">
        <v>247</v>
      </c>
      <c r="M31" s="119" t="s">
        <v>252</v>
      </c>
    </row>
    <row r="32" spans="1:13">
      <c r="L32" s="113" t="s">
        <v>248</v>
      </c>
    </row>
    <row r="33" spans="12:12">
      <c r="L33" s="113" t="s">
        <v>249</v>
      </c>
    </row>
    <row r="34" spans="12:12">
      <c r="L34" s="113" t="s">
        <v>250</v>
      </c>
    </row>
    <row r="35" spans="12:12">
      <c r="L35" s="113" t="s">
        <v>251</v>
      </c>
    </row>
    <row r="36" spans="12:12">
      <c r="L36" s="113" t="s">
        <v>138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J31"/>
  <sheetViews>
    <sheetView workbookViewId="0">
      <selection activeCell="C8" sqref="C8:H23"/>
    </sheetView>
  </sheetViews>
  <sheetFormatPr defaultColWidth="11.42578125" defaultRowHeight="15"/>
  <cols>
    <col min="1" max="1" width="11.42578125" style="33"/>
    <col min="2" max="2" width="11.42578125" style="33" bestFit="1" customWidth="1"/>
    <col min="3" max="8" width="17.140625" style="33" customWidth="1"/>
    <col min="9" max="9" width="11.42578125" style="33"/>
    <col min="10" max="10" width="99.28515625" style="33" customWidth="1"/>
    <col min="11" max="16384" width="11.42578125" style="33"/>
  </cols>
  <sheetData>
    <row r="1" spans="1:10">
      <c r="A1" s="150" t="s">
        <v>12</v>
      </c>
      <c r="B1" s="149"/>
      <c r="C1" s="148"/>
      <c r="D1" s="149"/>
      <c r="E1" s="148"/>
      <c r="F1" s="149"/>
      <c r="G1" s="148"/>
      <c r="H1" s="149"/>
    </row>
    <row r="2" spans="1:10">
      <c r="A2" s="14"/>
      <c r="B2" s="15" t="s">
        <v>13</v>
      </c>
      <c r="C2" s="16" t="s">
        <v>60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150" t="s">
        <v>19</v>
      </c>
      <c r="B6" s="149"/>
      <c r="C6" s="148"/>
      <c r="D6" s="149"/>
      <c r="E6" s="148"/>
      <c r="F6" s="149"/>
      <c r="G6" s="148"/>
      <c r="H6" s="149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  <c r="H8" s="113"/>
    </row>
    <row r="9" spans="1:10">
      <c r="A9" s="18"/>
      <c r="B9" s="15" t="s">
        <v>26</v>
      </c>
      <c r="C9" s="16"/>
      <c r="D9" s="16"/>
      <c r="E9" s="16"/>
      <c r="F9" s="16"/>
      <c r="G9" s="16"/>
      <c r="H9" s="113"/>
    </row>
    <row r="10" spans="1:10">
      <c r="A10" s="18"/>
      <c r="B10" s="15" t="s">
        <v>27</v>
      </c>
      <c r="C10" s="16"/>
      <c r="D10" s="16"/>
      <c r="E10" s="16"/>
      <c r="F10" s="16"/>
      <c r="G10" s="16"/>
      <c r="H10" s="113"/>
    </row>
    <row r="11" spans="1:10">
      <c r="A11" s="18"/>
      <c r="B11" s="15" t="s">
        <v>28</v>
      </c>
      <c r="C11" s="16"/>
      <c r="D11" s="16"/>
      <c r="E11" s="16"/>
      <c r="F11" s="16"/>
      <c r="G11" s="16"/>
      <c r="H11" s="113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148" t="s">
        <v>29</v>
      </c>
      <c r="B13" s="149"/>
      <c r="C13" s="148"/>
      <c r="D13" s="149"/>
      <c r="E13" s="148"/>
      <c r="F13" s="149"/>
      <c r="G13" s="148"/>
      <c r="H13" s="149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0">
      <c r="A16" s="20"/>
      <c r="B16" s="20"/>
      <c r="C16" s="21"/>
      <c r="D16" s="21"/>
      <c r="E16" s="21"/>
      <c r="F16" s="21"/>
      <c r="G16" s="21"/>
      <c r="H16" s="21"/>
      <c r="J16" s="83" t="s">
        <v>150</v>
      </c>
    </row>
    <row r="17" spans="1:10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  <c r="J17" s="104" t="s">
        <v>213</v>
      </c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111" t="s">
        <v>230</v>
      </c>
    </row>
    <row r="19" spans="1:10">
      <c r="C19" s="32" t="s">
        <v>57</v>
      </c>
      <c r="D19" s="16"/>
      <c r="E19" s="16"/>
      <c r="F19" s="16"/>
      <c r="G19" s="16" t="s">
        <v>58</v>
      </c>
      <c r="H19" s="16"/>
      <c r="J19" s="112" t="s">
        <v>231</v>
      </c>
    </row>
    <row r="20" spans="1:10">
      <c r="C20" s="16" t="s">
        <v>44</v>
      </c>
      <c r="D20" s="16"/>
      <c r="E20" s="16"/>
      <c r="F20" s="16"/>
      <c r="G20" s="16" t="s">
        <v>61</v>
      </c>
      <c r="H20" s="16"/>
      <c r="J20" s="114" t="s">
        <v>240</v>
      </c>
    </row>
    <row r="21" spans="1:10">
      <c r="C21" s="16"/>
      <c r="D21" s="16"/>
      <c r="E21" s="16"/>
      <c r="F21" s="16"/>
      <c r="G21" s="16"/>
      <c r="H21" s="16"/>
      <c r="J21" s="117" t="s">
        <v>241</v>
      </c>
    </row>
    <row r="22" spans="1:10">
      <c r="C22" s="16"/>
      <c r="D22" s="16"/>
      <c r="E22" s="16"/>
      <c r="F22" s="16"/>
      <c r="G22" s="16"/>
      <c r="H22" s="16"/>
      <c r="J22" s="117" t="s">
        <v>242</v>
      </c>
    </row>
    <row r="23" spans="1:10">
      <c r="C23" s="16"/>
      <c r="D23" s="16"/>
      <c r="E23" s="16"/>
      <c r="F23" s="16"/>
      <c r="G23" s="16"/>
      <c r="H23" s="16"/>
      <c r="J23" s="136" t="s">
        <v>297</v>
      </c>
    </row>
    <row r="24" spans="1:10">
      <c r="J24" s="136" t="s">
        <v>298</v>
      </c>
    </row>
    <row r="25" spans="1:10">
      <c r="J25" s="136"/>
    </row>
    <row r="27" spans="1:10">
      <c r="H27" s="84" t="s">
        <v>147</v>
      </c>
      <c r="J27" s="113" t="s">
        <v>226</v>
      </c>
    </row>
    <row r="28" spans="1:10">
      <c r="H28" s="84"/>
      <c r="J28" s="113" t="s">
        <v>227</v>
      </c>
    </row>
    <row r="29" spans="1:10">
      <c r="H29" s="84"/>
      <c r="J29" s="113" t="s">
        <v>228</v>
      </c>
    </row>
    <row r="30" spans="1:10">
      <c r="H30" s="84" t="s">
        <v>148</v>
      </c>
      <c r="J30" s="113" t="s">
        <v>229</v>
      </c>
    </row>
    <row r="31" spans="1:10">
      <c r="H31" s="84" t="s">
        <v>149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M42"/>
  <sheetViews>
    <sheetView topLeftCell="A17" zoomScale="85" zoomScaleNormal="85" workbookViewId="0">
      <selection activeCell="H7" sqref="H7:H11"/>
    </sheetView>
  </sheetViews>
  <sheetFormatPr defaultColWidth="11.42578125" defaultRowHeight="15"/>
  <cols>
    <col min="1" max="1" width="11.42578125" style="31"/>
    <col min="2" max="2" width="11.42578125" style="31" bestFit="1" customWidth="1"/>
    <col min="3" max="8" width="17.140625" style="31" customWidth="1"/>
    <col min="10" max="10" width="85" customWidth="1"/>
    <col min="14" max="16384" width="11.42578125" style="31"/>
  </cols>
  <sheetData>
    <row r="1" spans="1:10">
      <c r="A1" s="150" t="s">
        <v>12</v>
      </c>
      <c r="B1" s="149"/>
      <c r="C1" s="148"/>
      <c r="D1" s="149"/>
      <c r="E1" s="148"/>
      <c r="F1" s="149"/>
      <c r="G1" s="148"/>
      <c r="H1" s="149"/>
    </row>
    <row r="2" spans="1:10">
      <c r="A2" s="14"/>
      <c r="B2" s="15" t="s">
        <v>13</v>
      </c>
      <c r="C2" s="16" t="s">
        <v>56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150" t="s">
        <v>19</v>
      </c>
      <c r="B6" s="149"/>
      <c r="C6" s="148"/>
      <c r="D6" s="149"/>
      <c r="E6" s="148"/>
      <c r="F6" s="149"/>
      <c r="G6" s="148"/>
      <c r="H6" s="149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  <c r="H8" s="113"/>
    </row>
    <row r="9" spans="1:10">
      <c r="A9" s="18"/>
      <c r="B9" s="15" t="s">
        <v>26</v>
      </c>
      <c r="C9" s="16"/>
      <c r="D9" s="16"/>
      <c r="E9" s="16"/>
      <c r="F9" s="16"/>
      <c r="G9" s="16"/>
      <c r="H9" s="113"/>
    </row>
    <row r="10" spans="1:10">
      <c r="A10" s="18"/>
      <c r="B10" s="15" t="s">
        <v>27</v>
      </c>
      <c r="C10" s="16"/>
      <c r="D10" s="16"/>
      <c r="E10" s="16"/>
      <c r="F10" s="16"/>
      <c r="G10" s="16"/>
      <c r="H10" s="113"/>
      <c r="J10" s="134" t="s">
        <v>293</v>
      </c>
    </row>
    <row r="11" spans="1:10">
      <c r="A11" s="18"/>
      <c r="B11" s="15" t="s">
        <v>28</v>
      </c>
      <c r="C11" s="16"/>
      <c r="D11" s="16"/>
      <c r="E11" s="16"/>
      <c r="F11" s="16"/>
      <c r="G11" s="16"/>
      <c r="H11" s="113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148" t="s">
        <v>29</v>
      </c>
      <c r="B13" s="149"/>
      <c r="C13" s="148"/>
      <c r="D13" s="149"/>
      <c r="E13" s="148"/>
      <c r="F13" s="149"/>
      <c r="G13" s="148"/>
      <c r="H13" s="149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78" t="s">
        <v>139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  <c r="J15" s="88" t="s">
        <v>186</v>
      </c>
    </row>
    <row r="16" spans="1:10">
      <c r="A16" s="20"/>
      <c r="B16" s="20"/>
      <c r="C16" s="21"/>
      <c r="D16" s="21"/>
      <c r="E16" s="21"/>
      <c r="F16" s="21"/>
      <c r="G16" s="21"/>
      <c r="H16" s="21"/>
      <c r="J16" s="90" t="s">
        <v>180</v>
      </c>
    </row>
    <row r="17" spans="1:10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90" t="s">
        <v>180</v>
      </c>
    </row>
    <row r="19" spans="1:10">
      <c r="C19" s="32" t="s">
        <v>57</v>
      </c>
      <c r="D19" s="16"/>
      <c r="E19" s="16"/>
      <c r="F19" s="16"/>
      <c r="G19" s="81" t="s">
        <v>140</v>
      </c>
      <c r="H19" s="16"/>
      <c r="J19" s="93" t="s">
        <v>185</v>
      </c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96" t="s">
        <v>192</v>
      </c>
    </row>
    <row r="21" spans="1:10">
      <c r="C21" s="16"/>
      <c r="D21" s="16"/>
      <c r="E21" s="16"/>
      <c r="F21" s="16"/>
      <c r="G21" s="16"/>
      <c r="H21" s="16"/>
      <c r="J21" s="129" t="s">
        <v>286</v>
      </c>
    </row>
    <row r="22" spans="1:10">
      <c r="C22" s="16"/>
      <c r="D22" s="16"/>
      <c r="E22" s="16"/>
      <c r="F22" s="16"/>
      <c r="G22" s="16"/>
      <c r="H22" s="16"/>
      <c r="J22" s="137" t="s">
        <v>299</v>
      </c>
    </row>
    <row r="23" spans="1:10">
      <c r="C23" s="16"/>
      <c r="D23" s="16"/>
      <c r="E23" s="16"/>
      <c r="F23" s="16"/>
      <c r="G23" s="16"/>
      <c r="H23" s="16"/>
    </row>
    <row r="24" spans="1:10">
      <c r="J24" s="92" t="s">
        <v>171</v>
      </c>
    </row>
    <row r="25" spans="1:10">
      <c r="J25" s="91" t="s">
        <v>172</v>
      </c>
    </row>
    <row r="26" spans="1:10">
      <c r="J26" s="91" t="s">
        <v>173</v>
      </c>
    </row>
    <row r="27" spans="1:10">
      <c r="J27" s="91" t="s">
        <v>174</v>
      </c>
    </row>
    <row r="28" spans="1:10">
      <c r="F28" s="82" t="s">
        <v>134</v>
      </c>
      <c r="J28" s="91" t="s">
        <v>175</v>
      </c>
    </row>
    <row r="29" spans="1:10">
      <c r="F29" s="81" t="s">
        <v>135</v>
      </c>
    </row>
    <row r="30" spans="1:10">
      <c r="F30" s="81"/>
    </row>
    <row r="31" spans="1:10">
      <c r="F31" s="81" t="s">
        <v>136</v>
      </c>
    </row>
    <row r="32" spans="1:10">
      <c r="F32" s="81" t="s">
        <v>137</v>
      </c>
      <c r="J32" s="91" t="s">
        <v>176</v>
      </c>
    </row>
    <row r="33" spans="6:10">
      <c r="F33" s="81" t="s">
        <v>138</v>
      </c>
      <c r="J33" s="91" t="s">
        <v>177</v>
      </c>
    </row>
    <row r="34" spans="6:10">
      <c r="J34" s="91" t="s">
        <v>178</v>
      </c>
    </row>
    <row r="35" spans="6:10">
      <c r="J35" s="91" t="s">
        <v>179</v>
      </c>
    </row>
    <row r="38" spans="6:10">
      <c r="J38" s="91" t="s">
        <v>181</v>
      </c>
    </row>
    <row r="39" spans="6:10">
      <c r="J39" s="91" t="s">
        <v>182</v>
      </c>
    </row>
    <row r="40" spans="6:10">
      <c r="J40" s="91" t="s">
        <v>183</v>
      </c>
    </row>
    <row r="41" spans="6:10">
      <c r="J41" s="91" t="s">
        <v>184</v>
      </c>
    </row>
    <row r="42" spans="6:10">
      <c r="J42" s="91" t="s">
        <v>138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9"/>
  <sheetViews>
    <sheetView workbookViewId="0">
      <selection activeCell="I29" sqref="I29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00" style="59" customWidth="1"/>
    <col min="10" max="11" width="11.42578125" style="59"/>
    <col min="12" max="15" width="11.85546875" style="59" bestFit="1" customWidth="1"/>
    <col min="16" max="16384" width="11.42578125" style="59"/>
  </cols>
  <sheetData>
    <row r="2" spans="1:11">
      <c r="A2" s="150" t="s">
        <v>12</v>
      </c>
      <c r="B2" s="149"/>
      <c r="C2" s="148"/>
      <c r="D2" s="149"/>
      <c r="E2" s="148"/>
      <c r="F2" s="149"/>
      <c r="G2" s="148"/>
      <c r="H2" s="149"/>
      <c r="I2" s="37"/>
      <c r="J2" s="87"/>
      <c r="K2" s="87"/>
    </row>
    <row r="3" spans="1:11">
      <c r="A3" s="14"/>
      <c r="B3" s="15" t="s">
        <v>13</v>
      </c>
      <c r="C3" s="62" t="s">
        <v>165</v>
      </c>
      <c r="D3" s="17"/>
      <c r="E3" s="17"/>
      <c r="F3" s="17"/>
      <c r="G3" s="15" t="s">
        <v>15</v>
      </c>
      <c r="H3" s="84"/>
      <c r="I3" s="87"/>
      <c r="J3" s="87"/>
      <c r="K3" s="38" t="s">
        <v>70</v>
      </c>
    </row>
    <row r="4" spans="1:11">
      <c r="A4" s="18"/>
      <c r="B4" s="15" t="s">
        <v>16</v>
      </c>
      <c r="C4" s="19"/>
      <c r="D4" s="87"/>
      <c r="E4" s="87"/>
      <c r="F4" s="87"/>
      <c r="G4" s="15" t="s">
        <v>17</v>
      </c>
      <c r="H4" s="84"/>
      <c r="I4" s="87"/>
      <c r="J4" s="15" t="s">
        <v>71</v>
      </c>
      <c r="K4" s="84"/>
    </row>
    <row r="5" spans="1:11">
      <c r="A5" s="18"/>
      <c r="B5" s="15" t="s">
        <v>18</v>
      </c>
      <c r="C5" s="84" t="s">
        <v>170</v>
      </c>
      <c r="D5" s="87"/>
      <c r="E5" s="87"/>
      <c r="F5" s="87"/>
      <c r="G5" s="87"/>
      <c r="H5" s="87"/>
      <c r="I5" s="87"/>
      <c r="J5" s="15" t="s">
        <v>72</v>
      </c>
      <c r="K5" s="84"/>
    </row>
    <row r="6" spans="1:11">
      <c r="A6" s="20"/>
      <c r="B6" s="20"/>
      <c r="C6" s="21"/>
      <c r="D6" s="21"/>
      <c r="E6" s="21"/>
      <c r="F6" s="21"/>
      <c r="G6" s="21"/>
      <c r="H6" s="21"/>
      <c r="I6" s="87"/>
      <c r="J6" s="15" t="s">
        <v>73</v>
      </c>
      <c r="K6" s="84"/>
    </row>
    <row r="7" spans="1:11">
      <c r="A7" s="150" t="s">
        <v>19</v>
      </c>
      <c r="B7" s="149"/>
      <c r="C7" s="157"/>
      <c r="D7" s="157"/>
      <c r="E7" s="157"/>
      <c r="F7" s="157"/>
      <c r="G7" s="157"/>
      <c r="H7" s="158"/>
      <c r="I7" s="39"/>
      <c r="J7" s="15" t="s">
        <v>74</v>
      </c>
      <c r="K7" s="84"/>
    </row>
    <row r="8" spans="1:11">
      <c r="A8" s="14"/>
      <c r="B8" s="14"/>
      <c r="C8" s="22" t="s">
        <v>20</v>
      </c>
      <c r="D8" s="22" t="s">
        <v>21</v>
      </c>
      <c r="E8" s="22" t="s">
        <v>22</v>
      </c>
      <c r="F8" s="22" t="s">
        <v>23</v>
      </c>
      <c r="G8" s="22" t="s">
        <v>24</v>
      </c>
      <c r="H8" s="17"/>
      <c r="I8" s="87"/>
      <c r="J8" s="15" t="s">
        <v>75</v>
      </c>
      <c r="K8" s="84"/>
    </row>
    <row r="9" spans="1:11">
      <c r="A9" s="18"/>
      <c r="B9" s="15" t="s">
        <v>25</v>
      </c>
      <c r="C9" s="84"/>
      <c r="D9" s="84"/>
      <c r="E9" s="84"/>
      <c r="F9" s="84"/>
      <c r="G9" s="84"/>
      <c r="H9" s="87"/>
      <c r="I9" s="87"/>
      <c r="J9" s="15" t="s">
        <v>76</v>
      </c>
      <c r="K9" s="84"/>
    </row>
    <row r="10" spans="1:11">
      <c r="A10" s="18"/>
      <c r="B10" s="15" t="s">
        <v>26</v>
      </c>
      <c r="C10" s="84"/>
      <c r="D10" s="84"/>
      <c r="E10" s="84"/>
      <c r="F10" s="84"/>
      <c r="G10" s="84"/>
      <c r="H10" s="87"/>
      <c r="I10" s="87"/>
      <c r="J10" s="15" t="s">
        <v>77</v>
      </c>
      <c r="K10" s="84"/>
    </row>
    <row r="11" spans="1:11">
      <c r="A11" s="18"/>
      <c r="B11" s="15" t="s">
        <v>27</v>
      </c>
      <c r="C11" s="84"/>
      <c r="D11" s="84"/>
      <c r="E11" s="84"/>
      <c r="F11" s="84"/>
      <c r="G11" s="84"/>
      <c r="H11" s="87"/>
      <c r="I11" s="87"/>
      <c r="J11" s="87"/>
      <c r="K11" s="87"/>
    </row>
    <row r="12" spans="1:11">
      <c r="A12" s="18"/>
      <c r="B12" s="15" t="s">
        <v>28</v>
      </c>
      <c r="C12" s="84"/>
      <c r="D12" s="84"/>
      <c r="E12" s="84"/>
      <c r="F12" s="84"/>
      <c r="G12" s="84"/>
      <c r="H12" s="87"/>
      <c r="I12" s="87"/>
      <c r="J12" s="87"/>
      <c r="K12" s="40" t="s">
        <v>78</v>
      </c>
    </row>
    <row r="13" spans="1:11">
      <c r="A13" s="20"/>
      <c r="B13" s="20"/>
      <c r="C13" s="21"/>
      <c r="D13" s="21"/>
      <c r="E13" s="21"/>
      <c r="F13" s="21"/>
      <c r="G13" s="21"/>
      <c r="H13" s="21"/>
      <c r="I13" s="87"/>
      <c r="J13" s="41" t="s">
        <v>79</v>
      </c>
      <c r="K13" s="84"/>
    </row>
    <row r="14" spans="1:11">
      <c r="A14" s="148" t="s">
        <v>29</v>
      </c>
      <c r="B14" s="149"/>
      <c r="C14" s="157"/>
      <c r="D14" s="157"/>
      <c r="E14" s="157"/>
      <c r="F14" s="157"/>
      <c r="G14" s="157"/>
      <c r="H14" s="158"/>
      <c r="I14" s="39"/>
      <c r="J14" s="41" t="s">
        <v>80</v>
      </c>
      <c r="K14" s="84"/>
    </row>
    <row r="15" spans="1:11">
      <c r="A15" s="14"/>
      <c r="B15" s="14"/>
      <c r="C15" s="22" t="s">
        <v>30</v>
      </c>
      <c r="D15" s="22" t="s">
        <v>31</v>
      </c>
      <c r="E15" s="22" t="s">
        <v>32</v>
      </c>
      <c r="F15" s="22" t="s">
        <v>33</v>
      </c>
      <c r="G15" s="22" t="s">
        <v>34</v>
      </c>
      <c r="H15" s="22" t="s">
        <v>35</v>
      </c>
      <c r="I15" s="87"/>
      <c r="J15" s="41" t="s">
        <v>81</v>
      </c>
      <c r="K15" s="84"/>
    </row>
    <row r="16" spans="1:11">
      <c r="A16" s="18"/>
      <c r="B16" s="15" t="s">
        <v>36</v>
      </c>
      <c r="C16" s="84"/>
      <c r="D16" s="84"/>
      <c r="E16" s="84"/>
      <c r="F16" s="23"/>
      <c r="G16" s="24"/>
      <c r="H16" s="84"/>
      <c r="I16" s="87"/>
      <c r="J16" s="87"/>
      <c r="K16" s="87"/>
    </row>
    <row r="17" spans="1:11">
      <c r="A17" s="20"/>
      <c r="B17" s="20"/>
      <c r="C17" s="21"/>
      <c r="D17" s="21"/>
      <c r="E17" s="21"/>
      <c r="F17" s="21"/>
      <c r="G17" s="21"/>
      <c r="H17" s="21"/>
      <c r="I17" s="87"/>
      <c r="J17" s="87"/>
      <c r="K17" s="87"/>
    </row>
    <row r="18" spans="1:11">
      <c r="A18" s="148" t="s">
        <v>37</v>
      </c>
      <c r="B18" s="149"/>
      <c r="C18" s="25"/>
      <c r="D18" s="25"/>
      <c r="E18" s="26" t="s">
        <v>38</v>
      </c>
      <c r="F18" s="25"/>
      <c r="G18" s="25"/>
      <c r="H18" s="25"/>
      <c r="I18" s="39"/>
      <c r="J18" s="42" t="s">
        <v>82</v>
      </c>
      <c r="K18" s="43"/>
    </row>
    <row r="19" spans="1:11">
      <c r="A19" s="17"/>
      <c r="B19" s="17"/>
      <c r="C19" s="22" t="s">
        <v>39</v>
      </c>
      <c r="D19" s="22" t="s">
        <v>40</v>
      </c>
      <c r="E19" s="22" t="s">
        <v>41</v>
      </c>
      <c r="F19" s="22" t="s">
        <v>30</v>
      </c>
      <c r="G19" s="22" t="s">
        <v>31</v>
      </c>
      <c r="H19" s="22" t="s">
        <v>32</v>
      </c>
      <c r="I19" s="87"/>
      <c r="J19" s="44" t="s">
        <v>83</v>
      </c>
      <c r="K19" s="84" t="str">
        <f>IF(COUNTIF([5]Main!A137:A160,C3)=1,C3,"")</f>
        <v/>
      </c>
    </row>
    <row r="20" spans="1:11">
      <c r="A20" s="87"/>
      <c r="B20" s="87"/>
      <c r="C20" s="89" t="s">
        <v>57</v>
      </c>
      <c r="D20" s="63"/>
      <c r="E20" s="63"/>
      <c r="F20" s="63"/>
      <c r="G20" s="63" t="s">
        <v>166</v>
      </c>
      <c r="H20" s="84"/>
      <c r="I20" s="87">
        <v>1</v>
      </c>
      <c r="J20" s="15" t="e">
        <f>IF(#REF!="","",IF(VLOOKUP(#REF!,[5]Main!$A$102:$Q$125,1+I20,FALSE)="","",LEFT(VLOOKUP(#REF!,[5]Main!$A$102:$Q$125,1+I20,FALSE),SEARCH("::",VLOOKUP(#REF!,[5]Main!$A$102:$Q$125,1+I20,FALSE))-1)))</f>
        <v>#REF!</v>
      </c>
      <c r="K20" s="45" t="e">
        <f>IF(J20="project_code",[5]Main!B39," ")</f>
        <v>#REF!</v>
      </c>
    </row>
    <row r="21" spans="1:11">
      <c r="A21" s="87"/>
      <c r="B21" s="87"/>
      <c r="C21" s="63" t="s">
        <v>167</v>
      </c>
      <c r="D21" s="63"/>
      <c r="E21" s="63"/>
      <c r="F21" s="63"/>
      <c r="G21" s="63" t="s">
        <v>168</v>
      </c>
      <c r="H21" s="84"/>
      <c r="I21" s="87">
        <v>2</v>
      </c>
      <c r="J21" s="15" t="e">
        <f>IF(#REF!="","",IF(VLOOKUP(#REF!,[5]Main!$A$102:$Q$125,1+I21,FALSE)="","",LEFT(VLOOKUP(#REF!,[5]Main!$A$102:$Q$125,1+I21,FALSE),SEARCH("::",VLOOKUP(#REF!,[5]Main!$A$102:$Q$125,1+I21,FALSE))-1)))</f>
        <v>#REF!</v>
      </c>
      <c r="K21" s="45"/>
    </row>
    <row r="22" spans="1:11">
      <c r="A22" s="87"/>
      <c r="B22" s="87"/>
      <c r="C22" s="84"/>
      <c r="D22" s="84"/>
      <c r="E22" s="84"/>
      <c r="F22" s="84"/>
      <c r="G22" s="84"/>
      <c r="H22" s="84"/>
      <c r="I22" s="87">
        <v>3</v>
      </c>
      <c r="J22" s="15" t="e">
        <f>IF(#REF!="","",IF(VLOOKUP(#REF!,[5]Main!$A$102:$Q$125,1+I22,FALSE)="","",LEFT(VLOOKUP(#REF!,[5]Main!$A$102:$Q$125,1+I22,FALSE),SEARCH("::",VLOOKUP(#REF!,[5]Main!$A$102:$Q$125,1+I22,FALSE))-1)))</f>
        <v>#REF!</v>
      </c>
      <c r="K22" s="45"/>
    </row>
    <row r="23" spans="1:11">
      <c r="A23" s="87"/>
      <c r="B23" s="87"/>
      <c r="C23" s="84"/>
      <c r="D23" s="84"/>
      <c r="E23" s="84"/>
      <c r="F23" s="84"/>
      <c r="G23" s="84"/>
      <c r="H23" s="84"/>
      <c r="I23" s="87">
        <v>4</v>
      </c>
      <c r="J23" s="15" t="e">
        <f>IF(#REF!="","",IF(VLOOKUP(#REF!,[5]Main!$A$102:$Q$125,1+I23,FALSE)="","",LEFT(VLOOKUP(#REF!,[5]Main!$A$102:$Q$125,1+I23,FALSE),SEARCH("::",VLOOKUP(#REF!,[5]Main!$A$102:$Q$125,1+I23,FALSE))-1)))</f>
        <v>#REF!</v>
      </c>
      <c r="K23" s="45"/>
    </row>
    <row r="24" spans="1:11">
      <c r="A24" s="87"/>
      <c r="B24" s="87"/>
      <c r="C24" s="84"/>
      <c r="D24" s="84"/>
      <c r="E24" s="84"/>
      <c r="F24" s="84"/>
      <c r="G24" s="84"/>
      <c r="H24" s="84"/>
      <c r="I24" s="87">
        <v>5</v>
      </c>
      <c r="J24" s="15" t="e">
        <f>IF(#REF!="","",IF(VLOOKUP(#REF!,[5]Main!$A$102:$Q$125,1+I24,FALSE)="","",LEFT(VLOOKUP(#REF!,[5]Main!$A$102:$Q$125,1+I24,FALSE),SEARCH("::",VLOOKUP(#REF!,[5]Main!$A$102:$Q$125,1+I24,FALSE))-1)))</f>
        <v>#REF!</v>
      </c>
      <c r="K24" s="45"/>
    </row>
    <row r="25" spans="1:11">
      <c r="A25" s="87"/>
      <c r="B25" s="87"/>
      <c r="C25" s="87"/>
      <c r="D25" s="87"/>
      <c r="E25" s="87"/>
      <c r="F25" s="87"/>
      <c r="G25" s="87"/>
      <c r="H25" s="87"/>
      <c r="I25" s="87">
        <v>6</v>
      </c>
      <c r="J25" s="15" t="e">
        <f>IF(#REF!="","",IF(VLOOKUP(#REF!,[5]Main!$A$102:$Q$125,1+I25,FALSE)="","",LEFT(VLOOKUP(#REF!,[5]Main!$A$102:$Q$125,1+I25,FALSE),SEARCH("::",VLOOKUP(#REF!,[5]Main!$A$102:$Q$125,1+I25,FALSE))-1)))</f>
        <v>#REF!</v>
      </c>
      <c r="K25" s="45"/>
    </row>
    <row r="26" spans="1:11">
      <c r="A26" s="87"/>
      <c r="B26" s="87"/>
      <c r="C26" s="87"/>
      <c r="D26" s="87"/>
      <c r="E26" s="87"/>
      <c r="F26" s="87"/>
      <c r="G26" s="87"/>
      <c r="H26" s="87"/>
      <c r="I26" s="87">
        <v>7</v>
      </c>
      <c r="J26" s="15" t="e">
        <f>IF(#REF!="","",IF(VLOOKUP(#REF!,[5]Main!$A$102:$Q$125,1+I26,FALSE)="","",LEFT(VLOOKUP(#REF!,[5]Main!$A$102:$Q$125,1+I26,FALSE),SEARCH("::",VLOOKUP(#REF!,[5]Main!$A$102:$Q$125,1+I26,FALSE))-1)))</f>
        <v>#REF!</v>
      </c>
      <c r="K26" s="45"/>
    </row>
    <row r="27" spans="1:11">
      <c r="A27" s="87"/>
      <c r="B27" s="87"/>
      <c r="C27" s="87"/>
      <c r="D27" s="87"/>
      <c r="E27" s="87"/>
      <c r="F27" s="87"/>
      <c r="G27" s="87"/>
      <c r="H27" s="87"/>
      <c r="I27" s="87">
        <v>8</v>
      </c>
      <c r="J27" s="15" t="e">
        <f>IF(#REF!="","",IF(VLOOKUP(#REF!,[5]Main!$A$102:$Q$125,1+I27,FALSE)="","",LEFT(VLOOKUP(#REF!,[5]Main!$A$102:$Q$125,1+I27,FALSE),SEARCH("::",VLOOKUP(#REF!,[5]Main!$A$102:$Q$125,1+I27,FALSE))-1)))</f>
        <v>#REF!</v>
      </c>
      <c r="K27" s="45"/>
    </row>
    <row r="29" spans="1:11">
      <c r="I29" s="87" t="s">
        <v>169</v>
      </c>
    </row>
  </sheetData>
  <mergeCells count="13">
    <mergeCell ref="A2:B2"/>
    <mergeCell ref="C2:D2"/>
    <mergeCell ref="E2:F2"/>
    <mergeCell ref="G2:H2"/>
    <mergeCell ref="A18:B18"/>
    <mergeCell ref="A7:B7"/>
    <mergeCell ref="C7:D7"/>
    <mergeCell ref="E7:F7"/>
    <mergeCell ref="G7:H7"/>
    <mergeCell ref="A14:B14"/>
    <mergeCell ref="C14:D14"/>
    <mergeCell ref="E14:F14"/>
    <mergeCell ref="G14:H14"/>
  </mergeCell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M31"/>
  <sheetViews>
    <sheetView workbookViewId="0">
      <selection activeCell="J31" sqref="J31"/>
    </sheetView>
  </sheetViews>
  <sheetFormatPr defaultColWidth="11.42578125" defaultRowHeight="15"/>
  <cols>
    <col min="1" max="1" width="11.42578125" style="28"/>
    <col min="2" max="2" width="11.42578125" style="28" bestFit="1" customWidth="1"/>
    <col min="3" max="8" width="17.140625" style="28" customWidth="1"/>
    <col min="9" max="9" width="11.42578125" style="28"/>
    <col min="10" max="10" width="102.85546875" style="28" customWidth="1"/>
    <col min="11" max="16384" width="11.42578125" style="28"/>
  </cols>
  <sheetData>
    <row r="1" spans="1:13">
      <c r="A1" s="150" t="s">
        <v>12</v>
      </c>
      <c r="B1" s="149"/>
      <c r="C1" s="148"/>
      <c r="D1" s="149"/>
      <c r="E1" s="148"/>
      <c r="F1" s="149"/>
      <c r="G1" s="148"/>
      <c r="H1" s="149"/>
      <c r="I1"/>
      <c r="J1"/>
      <c r="K1"/>
      <c r="L1"/>
      <c r="M1"/>
    </row>
    <row r="2" spans="1:13">
      <c r="A2" s="14"/>
      <c r="B2" s="15" t="s">
        <v>13</v>
      </c>
      <c r="C2" s="16" t="s">
        <v>49</v>
      </c>
      <c r="D2" s="17"/>
      <c r="E2" s="17"/>
      <c r="F2" s="17"/>
      <c r="G2" s="15" t="s">
        <v>15</v>
      </c>
      <c r="H2" s="16"/>
      <c r="I2"/>
      <c r="J2"/>
      <c r="K2"/>
      <c r="L2"/>
      <c r="M2"/>
    </row>
    <row r="3" spans="1:13">
      <c r="A3" s="18"/>
      <c r="B3" s="15" t="s">
        <v>16</v>
      </c>
      <c r="C3" s="19"/>
      <c r="G3" s="15" t="s">
        <v>17</v>
      </c>
      <c r="H3" s="16"/>
      <c r="I3"/>
      <c r="J3"/>
      <c r="K3"/>
      <c r="L3"/>
      <c r="M3"/>
    </row>
    <row r="4" spans="1:13">
      <c r="A4" s="18"/>
      <c r="B4" s="15" t="s">
        <v>18</v>
      </c>
      <c r="C4" s="16" t="s">
        <v>50</v>
      </c>
      <c r="I4"/>
      <c r="J4"/>
      <c r="K4"/>
      <c r="L4"/>
      <c r="M4"/>
    </row>
    <row r="5" spans="1:13">
      <c r="A5" s="20"/>
      <c r="B5" s="20"/>
      <c r="C5" s="21"/>
      <c r="D5" s="21"/>
      <c r="E5" s="21"/>
      <c r="F5" s="21"/>
      <c r="G5" s="21"/>
      <c r="H5" s="21"/>
      <c r="I5"/>
      <c r="J5"/>
      <c r="K5"/>
      <c r="L5"/>
      <c r="M5"/>
    </row>
    <row r="6" spans="1:13">
      <c r="A6" s="150" t="s">
        <v>19</v>
      </c>
      <c r="B6" s="149"/>
      <c r="C6" s="148"/>
      <c r="D6" s="149"/>
      <c r="E6" s="148"/>
      <c r="F6" s="149"/>
      <c r="G6" s="148"/>
      <c r="H6" s="149"/>
      <c r="I6"/>
      <c r="J6"/>
      <c r="K6"/>
      <c r="L6"/>
      <c r="M6"/>
    </row>
    <row r="7" spans="1:13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I7"/>
      <c r="J7"/>
      <c r="K7"/>
      <c r="L7"/>
      <c r="M7"/>
    </row>
    <row r="8" spans="1:13">
      <c r="A8" s="18"/>
      <c r="B8" s="15" t="s">
        <v>25</v>
      </c>
      <c r="C8" s="16"/>
      <c r="D8" s="16"/>
      <c r="E8" s="16"/>
      <c r="F8" s="16"/>
      <c r="G8" s="99"/>
      <c r="H8" s="99">
        <v>1</v>
      </c>
      <c r="I8"/>
      <c r="J8" t="s">
        <v>296</v>
      </c>
      <c r="K8"/>
      <c r="L8"/>
      <c r="M8"/>
    </row>
    <row r="9" spans="1:13">
      <c r="A9" s="18"/>
      <c r="B9" s="15" t="s">
        <v>26</v>
      </c>
      <c r="C9" s="16"/>
      <c r="D9" s="16"/>
      <c r="E9" s="16"/>
      <c r="F9" s="16"/>
      <c r="G9" s="99"/>
      <c r="H9" s="99"/>
      <c r="I9"/>
      <c r="J9"/>
      <c r="K9"/>
      <c r="L9"/>
      <c r="M9"/>
    </row>
    <row r="10" spans="1:13">
      <c r="A10" s="18"/>
      <c r="B10" s="15" t="s">
        <v>27</v>
      </c>
      <c r="C10" s="16"/>
      <c r="D10" s="16"/>
      <c r="E10" s="16"/>
      <c r="F10" s="16"/>
      <c r="G10" s="99"/>
      <c r="H10" s="99"/>
      <c r="I10"/>
      <c r="J10"/>
      <c r="K10"/>
      <c r="L10"/>
      <c r="M10"/>
    </row>
    <row r="11" spans="1:13">
      <c r="A11" s="18"/>
      <c r="B11" s="15" t="s">
        <v>28</v>
      </c>
      <c r="C11" s="16"/>
      <c r="D11" s="16"/>
      <c r="E11" s="16"/>
      <c r="F11" s="16"/>
      <c r="G11" s="99"/>
      <c r="H11" s="99"/>
      <c r="I11"/>
      <c r="J11"/>
      <c r="K11"/>
      <c r="L11"/>
      <c r="M11"/>
    </row>
    <row r="12" spans="1:13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  <c r="M12"/>
    </row>
    <row r="13" spans="1:13">
      <c r="A13" s="148" t="s">
        <v>29</v>
      </c>
      <c r="B13" s="149"/>
      <c r="C13" s="148"/>
      <c r="D13" s="149"/>
      <c r="E13" s="148"/>
      <c r="F13" s="149"/>
      <c r="G13" s="148"/>
      <c r="H13" s="149"/>
      <c r="I13"/>
      <c r="J13"/>
      <c r="K13"/>
      <c r="L13"/>
      <c r="M13"/>
    </row>
    <row r="14" spans="1:13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  <c r="M14"/>
    </row>
    <row r="15" spans="1:13">
      <c r="A15" s="18"/>
      <c r="B15" s="15" t="s">
        <v>36</v>
      </c>
      <c r="C15" s="16"/>
      <c r="D15" s="16" t="s">
        <v>51</v>
      </c>
      <c r="E15" s="16"/>
      <c r="F15" s="23"/>
      <c r="G15" s="24"/>
      <c r="H15" s="16"/>
      <c r="I15"/>
      <c r="J15"/>
      <c r="K15"/>
      <c r="L15"/>
      <c r="M15"/>
    </row>
    <row r="16" spans="1:13">
      <c r="A16" s="20"/>
      <c r="B16" s="20"/>
      <c r="C16" s="21"/>
      <c r="D16" s="21" t="s">
        <v>212</v>
      </c>
      <c r="E16" s="21"/>
      <c r="F16" s="21"/>
      <c r="G16" s="21"/>
      <c r="H16" s="21"/>
      <c r="I16"/>
      <c r="J16"/>
      <c r="K16"/>
      <c r="L16"/>
      <c r="M16"/>
    </row>
    <row r="17" spans="1:13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  <c r="I17"/>
      <c r="J17"/>
      <c r="K17"/>
      <c r="L17"/>
      <c r="M17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  <c r="M18"/>
    </row>
    <row r="19" spans="1:13">
      <c r="C19" s="16"/>
      <c r="D19" s="16"/>
      <c r="E19" s="16"/>
      <c r="F19" s="16"/>
      <c r="G19" s="16"/>
      <c r="H19" s="16"/>
      <c r="I19"/>
      <c r="J19"/>
      <c r="K19"/>
      <c r="L19"/>
      <c r="M19"/>
    </row>
    <row r="20" spans="1:13">
      <c r="C20" s="16"/>
      <c r="D20" s="16"/>
      <c r="E20" s="16"/>
      <c r="F20" s="16"/>
      <c r="G20" s="16"/>
      <c r="H20" s="16"/>
      <c r="I20"/>
      <c r="J20"/>
      <c r="K20"/>
      <c r="L20"/>
      <c r="M20"/>
    </row>
    <row r="21" spans="1:13">
      <c r="C21" s="16"/>
      <c r="D21" s="16"/>
      <c r="E21" s="16"/>
      <c r="F21" s="16"/>
      <c r="G21" s="16"/>
      <c r="H21" s="16"/>
      <c r="I21"/>
      <c r="J21"/>
      <c r="K21"/>
      <c r="L21"/>
      <c r="M21"/>
    </row>
    <row r="22" spans="1:13">
      <c r="C22" s="16"/>
      <c r="D22" s="16"/>
      <c r="E22" s="16"/>
      <c r="F22" s="16"/>
      <c r="G22" s="16"/>
      <c r="H22" s="16"/>
      <c r="I22"/>
      <c r="J22"/>
      <c r="K22"/>
      <c r="L22"/>
      <c r="M22"/>
    </row>
    <row r="23" spans="1:13">
      <c r="C23" s="16"/>
      <c r="D23" s="16"/>
      <c r="E23" s="16"/>
      <c r="F23" s="16"/>
      <c r="G23" s="16"/>
      <c r="H23" s="16"/>
      <c r="I23"/>
      <c r="J23" s="55" t="s">
        <v>294</v>
      </c>
      <c r="K23"/>
      <c r="L23"/>
      <c r="M23"/>
    </row>
    <row r="24" spans="1:13">
      <c r="I24"/>
      <c r="J24" s="75" t="s">
        <v>130</v>
      </c>
      <c r="K24"/>
      <c r="L24"/>
      <c r="M24"/>
    </row>
    <row r="25" spans="1:13">
      <c r="I25"/>
      <c r="J25" s="106" t="s">
        <v>220</v>
      </c>
      <c r="K25"/>
      <c r="L25"/>
      <c r="M25"/>
    </row>
    <row r="26" spans="1:13">
      <c r="I26"/>
      <c r="J26" s="110" t="s">
        <v>225</v>
      </c>
      <c r="K26"/>
      <c r="L26"/>
      <c r="M26"/>
    </row>
    <row r="27" spans="1:13">
      <c r="I27"/>
      <c r="J27" s="116" t="s">
        <v>239</v>
      </c>
      <c r="K27"/>
      <c r="L27"/>
      <c r="M27"/>
    </row>
    <row r="28" spans="1:13">
      <c r="A28" s="29" t="s">
        <v>26</v>
      </c>
      <c r="B28" s="16" t="s">
        <v>52</v>
      </c>
      <c r="I28"/>
      <c r="J28" s="135" t="s">
        <v>295</v>
      </c>
      <c r="K28"/>
      <c r="L28"/>
      <c r="M28"/>
    </row>
    <row r="29" spans="1:13">
      <c r="I29"/>
      <c r="J29" s="138" t="s">
        <v>300</v>
      </c>
      <c r="K29"/>
      <c r="L29"/>
      <c r="M29"/>
    </row>
    <row r="30" spans="1:13">
      <c r="I30"/>
      <c r="J30" s="138" t="s">
        <v>301</v>
      </c>
      <c r="K30"/>
      <c r="L30"/>
      <c r="M30"/>
    </row>
    <row r="31" spans="1:13">
      <c r="I31"/>
      <c r="J31" s="146" t="s">
        <v>316</v>
      </c>
      <c r="K31"/>
      <c r="L31"/>
      <c r="M31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H23"/>
  <sheetViews>
    <sheetView workbookViewId="0">
      <selection activeCell="G30" sqref="G30"/>
    </sheetView>
  </sheetViews>
  <sheetFormatPr defaultColWidth="11.42578125" defaultRowHeight="15"/>
  <cols>
    <col min="2" max="2" width="11.42578125" bestFit="1" customWidth="1"/>
    <col min="3" max="8" width="17.140625" customWidth="1"/>
  </cols>
  <sheetData>
    <row r="1" spans="1:8">
      <c r="A1" s="150" t="s">
        <v>12</v>
      </c>
      <c r="B1" s="149"/>
      <c r="C1" s="148"/>
      <c r="D1" s="149"/>
      <c r="E1" s="148"/>
      <c r="F1" s="149"/>
      <c r="G1" s="148"/>
      <c r="H1" s="149"/>
    </row>
    <row r="2" spans="1:8">
      <c r="A2" s="14"/>
      <c r="B2" s="15" t="s">
        <v>13</v>
      </c>
      <c r="C2" s="16" t="s">
        <v>14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150" t="s">
        <v>19</v>
      </c>
      <c r="B6" s="149"/>
      <c r="C6" s="148"/>
      <c r="D6" s="149"/>
      <c r="E6" s="148"/>
      <c r="F6" s="149"/>
      <c r="G6" s="148"/>
      <c r="H6" s="149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  <c r="H8" s="113"/>
    </row>
    <row r="9" spans="1:8">
      <c r="A9" s="18"/>
      <c r="B9" s="15" t="s">
        <v>26</v>
      </c>
      <c r="C9" s="16"/>
      <c r="D9" s="16"/>
      <c r="E9" s="16"/>
      <c r="F9" s="16"/>
      <c r="G9" s="16"/>
      <c r="H9" s="113"/>
    </row>
    <row r="10" spans="1:8">
      <c r="A10" s="18"/>
      <c r="B10" s="15" t="s">
        <v>27</v>
      </c>
      <c r="C10" s="16"/>
      <c r="D10" s="16"/>
      <c r="E10" s="16"/>
      <c r="F10" s="16"/>
      <c r="G10" s="16"/>
      <c r="H10" s="113"/>
    </row>
    <row r="11" spans="1:8">
      <c r="A11" s="18"/>
      <c r="B11" s="15" t="s">
        <v>28</v>
      </c>
      <c r="C11" s="16"/>
      <c r="D11" s="16"/>
      <c r="E11" s="16"/>
      <c r="F11" s="16"/>
      <c r="G11" s="16"/>
      <c r="H11" s="113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148" t="s">
        <v>29</v>
      </c>
      <c r="B13" s="149"/>
      <c r="C13" s="148"/>
      <c r="D13" s="149"/>
      <c r="E13" s="148"/>
      <c r="F13" s="149"/>
      <c r="G13" s="148"/>
      <c r="H13" s="149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16" t="s">
        <v>42</v>
      </c>
      <c r="D19" s="16"/>
      <c r="E19" s="16"/>
      <c r="F19" s="16"/>
      <c r="G19" s="16" t="s">
        <v>43</v>
      </c>
      <c r="H19" s="16"/>
    </row>
    <row r="20" spans="1:8">
      <c r="C20" s="16" t="s">
        <v>44</v>
      </c>
      <c r="D20" s="16"/>
      <c r="E20" s="16"/>
      <c r="F20" s="16"/>
      <c r="G20" s="16" t="s">
        <v>45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J40"/>
  <sheetViews>
    <sheetView topLeftCell="A9" workbookViewId="0">
      <selection activeCell="H7" sqref="H7:H11"/>
    </sheetView>
  </sheetViews>
  <sheetFormatPr defaultColWidth="11.42578125" defaultRowHeight="15"/>
  <cols>
    <col min="2" max="2" width="11.42578125" bestFit="1" customWidth="1"/>
    <col min="3" max="8" width="17.140625" customWidth="1"/>
    <col min="10" max="10" width="84.42578125" customWidth="1"/>
  </cols>
  <sheetData>
    <row r="1" spans="1:8">
      <c r="A1" s="150" t="s">
        <v>12</v>
      </c>
      <c r="B1" s="149"/>
      <c r="C1" s="148"/>
      <c r="D1" s="149"/>
      <c r="E1" s="148"/>
      <c r="F1" s="149"/>
      <c r="G1" s="148"/>
      <c r="H1" s="149"/>
    </row>
    <row r="2" spans="1:8">
      <c r="A2" s="14"/>
      <c r="B2" s="15" t="s">
        <v>13</v>
      </c>
      <c r="C2" s="16" t="s">
        <v>46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150" t="s">
        <v>19</v>
      </c>
      <c r="B6" s="149"/>
      <c r="C6" s="148"/>
      <c r="D6" s="149"/>
      <c r="E6" s="148"/>
      <c r="F6" s="149"/>
      <c r="G6" s="148"/>
      <c r="H6" s="149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  <c r="H8" s="113"/>
    </row>
    <row r="9" spans="1:8">
      <c r="A9" s="18"/>
      <c r="B9" s="15" t="s">
        <v>26</v>
      </c>
      <c r="C9" s="16"/>
      <c r="D9" s="16"/>
      <c r="E9" s="16"/>
      <c r="F9" s="16"/>
      <c r="G9" s="16"/>
      <c r="H9" s="113"/>
    </row>
    <row r="10" spans="1:8">
      <c r="A10" s="18"/>
      <c r="B10" s="15" t="s">
        <v>27</v>
      </c>
      <c r="C10" s="16"/>
      <c r="D10" s="16"/>
      <c r="E10" s="16"/>
      <c r="F10" s="16"/>
      <c r="G10" s="16"/>
      <c r="H10" s="113"/>
    </row>
    <row r="11" spans="1:8">
      <c r="A11" s="18"/>
      <c r="B11" s="15" t="s">
        <v>28</v>
      </c>
      <c r="C11" s="16"/>
      <c r="D11" s="16"/>
      <c r="E11" s="16"/>
      <c r="F11" s="16"/>
      <c r="G11" s="16"/>
      <c r="H11" s="113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148" t="s">
        <v>29</v>
      </c>
      <c r="B13" s="149"/>
      <c r="C13" s="148"/>
      <c r="D13" s="149"/>
      <c r="E13" s="148"/>
      <c r="F13" s="149"/>
      <c r="G13" s="148"/>
      <c r="H13" s="149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10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10">
      <c r="C19" s="16" t="s">
        <v>42</v>
      </c>
      <c r="D19" s="16"/>
      <c r="E19" s="16"/>
      <c r="F19" s="16"/>
      <c r="G19" s="16" t="s">
        <v>43</v>
      </c>
      <c r="H19" s="16"/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79" t="s">
        <v>133</v>
      </c>
    </row>
    <row r="21" spans="1:10">
      <c r="C21" s="16"/>
      <c r="D21" s="16"/>
      <c r="E21" s="16"/>
      <c r="F21" s="16"/>
      <c r="G21" s="16"/>
      <c r="H21" s="16"/>
      <c r="J21" s="80" t="s">
        <v>146</v>
      </c>
    </row>
    <row r="22" spans="1:10">
      <c r="C22" s="16"/>
      <c r="D22" s="16"/>
      <c r="E22" s="16"/>
      <c r="F22" s="16"/>
      <c r="G22" s="16"/>
      <c r="H22" s="16"/>
      <c r="J22" s="96" t="s">
        <v>191</v>
      </c>
    </row>
    <row r="23" spans="1:10">
      <c r="C23" s="16"/>
      <c r="D23" s="16"/>
      <c r="E23" s="16"/>
      <c r="F23" s="16"/>
      <c r="G23" s="16"/>
      <c r="H23" s="16"/>
    </row>
    <row r="24" spans="1:10">
      <c r="J24" s="97" t="s">
        <v>193</v>
      </c>
    </row>
    <row r="25" spans="1:10">
      <c r="J25" s="97" t="s">
        <v>194</v>
      </c>
    </row>
    <row r="26" spans="1:10">
      <c r="J26" s="97" t="s">
        <v>195</v>
      </c>
    </row>
    <row r="27" spans="1:10">
      <c r="J27" s="97" t="s">
        <v>196</v>
      </c>
    </row>
    <row r="28" spans="1:10">
      <c r="G28" s="81" t="s">
        <v>141</v>
      </c>
      <c r="J28" s="97" t="s">
        <v>197</v>
      </c>
    </row>
    <row r="29" spans="1:10">
      <c r="G29" s="81" t="s">
        <v>142</v>
      </c>
      <c r="J29" s="97" t="s">
        <v>198</v>
      </c>
    </row>
    <row r="30" spans="1:10">
      <c r="G30" s="81" t="s">
        <v>143</v>
      </c>
      <c r="J30" s="97" t="s">
        <v>199</v>
      </c>
    </row>
    <row r="31" spans="1:10">
      <c r="G31" s="81" t="s">
        <v>144</v>
      </c>
      <c r="J31" s="97" t="s">
        <v>200</v>
      </c>
    </row>
    <row r="32" spans="1:10">
      <c r="G32" s="81" t="s">
        <v>145</v>
      </c>
      <c r="J32" s="97" t="s">
        <v>201</v>
      </c>
    </row>
    <row r="33" spans="10:10">
      <c r="J33" s="132" t="s">
        <v>287</v>
      </c>
    </row>
    <row r="36" spans="10:10">
      <c r="J36" s="133" t="s">
        <v>288</v>
      </c>
    </row>
    <row r="37" spans="10:10">
      <c r="J37" s="133" t="s">
        <v>289</v>
      </c>
    </row>
    <row r="38" spans="10:10">
      <c r="J38" s="133" t="s">
        <v>290</v>
      </c>
    </row>
    <row r="39" spans="10:10">
      <c r="J39" s="133" t="s">
        <v>291</v>
      </c>
    </row>
    <row r="40" spans="10:10">
      <c r="J40" s="133" t="s">
        <v>292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L32"/>
  <sheetViews>
    <sheetView workbookViewId="0">
      <selection activeCell="G6" sqref="G6"/>
    </sheetView>
  </sheetViews>
  <sheetFormatPr defaultColWidth="11.42578125" defaultRowHeight="15"/>
  <cols>
    <col min="1" max="1" width="11.42578125" style="27"/>
    <col min="2" max="2" width="11.42578125" style="27" bestFit="1" customWidth="1"/>
    <col min="3" max="8" width="17.140625" style="27" customWidth="1"/>
    <col min="9" max="9" width="11.42578125" style="27"/>
    <col min="10" max="10" width="83.7109375" style="27" customWidth="1"/>
    <col min="11" max="16384" width="11.42578125" style="27"/>
  </cols>
  <sheetData>
    <row r="1" spans="1:12">
      <c r="A1" s="150" t="s">
        <v>12</v>
      </c>
      <c r="B1" s="149"/>
      <c r="C1" s="148"/>
      <c r="D1" s="149"/>
      <c r="E1" s="148"/>
      <c r="F1" s="149"/>
      <c r="G1" s="148"/>
      <c r="H1" s="149"/>
      <c r="I1"/>
      <c r="J1"/>
      <c r="K1"/>
      <c r="L1"/>
    </row>
    <row r="2" spans="1:12">
      <c r="A2" s="14"/>
      <c r="B2" s="15" t="s">
        <v>13</v>
      </c>
      <c r="C2" s="16" t="s">
        <v>47</v>
      </c>
      <c r="D2" s="17"/>
      <c r="E2" s="17"/>
      <c r="F2" s="17"/>
      <c r="G2" s="15" t="s">
        <v>15</v>
      </c>
      <c r="H2" s="16"/>
      <c r="I2"/>
      <c r="J2"/>
      <c r="K2"/>
      <c r="L2"/>
    </row>
    <row r="3" spans="1:12">
      <c r="A3" s="18"/>
      <c r="B3" s="15" t="s">
        <v>16</v>
      </c>
      <c r="C3" s="19"/>
      <c r="G3" s="15" t="s">
        <v>17</v>
      </c>
      <c r="H3" s="16"/>
      <c r="I3"/>
      <c r="J3"/>
      <c r="K3"/>
      <c r="L3"/>
    </row>
    <row r="4" spans="1:12">
      <c r="A4" s="18"/>
      <c r="B4" s="15" t="s">
        <v>18</v>
      </c>
      <c r="C4" s="16"/>
      <c r="I4"/>
      <c r="J4"/>
      <c r="K4"/>
      <c r="L4"/>
    </row>
    <row r="5" spans="1:12">
      <c r="A5" s="20"/>
      <c r="B5" s="20"/>
      <c r="C5" s="21"/>
      <c r="D5" s="21"/>
      <c r="E5" s="21"/>
      <c r="F5" s="21"/>
      <c r="G5" s="21"/>
      <c r="H5" s="21"/>
      <c r="I5"/>
      <c r="J5"/>
      <c r="K5"/>
      <c r="L5"/>
    </row>
    <row r="6" spans="1:12">
      <c r="A6" s="150" t="s">
        <v>19</v>
      </c>
      <c r="B6" s="149"/>
      <c r="C6" s="148"/>
      <c r="D6" s="149"/>
      <c r="E6" s="148"/>
      <c r="F6" s="149"/>
      <c r="G6" s="130"/>
      <c r="H6" s="131"/>
      <c r="I6"/>
      <c r="J6"/>
      <c r="K6"/>
      <c r="L6"/>
    </row>
    <row r="7" spans="1:12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</row>
    <row r="8" spans="1:12">
      <c r="A8" s="18"/>
      <c r="B8" s="15" t="s">
        <v>25</v>
      </c>
      <c r="C8" s="16">
        <v>1</v>
      </c>
      <c r="D8" s="16">
        <v>2</v>
      </c>
      <c r="E8" s="16"/>
      <c r="F8" s="16"/>
      <c r="G8" s="16"/>
      <c r="I8"/>
      <c r="J8"/>
      <c r="K8"/>
      <c r="L8"/>
    </row>
    <row r="9" spans="1:12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</row>
    <row r="10" spans="1:12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</row>
    <row r="11" spans="1:12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</row>
    <row r="12" spans="1:12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</row>
    <row r="13" spans="1:12">
      <c r="A13" s="148" t="s">
        <v>29</v>
      </c>
      <c r="B13" s="149"/>
      <c r="C13" s="148"/>
      <c r="D13" s="149"/>
      <c r="E13" s="148"/>
      <c r="F13" s="149"/>
      <c r="G13" s="130"/>
      <c r="H13" s="131"/>
      <c r="I13"/>
      <c r="J13"/>
      <c r="K13"/>
      <c r="L13"/>
    </row>
    <row r="14" spans="1:12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</row>
    <row r="15" spans="1:12">
      <c r="A15" s="18"/>
      <c r="B15" s="15" t="s">
        <v>36</v>
      </c>
      <c r="C15" s="16"/>
      <c r="D15" s="16"/>
      <c r="E15" s="16"/>
      <c r="F15" s="23"/>
      <c r="G15" s="24"/>
      <c r="H15" s="16"/>
      <c r="I15"/>
      <c r="J15"/>
      <c r="K15"/>
      <c r="L15"/>
    </row>
    <row r="16" spans="1:12">
      <c r="A16" s="20"/>
      <c r="B16" s="20"/>
      <c r="C16" s="21"/>
      <c r="D16" s="21"/>
      <c r="E16" s="21"/>
      <c r="F16" s="21"/>
      <c r="G16" s="21"/>
      <c r="H16" s="21"/>
      <c r="I16"/>
      <c r="J16" s="126" t="s">
        <v>281</v>
      </c>
      <c r="K16"/>
      <c r="L16"/>
    </row>
    <row r="17" spans="1:12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  <c r="I17"/>
      <c r="J17" s="126" t="s">
        <v>282</v>
      </c>
      <c r="K17"/>
      <c r="L17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 s="126" t="s">
        <v>283</v>
      </c>
      <c r="K18"/>
      <c r="L18"/>
    </row>
    <row r="19" spans="1:12">
      <c r="C19" s="16" t="s">
        <v>42</v>
      </c>
      <c r="D19" s="16"/>
      <c r="E19" s="16"/>
      <c r="F19" s="16"/>
      <c r="G19" s="16" t="s">
        <v>43</v>
      </c>
      <c r="H19" s="16"/>
      <c r="I19"/>
      <c r="J19" s="126" t="s">
        <v>284</v>
      </c>
      <c r="K19"/>
      <c r="L19"/>
    </row>
    <row r="20" spans="1:12">
      <c r="C20" s="16" t="s">
        <v>44</v>
      </c>
      <c r="D20" s="16"/>
      <c r="E20" s="16"/>
      <c r="F20" s="16"/>
      <c r="G20" s="16" t="s">
        <v>45</v>
      </c>
      <c r="H20" s="16"/>
      <c r="I20"/>
      <c r="J20" s="126" t="s">
        <v>285</v>
      </c>
      <c r="K20"/>
      <c r="L20"/>
    </row>
    <row r="21" spans="1:12">
      <c r="C21" s="16"/>
      <c r="D21" s="16"/>
      <c r="E21" s="16"/>
      <c r="F21" s="16"/>
      <c r="G21" s="16"/>
      <c r="H21" s="16"/>
      <c r="I21"/>
      <c r="J21" s="136" t="s">
        <v>298</v>
      </c>
      <c r="K21"/>
      <c r="L21"/>
    </row>
    <row r="22" spans="1:12">
      <c r="C22" s="16"/>
      <c r="D22" s="16"/>
      <c r="E22" s="16"/>
      <c r="F22" s="16"/>
      <c r="G22" s="16"/>
      <c r="H22" s="16"/>
      <c r="I22"/>
      <c r="J22" s="139" t="s">
        <v>302</v>
      </c>
      <c r="K22"/>
      <c r="L22"/>
    </row>
    <row r="23" spans="1:12">
      <c r="C23" s="16"/>
      <c r="D23" s="16"/>
      <c r="E23" s="16"/>
      <c r="F23" s="16"/>
      <c r="G23" s="16"/>
      <c r="H23" s="16"/>
      <c r="I23"/>
      <c r="J23"/>
      <c r="K23"/>
      <c r="L23"/>
    </row>
    <row r="24" spans="1:12">
      <c r="I24"/>
      <c r="J24"/>
      <c r="K24"/>
      <c r="L24"/>
    </row>
    <row r="25" spans="1:12">
      <c r="I25"/>
      <c r="J25"/>
      <c r="K25"/>
      <c r="L25"/>
    </row>
    <row r="26" spans="1:12">
      <c r="I26"/>
      <c r="J26"/>
      <c r="K26"/>
      <c r="L26"/>
    </row>
    <row r="27" spans="1:12">
      <c r="I27"/>
      <c r="J27"/>
      <c r="K27"/>
      <c r="L27"/>
    </row>
    <row r="28" spans="1:12">
      <c r="I28"/>
      <c r="J28"/>
      <c r="K28"/>
      <c r="L28"/>
    </row>
    <row r="29" spans="1:12">
      <c r="I29"/>
      <c r="J29"/>
      <c r="K29"/>
      <c r="L29"/>
    </row>
    <row r="30" spans="1:12">
      <c r="I30"/>
      <c r="J30"/>
      <c r="K30"/>
      <c r="L30"/>
    </row>
    <row r="31" spans="1:12">
      <c r="I31"/>
      <c r="J31"/>
      <c r="K31"/>
      <c r="L31"/>
    </row>
    <row r="32" spans="1:12">
      <c r="I32"/>
      <c r="J32"/>
      <c r="K32"/>
      <c r="L32"/>
    </row>
  </sheetData>
  <mergeCells count="11">
    <mergeCell ref="A17:B17"/>
    <mergeCell ref="A1:B1"/>
    <mergeCell ref="C1:D1"/>
    <mergeCell ref="E1:F1"/>
    <mergeCell ref="G1:H1"/>
    <mergeCell ref="A6:B6"/>
    <mergeCell ref="C6:D6"/>
    <mergeCell ref="E6:F6"/>
    <mergeCell ref="A13:B13"/>
    <mergeCell ref="C13:D13"/>
    <mergeCell ref="E13:F13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L32"/>
  <sheetViews>
    <sheetView workbookViewId="0">
      <selection activeCell="D18" sqref="D18"/>
    </sheetView>
  </sheetViews>
  <sheetFormatPr defaultColWidth="11.42578125" defaultRowHeight="15"/>
  <cols>
    <col min="1" max="1" width="11.42578125" style="51"/>
    <col min="2" max="2" width="11.42578125" style="51" bestFit="1" customWidth="1"/>
    <col min="3" max="8" width="17.140625" style="51" customWidth="1"/>
    <col min="9" max="9" width="11.42578125" style="51"/>
    <col min="10" max="10" width="13.85546875" style="51" bestFit="1" customWidth="1"/>
    <col min="11" max="11" width="11.42578125" style="51"/>
    <col min="12" max="12" width="95" style="51" bestFit="1" customWidth="1"/>
    <col min="13" max="16384" width="11.42578125" style="51"/>
  </cols>
  <sheetData>
    <row r="1" spans="1:11">
      <c r="A1" s="150" t="s">
        <v>12</v>
      </c>
      <c r="B1" s="149"/>
      <c r="C1" s="148"/>
      <c r="D1" s="149"/>
      <c r="E1" s="148"/>
      <c r="F1" s="149"/>
      <c r="G1" s="148"/>
      <c r="H1" s="149"/>
      <c r="I1" s="37"/>
    </row>
    <row r="2" spans="1:11">
      <c r="A2" s="14"/>
      <c r="B2" s="15" t="s">
        <v>13</v>
      </c>
      <c r="C2" s="16" t="s">
        <v>100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/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50" t="s">
        <v>19</v>
      </c>
      <c r="B6" s="149"/>
      <c r="C6" s="148"/>
      <c r="D6" s="149"/>
      <c r="E6" s="148"/>
      <c r="F6" s="149"/>
      <c r="G6" s="148"/>
      <c r="H6" s="149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/>
      <c r="E8" s="16"/>
      <c r="F8" s="16"/>
      <c r="G8" s="99"/>
      <c r="H8" s="99">
        <v>2</v>
      </c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99"/>
      <c r="H9" s="99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99"/>
      <c r="H10" s="99"/>
    </row>
    <row r="11" spans="1:11">
      <c r="A11" s="18"/>
      <c r="B11" s="15" t="s">
        <v>28</v>
      </c>
      <c r="C11" s="16"/>
      <c r="D11" s="16"/>
      <c r="E11" s="16"/>
      <c r="F11" s="16"/>
      <c r="G11" s="99"/>
      <c r="H11" s="99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48" t="s">
        <v>29</v>
      </c>
      <c r="B13" s="149"/>
      <c r="C13" s="148"/>
      <c r="D13" s="149"/>
      <c r="E13" s="148"/>
      <c r="F13" s="149"/>
      <c r="G13" s="148"/>
      <c r="H13" s="149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219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48" t="s">
        <v>37</v>
      </c>
      <c r="B17" s="149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 t="e">
        <v>#VALUE!</v>
      </c>
      <c r="K19" s="45">
        <v>122</v>
      </c>
      <c r="L19" s="46"/>
    </row>
    <row r="20" spans="1:12">
      <c r="C20" s="16"/>
      <c r="D20" s="16"/>
      <c r="E20" s="16"/>
      <c r="F20" s="16"/>
      <c r="G20" s="16"/>
      <c r="H20" s="16"/>
      <c r="J20" s="15" t="e">
        <v>#VALUE!</v>
      </c>
      <c r="K20" s="45">
        <v>13.1</v>
      </c>
      <c r="L20" s="46"/>
    </row>
    <row r="21" spans="1:12">
      <c r="C21" s="16"/>
      <c r="D21" s="16"/>
      <c r="E21" s="16"/>
      <c r="F21" s="16"/>
      <c r="G21" s="16"/>
      <c r="H21" s="16"/>
      <c r="J21" s="15" t="e">
        <v>#VALUE!</v>
      </c>
      <c r="K21" s="45">
        <v>1.3</v>
      </c>
      <c r="L21" s="46"/>
    </row>
    <row r="22" spans="1:12">
      <c r="C22" s="16"/>
      <c r="D22" s="16"/>
      <c r="E22" s="16"/>
      <c r="F22" s="16"/>
      <c r="G22" s="16"/>
      <c r="H22" s="16"/>
      <c r="J22" s="15" t="e">
        <v>#VALUE!</v>
      </c>
      <c r="K22" s="45"/>
      <c r="L22" s="46"/>
    </row>
    <row r="23" spans="1:12">
      <c r="C23" s="16"/>
      <c r="D23" s="16"/>
      <c r="E23" s="16"/>
      <c r="F23" s="16"/>
      <c r="G23" s="16"/>
      <c r="H23" s="16"/>
      <c r="J23" s="15" t="e">
        <v>#VALUE!</v>
      </c>
      <c r="K23" s="45"/>
      <c r="L23" s="46" t="e">
        <v>#VALUE!</v>
      </c>
    </row>
    <row r="27" spans="1:12">
      <c r="C27" s="57" t="s">
        <v>110</v>
      </c>
      <c r="L27" s="56" t="s">
        <v>116</v>
      </c>
    </row>
    <row r="28" spans="1:12">
      <c r="C28" s="16" t="s">
        <v>111</v>
      </c>
      <c r="L28" s="105" t="s">
        <v>214</v>
      </c>
    </row>
    <row r="29" spans="1:12">
      <c r="C29" s="16" t="s">
        <v>112</v>
      </c>
      <c r="L29" s="105" t="s">
        <v>215</v>
      </c>
    </row>
    <row r="30" spans="1:12">
      <c r="C30" s="16" t="s">
        <v>113</v>
      </c>
      <c r="L30" s="105" t="s">
        <v>216</v>
      </c>
    </row>
    <row r="31" spans="1:12">
      <c r="C31" s="16" t="s">
        <v>114</v>
      </c>
      <c r="L31" s="105" t="s">
        <v>217</v>
      </c>
    </row>
    <row r="32" spans="1:12">
      <c r="C32" s="16" t="s">
        <v>115</v>
      </c>
      <c r="L32" s="105" t="s">
        <v>218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6"/>
  <sheetViews>
    <sheetView topLeftCell="B1" workbookViewId="0">
      <selection activeCell="C2" sqref="C2:D15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6" width="17.140625" style="59" customWidth="1"/>
    <col min="7" max="7" width="18.7109375" style="59" customWidth="1"/>
    <col min="8" max="8" width="17.140625" style="59" customWidth="1"/>
    <col min="9" max="11" width="11.42578125" style="59"/>
    <col min="12" max="14" width="11.85546875" style="59" bestFit="1" customWidth="1"/>
    <col min="15" max="15" width="77.42578125" style="59" bestFit="1" customWidth="1"/>
    <col min="16" max="16384" width="11.42578125" style="59"/>
  </cols>
  <sheetData>
    <row r="1" spans="1:8">
      <c r="A1" s="151" t="s">
        <v>12</v>
      </c>
      <c r="B1" s="152"/>
      <c r="C1" s="152"/>
      <c r="D1" s="152"/>
      <c r="E1" s="152"/>
      <c r="F1" s="152"/>
      <c r="G1" s="152"/>
      <c r="H1" s="153"/>
    </row>
    <row r="2" spans="1:8">
      <c r="A2" s="60"/>
      <c r="B2" s="61" t="s">
        <v>13</v>
      </c>
      <c r="C2" s="62" t="s">
        <v>117</v>
      </c>
      <c r="G2" s="61" t="s">
        <v>15</v>
      </c>
      <c r="H2" s="63"/>
    </row>
    <row r="3" spans="1:8">
      <c r="A3" s="60"/>
      <c r="B3" s="61" t="s">
        <v>16</v>
      </c>
      <c r="C3" s="154"/>
      <c r="D3" s="155"/>
    </row>
    <row r="4" spans="1:8">
      <c r="A4" s="60"/>
      <c r="B4" s="61" t="s">
        <v>18</v>
      </c>
      <c r="C4" s="63" t="s">
        <v>118</v>
      </c>
    </row>
    <row r="5" spans="1:8">
      <c r="A5" s="60"/>
      <c r="B5" s="60"/>
    </row>
    <row r="6" spans="1:8">
      <c r="A6" s="151" t="s">
        <v>19</v>
      </c>
      <c r="B6" s="152"/>
      <c r="C6" s="152"/>
      <c r="D6" s="152"/>
      <c r="E6" s="152"/>
      <c r="F6" s="152"/>
      <c r="G6" s="152"/>
      <c r="H6" s="153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>
        <v>1</v>
      </c>
      <c r="D8" s="63">
        <v>2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51" t="s">
        <v>29</v>
      </c>
      <c r="B13" s="152"/>
      <c r="C13" s="152"/>
      <c r="D13" s="152"/>
      <c r="E13" s="152"/>
      <c r="F13" s="152"/>
      <c r="G13" s="152"/>
      <c r="H13" s="153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132</v>
      </c>
      <c r="E15" s="63"/>
      <c r="F15" s="65"/>
      <c r="G15" s="66"/>
      <c r="H15" s="63"/>
    </row>
    <row r="16" spans="1:8">
      <c r="A16" s="60"/>
      <c r="B16" s="60"/>
    </row>
    <row r="17" spans="1:17">
      <c r="A17" s="151" t="s">
        <v>37</v>
      </c>
      <c r="B17" s="152"/>
      <c r="C17" s="67"/>
      <c r="D17" s="67"/>
      <c r="E17" s="68" t="s">
        <v>38</v>
      </c>
      <c r="F17" s="67"/>
      <c r="G17" s="67"/>
      <c r="H17" s="69"/>
      <c r="J17" s="151" t="s">
        <v>82</v>
      </c>
      <c r="K17" s="152"/>
      <c r="L17" s="152"/>
      <c r="M17" s="152"/>
      <c r="N17" s="152"/>
      <c r="O17" s="152"/>
      <c r="P17" s="152"/>
      <c r="Q17" s="153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120</v>
      </c>
      <c r="M18" s="70" t="s">
        <v>121</v>
      </c>
      <c r="N18" s="70" t="s">
        <v>122</v>
      </c>
      <c r="O18" s="70" t="s">
        <v>106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117</v>
      </c>
      <c r="L19" s="59">
        <v>3</v>
      </c>
      <c r="M19" s="59">
        <f>0.75*5</f>
        <v>3.75</v>
      </c>
      <c r="N19" s="59">
        <v>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  <c r="O23" s="58" t="s">
        <v>131</v>
      </c>
    </row>
    <row r="24" spans="1:17">
      <c r="K24" s="100" t="s">
        <v>202</v>
      </c>
      <c r="O24" s="98" t="s">
        <v>207</v>
      </c>
    </row>
    <row r="25" spans="1:17">
      <c r="K25" s="99" t="s">
        <v>203</v>
      </c>
      <c r="O25" s="101" t="s">
        <v>208</v>
      </c>
    </row>
    <row r="26" spans="1:17">
      <c r="K26" s="99" t="s">
        <v>204</v>
      </c>
      <c r="O26" s="103" t="s">
        <v>210</v>
      </c>
    </row>
    <row r="27" spans="1:17">
      <c r="K27" s="99" t="s">
        <v>205</v>
      </c>
      <c r="O27" s="118" t="s">
        <v>243</v>
      </c>
    </row>
    <row r="28" spans="1:17">
      <c r="K28" s="99" t="s">
        <v>206</v>
      </c>
      <c r="O28" s="121" t="s">
        <v>254</v>
      </c>
    </row>
    <row r="29" spans="1:17">
      <c r="K29" s="99" t="s">
        <v>52</v>
      </c>
      <c r="O29" s="122" t="s">
        <v>258</v>
      </c>
    </row>
    <row r="30" spans="1:17">
      <c r="H30" s="113" t="s">
        <v>244</v>
      </c>
      <c r="O30" s="143" t="s">
        <v>314</v>
      </c>
    </row>
    <row r="31" spans="1:17">
      <c r="H31" s="113" t="s">
        <v>127</v>
      </c>
    </row>
    <row r="32" spans="1:17">
      <c r="E32" s="76" t="s">
        <v>126</v>
      </c>
      <c r="H32" s="113" t="s">
        <v>128</v>
      </c>
    </row>
    <row r="33" spans="5:9">
      <c r="E33" s="76" t="s">
        <v>127</v>
      </c>
    </row>
    <row r="34" spans="5:9">
      <c r="E34" s="76" t="s">
        <v>128</v>
      </c>
      <c r="I34" s="113" t="s">
        <v>255</v>
      </c>
    </row>
    <row r="35" spans="5:9">
      <c r="E35" s="76" t="s">
        <v>129</v>
      </c>
      <c r="I35" s="113" t="s">
        <v>256</v>
      </c>
    </row>
    <row r="36" spans="5:9">
      <c r="I36" s="113" t="s">
        <v>257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>
      <selection activeCell="G36" sqref="G36"/>
    </sheetView>
  </sheetViews>
  <sheetFormatPr defaultColWidth="18.28515625" defaultRowHeight="15"/>
  <cols>
    <col min="8" max="8" width="93.28515625" customWidth="1"/>
  </cols>
  <sheetData>
    <row r="1" spans="1:6">
      <c r="A1" s="84"/>
      <c r="B1" s="17"/>
      <c r="C1" s="17"/>
      <c r="D1" s="17"/>
      <c r="E1" s="15" t="s">
        <v>15</v>
      </c>
      <c r="F1" s="84"/>
    </row>
    <row r="2" spans="1:6">
      <c r="A2" s="19" t="s">
        <v>159</v>
      </c>
      <c r="B2" s="86"/>
      <c r="C2" s="86"/>
      <c r="D2" s="86"/>
      <c r="E2" s="15" t="s">
        <v>17</v>
      </c>
      <c r="F2" s="84"/>
    </row>
    <row r="3" spans="1:6">
      <c r="A3" s="84" t="s">
        <v>164</v>
      </c>
      <c r="B3" s="86"/>
      <c r="C3" s="86"/>
      <c r="D3" s="86"/>
      <c r="E3" s="86"/>
      <c r="F3" s="86"/>
    </row>
    <row r="4" spans="1:6">
      <c r="A4" s="21"/>
      <c r="B4" s="21"/>
      <c r="C4" s="21"/>
      <c r="D4" s="21"/>
      <c r="E4" s="21"/>
      <c r="F4" s="21"/>
    </row>
    <row r="5" spans="1:6">
      <c r="A5" s="148"/>
      <c r="B5" s="149"/>
      <c r="C5" s="148"/>
      <c r="D5" s="149"/>
      <c r="E5" s="148"/>
      <c r="F5" s="149"/>
    </row>
    <row r="6" spans="1:6">
      <c r="A6" s="22" t="s">
        <v>20</v>
      </c>
      <c r="B6" s="22" t="s">
        <v>21</v>
      </c>
      <c r="C6" s="22" t="s">
        <v>22</v>
      </c>
      <c r="D6" s="22" t="s">
        <v>23</v>
      </c>
      <c r="E6" s="22" t="s">
        <v>24</v>
      </c>
      <c r="F6" s="17"/>
    </row>
    <row r="7" spans="1:6">
      <c r="A7" s="84"/>
      <c r="B7" s="84">
        <v>1</v>
      </c>
      <c r="C7" s="84"/>
      <c r="D7" s="84"/>
      <c r="E7" s="84"/>
      <c r="F7" s="86"/>
    </row>
    <row r="8" spans="1:6">
      <c r="A8" s="84"/>
      <c r="B8" s="84"/>
      <c r="C8" s="84"/>
      <c r="D8" s="84"/>
      <c r="E8" s="84"/>
      <c r="F8" s="86"/>
    </row>
    <row r="9" spans="1:6">
      <c r="A9" s="84"/>
      <c r="B9" s="84"/>
      <c r="C9" s="84"/>
      <c r="D9" s="84"/>
      <c r="E9" s="84"/>
      <c r="F9" s="86"/>
    </row>
    <row r="10" spans="1:6">
      <c r="A10" s="84"/>
      <c r="B10" s="84"/>
      <c r="C10" s="84"/>
      <c r="D10" s="84"/>
      <c r="E10" s="84"/>
      <c r="F10" s="86"/>
    </row>
    <row r="11" spans="1:6">
      <c r="A11" s="21"/>
      <c r="B11" s="21"/>
      <c r="C11" s="21"/>
      <c r="D11" s="21"/>
      <c r="E11" s="21"/>
      <c r="F11" s="21"/>
    </row>
    <row r="12" spans="1:6">
      <c r="A12" s="148"/>
      <c r="B12" s="149"/>
      <c r="C12" s="148"/>
      <c r="D12" s="149"/>
      <c r="E12" s="148"/>
      <c r="F12" s="149"/>
    </row>
    <row r="13" spans="1:6">
      <c r="A13" s="22" t="s">
        <v>30</v>
      </c>
      <c r="B13" s="22" t="s">
        <v>31</v>
      </c>
      <c r="C13" s="22" t="s">
        <v>32</v>
      </c>
      <c r="D13" s="22" t="s">
        <v>33</v>
      </c>
      <c r="E13" s="22" t="s">
        <v>34</v>
      </c>
      <c r="F13" s="22" t="s">
        <v>35</v>
      </c>
    </row>
    <row r="14" spans="1:6">
      <c r="A14" s="84" t="s">
        <v>160</v>
      </c>
      <c r="B14" s="84" t="s">
        <v>161</v>
      </c>
      <c r="C14" s="84" t="s">
        <v>162</v>
      </c>
      <c r="D14" s="23"/>
      <c r="E14" s="24"/>
      <c r="F14" s="84"/>
    </row>
    <row r="15" spans="1:6">
      <c r="A15" s="21"/>
      <c r="B15" s="21"/>
      <c r="C15" s="21"/>
      <c r="D15" s="21"/>
      <c r="E15" s="21"/>
      <c r="F15" s="21"/>
    </row>
    <row r="16" spans="1:6">
      <c r="A16" s="25"/>
      <c r="B16" s="25"/>
      <c r="C16" s="26" t="s">
        <v>38</v>
      </c>
      <c r="D16" s="25"/>
      <c r="E16" s="25"/>
      <c r="F16" s="25"/>
    </row>
    <row r="17" spans="1:8">
      <c r="A17" s="22" t="s">
        <v>39</v>
      </c>
      <c r="B17" s="22" t="s">
        <v>40</v>
      </c>
      <c r="C17" s="22" t="s">
        <v>41</v>
      </c>
      <c r="D17" s="22" t="s">
        <v>30</v>
      </c>
      <c r="E17" s="22" t="s">
        <v>31</v>
      </c>
      <c r="F17" s="22" t="s">
        <v>32</v>
      </c>
      <c r="H17" s="86" t="s">
        <v>163</v>
      </c>
    </row>
    <row r="18" spans="1:8">
      <c r="A18" s="84"/>
      <c r="B18" s="84"/>
      <c r="C18" s="84"/>
      <c r="D18" s="84"/>
      <c r="E18" s="84"/>
      <c r="F18" s="84"/>
    </row>
    <row r="19" spans="1:8">
      <c r="A19" s="84"/>
      <c r="B19" s="84"/>
      <c r="C19" s="84"/>
      <c r="D19" s="84"/>
      <c r="E19" s="84"/>
      <c r="F19" s="84"/>
    </row>
    <row r="20" spans="1:8">
      <c r="A20" s="84"/>
      <c r="B20" s="84"/>
      <c r="C20" s="84"/>
      <c r="D20" s="84"/>
      <c r="E20" s="84"/>
      <c r="F20" s="84"/>
    </row>
    <row r="21" spans="1:8">
      <c r="A21" s="84"/>
      <c r="B21" s="84"/>
      <c r="C21" s="84"/>
      <c r="D21" s="84"/>
      <c r="E21" s="84"/>
      <c r="F21" s="84"/>
    </row>
    <row r="22" spans="1:8">
      <c r="A22" s="84"/>
      <c r="B22" s="84"/>
      <c r="C22" s="84"/>
      <c r="D22" s="84"/>
      <c r="E22" s="84"/>
      <c r="F22" s="84"/>
    </row>
  </sheetData>
  <mergeCells count="6">
    <mergeCell ref="A5:B5"/>
    <mergeCell ref="C5:D5"/>
    <mergeCell ref="E5:F5"/>
    <mergeCell ref="A12:B12"/>
    <mergeCell ref="C12:D12"/>
    <mergeCell ref="E12:F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21</vt:i4>
      </vt:variant>
    </vt:vector>
  </HeadingPairs>
  <TitlesOfParts>
    <vt:vector size="21" baseType="lpstr">
      <vt:lpstr>lm6</vt:lpstr>
      <vt:lpstr>ldw</vt:lpstr>
      <vt:lpstr>Kalivam</vt:lpstr>
      <vt:lpstr>LVC1060 1050</vt:lpstr>
      <vt:lpstr>C Kalivam</vt:lpstr>
      <vt:lpstr>Blad1</vt:lpstr>
      <vt:lpstr>speedocal</vt:lpstr>
      <vt:lpstr>phareetalon</vt:lpstr>
      <vt:lpstr>highbeam unical</vt:lpstr>
      <vt:lpstr>unical</vt:lpstr>
      <vt:lpstr>lbm</vt:lpstr>
      <vt:lpstr>pla35 nr</vt:lpstr>
      <vt:lpstr>pla35 dr</vt:lpstr>
      <vt:lpstr>pla35 sr</vt:lpstr>
      <vt:lpstr>mst goca</vt:lpstr>
      <vt:lpstr>pla5sr</vt:lpstr>
      <vt:lpstr>pla5dr</vt:lpstr>
      <vt:lpstr>pla5nr</vt:lpstr>
      <vt:lpstr>candela</vt:lpstr>
      <vt:lpstr>minical</vt:lpstr>
      <vt:lpstr>floorchecker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Vincent Theuninck</cp:lastModifiedBy>
  <dcterms:created xsi:type="dcterms:W3CDTF">2019-08-12T12:19:31Z</dcterms:created>
  <dcterms:modified xsi:type="dcterms:W3CDTF">2019-10-23T13:27:18Z</dcterms:modified>
</cp:coreProperties>
</file>