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a\"/>
    </mc:Choice>
  </mc:AlternateContent>
  <bookViews>
    <workbookView xWindow="0" yWindow="0" windowWidth="28800" windowHeight="11835" activeTab="1"/>
  </bookViews>
  <sheets>
    <sheet name="Blad1" sheetId="1" r:id="rId1"/>
    <sheet name="Blad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2" l="1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2" i="1"/>
</calcChain>
</file>

<file path=xl/sharedStrings.xml><?xml version="1.0" encoding="utf-8"?>
<sst xmlns="http://schemas.openxmlformats.org/spreadsheetml/2006/main" count="429" uniqueCount="204">
  <si>
    <t>+</t>
  </si>
  <si>
    <t>Aantal</t>
  </si>
  <si>
    <t>Enh</t>
  </si>
  <si>
    <t>Art.groep</t>
  </si>
  <si>
    <t>Artikelsymbool</t>
  </si>
  <si>
    <t>Omschrijving</t>
  </si>
  <si>
    <t>ST</t>
  </si>
  <si>
    <t>DIVMA</t>
  </si>
  <si>
    <t>150289_01CAL</t>
  </si>
  <si>
    <t>Steunconstructie laser/vizier kalibratieframe FAS</t>
  </si>
  <si>
    <t>150308A01CAL</t>
  </si>
  <si>
    <t>Basis kalibratieframe FAS</t>
  </si>
  <si>
    <t>DNBOU</t>
  </si>
  <si>
    <t>0912-M05X08-RVS</t>
  </si>
  <si>
    <t>Binnenzeskantbout cylinderkop DIN0912  M 5x08mm A2</t>
  </si>
  <si>
    <t>0912-M05X12-RVS</t>
  </si>
  <si>
    <t>Binnenzeskantbout cylinderkop DIN0912  M 5x12mm A2</t>
  </si>
  <si>
    <t>0912-M06X12-RVS</t>
  </si>
  <si>
    <t>Binnenzeskantbout cylinderkop DIN0912  M 6x12mm A2</t>
  </si>
  <si>
    <t>0912-M06X25-RVS</t>
  </si>
  <si>
    <t>Binnenzeskantbout cylinderkop DIN0912  M 6x25mm A2</t>
  </si>
  <si>
    <t>0912-M08X16-RVS</t>
  </si>
  <si>
    <t>Binnenzeskantbout cylinderkop DIN0912  M 8x16mm A2</t>
  </si>
  <si>
    <t>0912-M08X20-RVS</t>
  </si>
  <si>
    <t>Binnenzeskantbout cylinderkop DIN0912  M 8x20mm A2</t>
  </si>
  <si>
    <t>DNPEN</t>
  </si>
  <si>
    <t>0007-05X12-RVS</t>
  </si>
  <si>
    <t>Cylindrische pen DIN7  5x12mm A2</t>
  </si>
  <si>
    <t>0007-05X16-RVS</t>
  </si>
  <si>
    <t>Cylindrische pen DIN0007  5x16mm A2</t>
  </si>
  <si>
    <t>0007-10X20-RVS</t>
  </si>
  <si>
    <t>Cylindrische pen DIN0007  10x20mm A2</t>
  </si>
  <si>
    <t>0007-10X24-RVS</t>
  </si>
  <si>
    <t>Cylindrische pen DIN0007  10x24mm A2</t>
  </si>
  <si>
    <t>DNRON</t>
  </si>
  <si>
    <t>0125-05-RVS</t>
  </si>
  <si>
    <t>Vlakke sluitring DIN0125 5mm A2</t>
  </si>
  <si>
    <t>0127-05-RVS</t>
  </si>
  <si>
    <t>Veerring DIN0127 5mm A2</t>
  </si>
  <si>
    <t>DNSCH</t>
  </si>
  <si>
    <t>0965-M04X08-RVS</t>
  </si>
  <si>
    <t>Metaalschroef verz.kop kruis DIN0965 M 4x 08mm A2</t>
  </si>
  <si>
    <t>0965-M05X08-RVS</t>
  </si>
  <si>
    <t>Metaalschroef verz.kop kruis DIN0965 M 5x 08mm A2</t>
  </si>
  <si>
    <t>7985-M03X06-RVS</t>
  </si>
  <si>
    <t>Metaalschroef cyl.kop kruisin. DIN7985 M 3x 06mm A2</t>
  </si>
  <si>
    <t>DRFR</t>
  </si>
  <si>
    <t>150286A01CAL</t>
  </si>
  <si>
    <t>Regelbare tafel kalibratieframe FAS</t>
  </si>
  <si>
    <t>150287_01CAL</t>
  </si>
  <si>
    <t>Steunplaat laser/vizier kalibratieframe FAS</t>
  </si>
  <si>
    <t>150288_01CAL</t>
  </si>
  <si>
    <t>Steunblok laser/vizier kalibratieframe FAS</t>
  </si>
  <si>
    <t>150298_01CAL</t>
  </si>
  <si>
    <t>Steun Volvo logo kalibratieframe FAS</t>
  </si>
  <si>
    <t>150299_01CAL</t>
  </si>
  <si>
    <t>Schroef logosteun kalibratieframe FAS</t>
  </si>
  <si>
    <t>150306_01CAL</t>
  </si>
  <si>
    <t>Centreerblok kalibratieframe FAS</t>
  </si>
  <si>
    <t>ELEM</t>
  </si>
  <si>
    <t>DRUK-ELESA-GN605-M8-12-VN</t>
  </si>
  <si>
    <t>Drukschroef ELESA-GN605-M8-12-VN</t>
  </si>
  <si>
    <t>HAND-ELESA-M.443/200-CH-ZWART</t>
  </si>
  <si>
    <t>Handvat ELESA-M.443/200-CH-ZWART</t>
  </si>
  <si>
    <t>KNOP-ELESA-B.193/18-P-M5X16</t>
  </si>
  <si>
    <t>Knop ELESA-B.193/18-P-M5X16</t>
  </si>
  <si>
    <t>EP</t>
  </si>
  <si>
    <t>130046_00CAL/</t>
  </si>
  <si>
    <t>Laser spoorbank 4 regelschroeven</t>
  </si>
  <si>
    <t>HF</t>
  </si>
  <si>
    <t>150274_01CAL</t>
  </si>
  <si>
    <t>Wielkastsimulatie kalibratieframe FAS</t>
  </si>
  <si>
    <t>150283_01CAL</t>
  </si>
  <si>
    <t>Regelbaar vizier kalibratieframe FAS</t>
  </si>
  <si>
    <t>150291_01CAL</t>
  </si>
  <si>
    <t>Lijnlaser kalibratieframe FAS</t>
  </si>
  <si>
    <t>150300_01CAL</t>
  </si>
  <si>
    <t>Waterpas kalibratieframe FAS</t>
  </si>
  <si>
    <t>PLTW</t>
  </si>
  <si>
    <t>130050_00CAL</t>
  </si>
  <si>
    <t>Afschermkap laser spoorbank</t>
  </si>
  <si>
    <t>130051_00CAL</t>
  </si>
  <si>
    <t>Vizierplaat laser spoorbank</t>
  </si>
  <si>
    <t>150295_01CAL</t>
  </si>
  <si>
    <t>Afdekplaat lasermodule kalibratieframe FAS</t>
  </si>
  <si>
    <t>150296_01CAL</t>
  </si>
  <si>
    <t>Draaiplaat referentielijn kalibratieframe FAS</t>
  </si>
  <si>
    <t>150297_01CAL</t>
  </si>
  <si>
    <t>Afdekplaat lasersteun kalibratieframe FAS</t>
  </si>
  <si>
    <t>150304_01CAL</t>
  </si>
  <si>
    <t>Blindpaneel kort waterpas kalibratieframe FAS</t>
  </si>
  <si>
    <t>150305_01CAL</t>
  </si>
  <si>
    <t>Blindpaneel lang waterpas kalibratieframe FAS</t>
  </si>
  <si>
    <t>150307_01CAL</t>
  </si>
  <si>
    <t>Tussenplaat pijl rijrichting kalibratieframe FAS</t>
  </si>
  <si>
    <t>vloten moeten nog M ervoor krijgen</t>
  </si>
  <si>
    <t>Alternatief Nummer</t>
  </si>
  <si>
    <t>Code hoofdsoort</t>
  </si>
  <si>
    <t>Code soort</t>
  </si>
  <si>
    <t>Totaal variabelekosten</t>
  </si>
  <si>
    <t>Totaal vastekosten</t>
  </si>
  <si>
    <t>MAAK</t>
  </si>
  <si>
    <t>0,00</t>
  </si>
  <si>
    <t>MECHCO</t>
  </si>
  <si>
    <t>BEV</t>
  </si>
  <si>
    <t>0,06</t>
  </si>
  <si>
    <t>inbus</t>
  </si>
  <si>
    <t xml:space="preserve">4x </t>
  </si>
  <si>
    <t xml:space="preserve">2x </t>
  </si>
  <si>
    <t>0912-M05X10-RVS</t>
  </si>
  <si>
    <t>0DN0912050102</t>
  </si>
  <si>
    <t>0,87</t>
  </si>
  <si>
    <t>0DN0912050082</t>
  </si>
  <si>
    <t>0,15</t>
  </si>
  <si>
    <t>2,00</t>
  </si>
  <si>
    <t>0,12</t>
  </si>
  <si>
    <t>0912-M05X16-RVS</t>
  </si>
  <si>
    <t>0DN0912050162</t>
  </si>
  <si>
    <t>0,07</t>
  </si>
  <si>
    <t>0912-M05X20-RVS</t>
  </si>
  <si>
    <t>0DN0912050202</t>
  </si>
  <si>
    <t>0,04</t>
  </si>
  <si>
    <t>0DN0007050162</t>
  </si>
  <si>
    <t>0,16</t>
  </si>
  <si>
    <t>0914-M04X08-RVS</t>
  </si>
  <si>
    <t>0DN0914040082</t>
  </si>
  <si>
    <t>0916-M05X16-RVS</t>
  </si>
  <si>
    <t>0DN0916050162</t>
  </si>
  <si>
    <t>0916-M05X20-RVS</t>
  </si>
  <si>
    <t>0DN0916050205</t>
  </si>
  <si>
    <t>0,05</t>
  </si>
  <si>
    <t>0965-M03X06-RVS</t>
  </si>
  <si>
    <t>0DN0965030062</t>
  </si>
  <si>
    <t>6321- 06X05-FE</t>
  </si>
  <si>
    <t>13,49</t>
  </si>
  <si>
    <t>110208_00CAL</t>
  </si>
  <si>
    <t>CAL</t>
  </si>
  <si>
    <t>9,60</t>
  </si>
  <si>
    <t>110209A00CAL</t>
  </si>
  <si>
    <t>70,00</t>
  </si>
  <si>
    <t>110210_00CAL</t>
  </si>
  <si>
    <t>13,60</t>
  </si>
  <si>
    <t>110211_00CAL</t>
  </si>
  <si>
    <t>16,00</t>
  </si>
  <si>
    <t>110212_00CAL</t>
  </si>
  <si>
    <t>5,60</t>
  </si>
  <si>
    <t>130049_00CAL</t>
  </si>
  <si>
    <t>170431_01CAL</t>
  </si>
  <si>
    <t>170432_01CAL</t>
  </si>
  <si>
    <t>127,40</t>
  </si>
  <si>
    <t>170436_01CAL</t>
  </si>
  <si>
    <t>38,00</t>
  </si>
  <si>
    <t>KNOP-ELESA-B.193/20-P-M6X25</t>
  </si>
  <si>
    <t>OND</t>
  </si>
  <si>
    <t>GLIJ</t>
  </si>
  <si>
    <t>GZF-08X010,0MM-0810DU</t>
  </si>
  <si>
    <t>LAG</t>
  </si>
  <si>
    <t>70,87</t>
  </si>
  <si>
    <t>VEER</t>
  </si>
  <si>
    <t>D-05.8X51.0MM0.63</t>
  </si>
  <si>
    <t>1,42</t>
  </si>
  <si>
    <t>4x inbus (DIN912-M05X08)</t>
  </si>
  <si>
    <t>2x inbus (DIN912-M05X10)</t>
  </si>
  <si>
    <t>inbus (DIN912-M05X16)</t>
  </si>
  <si>
    <t>inbus (DIN912-M05X20)</t>
  </si>
  <si>
    <t>cylindrische pen din0007  5x16mm a2</t>
  </si>
  <si>
    <t>2x cylindrische pen din0007  5x16mm a2 (DNPEN-0007-05X16)</t>
  </si>
  <si>
    <t>stelschroef binnenzesk.kegelp. din0914 m 4x 08mm a2</t>
  </si>
  <si>
    <t>2x stelschroef binnenzesk.kegelp. din0914 m 4x 08mm a2 (DIN914-M04X08)</t>
  </si>
  <si>
    <t>stelschroef binnenzesk.kraterp din0916 m 5x 16mm a2</t>
  </si>
  <si>
    <t>2x stelschroef binnenzesk.kraterp din0916 m 5x 16mm a2 (DIN916-M05X16)</t>
  </si>
  <si>
    <t>stelschroef binnenzesk.kraterp din0916 m 5x 20mm a2</t>
  </si>
  <si>
    <t>2x stelschroef binnenzesk.kraterp din0916 m 5x 20mm a2 (DIN916-M05X20)</t>
  </si>
  <si>
    <t>schroef</t>
  </si>
  <si>
    <t>4x schroef (DIN965-M03X06)</t>
  </si>
  <si>
    <t>oplegpen diam.6 x 5</t>
  </si>
  <si>
    <t xml:space="preserve">3x </t>
  </si>
  <si>
    <t>3x oplegpen diam.6 x 5 (DIN6321- 06X05-FE)</t>
  </si>
  <si>
    <t>glijas regelbaar vizier</t>
  </si>
  <si>
    <t>2x glijas regelbaar vizier (DRFR-110208_00CAL)</t>
  </si>
  <si>
    <t>vizierhouder regelbaar vizier</t>
  </si>
  <si>
    <t>vizierhouder regelbaar vizier (DRFR-110209A00CAL)</t>
  </si>
  <si>
    <t>vizier regelbaar vizier</t>
  </si>
  <si>
    <t>vizier regelbaar vizier (DRFR-110210_00CAL)</t>
  </si>
  <si>
    <t>afdekplaatje regelbaar vizier</t>
  </si>
  <si>
    <t>afdekplaatje regelbaar vizier (DRFR-110211_00CAL)</t>
  </si>
  <si>
    <t>spanblokje regelbaar vizier</t>
  </si>
  <si>
    <t>spanblokje regelbaar vizier (DRFR-110212_00CAL)</t>
  </si>
  <si>
    <t>steun laserhouder afdekkap</t>
  </si>
  <si>
    <t>steun laserhouder afdekkap (DRFR-130049_00CAL)</t>
  </si>
  <si>
    <t>voorzet target regelbaar vizier kalibratie 10m wand</t>
  </si>
  <si>
    <t>voorzet target regelbaar vizier kalibratie 10m wand (DRFR-170431_01CAL)</t>
  </si>
  <si>
    <t>vizierplaat kalibratie 10m wand</t>
  </si>
  <si>
    <t>vizierplaat kalibratie 10m wand (DRFR-170432_01CAL)</t>
  </si>
  <si>
    <t>horizontaal glijstuk regelbaar vizier 10m wand</t>
  </si>
  <si>
    <t>horizontaal glijstuk regelbaar vizier 10m wand (DRFR-170436_01CAL)</t>
  </si>
  <si>
    <t>knop elesa-b.193/20-p-m6x25</t>
  </si>
  <si>
    <t>knop elesa-b.193/20-p-m6x25 (ELESA-B.193/20-P-M6X25)</t>
  </si>
  <si>
    <t>glijlager zonder flens 8 x 10 mm 0810du</t>
  </si>
  <si>
    <t>4x glijlager zonder flens 8 x 10 mm 0810du (GLIJ-GZF-08X010,0MM-0810DU)</t>
  </si>
  <si>
    <t>afschermkap laser spoorbank</t>
  </si>
  <si>
    <t>afschermkap laser spoorbank (PLTW-130050_00CAL)</t>
  </si>
  <si>
    <t>drukveer 5,8x51 mm - draaddikte : 0.63</t>
  </si>
  <si>
    <t>2x drukveer 5,8x51 mm - draaddikte : 0.63 (VEER-D-05.8X51.0MM0.63)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</si>
</sst>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</xdr:row>
          <xdr:rowOff>19050</xdr:rowOff>
        </xdr:from>
        <xdr:to>
          <xdr:col>11</xdr:col>
          <xdr:colOff>466725</xdr:colOff>
          <xdr:row>27</xdr:row>
          <xdr:rowOff>114300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9525</xdr:rowOff>
        </xdr:from>
        <xdr:to>
          <xdr:col>12</xdr:col>
          <xdr:colOff>762000</xdr:colOff>
          <xdr:row>37</xdr:row>
          <xdr:rowOff>142875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40"/>
  <sheetViews>
    <sheetView workbookViewId="0">
      <selection activeCell="M2" sqref="M2"/>
    </sheetView>
  </sheetViews>
  <sheetFormatPr defaultRowHeight="15" x14ac:dyDescent="0.25"/>
  <cols>
    <col min="1" max="1" width="2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32.85546875" bestFit="1" customWidth="1"/>
    <col min="6" max="6" width="51.28515625" bestFit="1" customWidth="1"/>
    <col min="7" max="7" width="39.71093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7" x14ac:dyDescent="0.25">
      <c r="B2">
        <v>2</v>
      </c>
      <c r="C2" t="s">
        <v>6</v>
      </c>
      <c r="D2" t="s">
        <v>7</v>
      </c>
      <c r="E2" t="s">
        <v>8</v>
      </c>
      <c r="F2" t="s">
        <v>9</v>
      </c>
      <c r="G2" t="str">
        <f>"("&amp;D2&amp;"-"&amp;E2&amp;")"</f>
        <v>(DIVMA-150289_01CAL)</v>
      </c>
    </row>
    <row r="3" spans="1:7" x14ac:dyDescent="0.25">
      <c r="B3">
        <v>1</v>
      </c>
      <c r="C3" t="s">
        <v>6</v>
      </c>
      <c r="D3" t="s">
        <v>7</v>
      </c>
      <c r="E3" t="s">
        <v>10</v>
      </c>
      <c r="F3" t="s">
        <v>11</v>
      </c>
      <c r="G3" t="str">
        <f t="shared" ref="G3:G40" si="0">"("&amp;D3&amp;"-"&amp;E3&amp;")"</f>
        <v>(DIVMA-150308A01CAL)</v>
      </c>
    </row>
    <row r="4" spans="1:7" x14ac:dyDescent="0.25">
      <c r="B4">
        <v>6</v>
      </c>
      <c r="C4" t="s">
        <v>6</v>
      </c>
      <c r="D4" t="s">
        <v>12</v>
      </c>
      <c r="E4" t="s">
        <v>13</v>
      </c>
      <c r="F4" t="s">
        <v>14</v>
      </c>
      <c r="G4" t="str">
        <f t="shared" si="0"/>
        <v>(DNBOU-0912-M05X08-RVS)</v>
      </c>
    </row>
    <row r="5" spans="1:7" x14ac:dyDescent="0.25">
      <c r="B5">
        <v>2</v>
      </c>
      <c r="C5" t="s">
        <v>6</v>
      </c>
      <c r="D5" t="s">
        <v>12</v>
      </c>
      <c r="E5" t="s">
        <v>15</v>
      </c>
      <c r="F5" t="s">
        <v>16</v>
      </c>
      <c r="G5" t="str">
        <f t="shared" si="0"/>
        <v>(DNBOU-0912-M05X12-RVS)</v>
      </c>
    </row>
    <row r="6" spans="1:7" x14ac:dyDescent="0.25">
      <c r="B6">
        <v>6</v>
      </c>
      <c r="C6" t="s">
        <v>6</v>
      </c>
      <c r="D6" t="s">
        <v>12</v>
      </c>
      <c r="E6" t="s">
        <v>17</v>
      </c>
      <c r="F6" t="s">
        <v>18</v>
      </c>
      <c r="G6" t="str">
        <f t="shared" si="0"/>
        <v>(DNBOU-0912-M06X12-RVS)</v>
      </c>
    </row>
    <row r="7" spans="1:7" x14ac:dyDescent="0.25">
      <c r="B7">
        <v>40</v>
      </c>
      <c r="C7" t="s">
        <v>6</v>
      </c>
      <c r="D7" t="s">
        <v>12</v>
      </c>
      <c r="E7" t="s">
        <v>19</v>
      </c>
      <c r="F7" t="s">
        <v>20</v>
      </c>
      <c r="G7" t="str">
        <f t="shared" si="0"/>
        <v>(DNBOU-0912-M06X25-RVS)</v>
      </c>
    </row>
    <row r="8" spans="1:7" x14ac:dyDescent="0.25">
      <c r="B8">
        <v>30</v>
      </c>
      <c r="C8" t="s">
        <v>6</v>
      </c>
      <c r="D8" t="s">
        <v>12</v>
      </c>
      <c r="E8" t="s">
        <v>21</v>
      </c>
      <c r="F8" t="s">
        <v>22</v>
      </c>
      <c r="G8" t="str">
        <f t="shared" si="0"/>
        <v>(DNBOU-0912-M08X16-RVS)</v>
      </c>
    </row>
    <row r="9" spans="1:7" x14ac:dyDescent="0.25">
      <c r="B9">
        <v>24</v>
      </c>
      <c r="C9" t="s">
        <v>6</v>
      </c>
      <c r="D9" t="s">
        <v>12</v>
      </c>
      <c r="E9" t="s">
        <v>23</v>
      </c>
      <c r="F9" t="s">
        <v>24</v>
      </c>
      <c r="G9" t="str">
        <f t="shared" si="0"/>
        <v>(DNBOU-0912-M08X20-RVS)</v>
      </c>
    </row>
    <row r="10" spans="1:7" x14ac:dyDescent="0.25">
      <c r="B10">
        <v>8</v>
      </c>
      <c r="C10" t="s">
        <v>6</v>
      </c>
      <c r="D10" t="s">
        <v>25</v>
      </c>
      <c r="E10" t="s">
        <v>26</v>
      </c>
      <c r="F10" t="s">
        <v>27</v>
      </c>
      <c r="G10" t="str">
        <f t="shared" si="0"/>
        <v>(DNPEN-0007-05X12-RVS)</v>
      </c>
    </row>
    <row r="11" spans="1:7" x14ac:dyDescent="0.25">
      <c r="B11">
        <v>4</v>
      </c>
      <c r="C11" t="s">
        <v>6</v>
      </c>
      <c r="D11" t="s">
        <v>25</v>
      </c>
      <c r="E11" t="s">
        <v>28</v>
      </c>
      <c r="F11" t="s">
        <v>29</v>
      </c>
      <c r="G11" t="str">
        <f t="shared" si="0"/>
        <v>(DNPEN-0007-05X16-RVS)</v>
      </c>
    </row>
    <row r="12" spans="1:7" x14ac:dyDescent="0.25">
      <c r="B12">
        <v>12</v>
      </c>
      <c r="C12" t="s">
        <v>6</v>
      </c>
      <c r="D12" t="s">
        <v>25</v>
      </c>
      <c r="E12" t="s">
        <v>30</v>
      </c>
      <c r="F12" t="s">
        <v>31</v>
      </c>
      <c r="G12" t="str">
        <f t="shared" si="0"/>
        <v>(DNPEN-0007-10X20-RVS)</v>
      </c>
    </row>
    <row r="13" spans="1:7" x14ac:dyDescent="0.25">
      <c r="B13">
        <v>8</v>
      </c>
      <c r="C13" t="s">
        <v>6</v>
      </c>
      <c r="D13" t="s">
        <v>25</v>
      </c>
      <c r="E13" t="s">
        <v>32</v>
      </c>
      <c r="F13" t="s">
        <v>33</v>
      </c>
      <c r="G13" t="str">
        <f t="shared" si="0"/>
        <v>(DNPEN-0007-10X24-RVS)</v>
      </c>
    </row>
    <row r="14" spans="1:7" x14ac:dyDescent="0.25">
      <c r="B14">
        <v>2</v>
      </c>
      <c r="C14" t="s">
        <v>6</v>
      </c>
      <c r="D14" t="s">
        <v>34</v>
      </c>
      <c r="E14" t="s">
        <v>35</v>
      </c>
      <c r="F14" t="s">
        <v>36</v>
      </c>
      <c r="G14" t="str">
        <f t="shared" si="0"/>
        <v>(DNRON-0125-05-RVS)</v>
      </c>
    </row>
    <row r="15" spans="1:7" x14ac:dyDescent="0.25">
      <c r="B15">
        <v>2</v>
      </c>
      <c r="C15" t="s">
        <v>6</v>
      </c>
      <c r="D15" t="s">
        <v>34</v>
      </c>
      <c r="E15" t="s">
        <v>37</v>
      </c>
      <c r="F15" t="s">
        <v>38</v>
      </c>
      <c r="G15" t="str">
        <f t="shared" si="0"/>
        <v>(DNRON-0127-05-RVS)</v>
      </c>
    </row>
    <row r="16" spans="1:7" x14ac:dyDescent="0.25">
      <c r="B16">
        <v>4</v>
      </c>
      <c r="C16" t="s">
        <v>6</v>
      </c>
      <c r="D16" t="s">
        <v>39</v>
      </c>
      <c r="E16" t="s">
        <v>40</v>
      </c>
      <c r="F16" t="s">
        <v>41</v>
      </c>
      <c r="G16" t="str">
        <f t="shared" si="0"/>
        <v>(DNSCH-0965-M04X08-RVS)</v>
      </c>
    </row>
    <row r="17" spans="1:7" x14ac:dyDescent="0.25">
      <c r="B17">
        <v>12</v>
      </c>
      <c r="C17" t="s">
        <v>6</v>
      </c>
      <c r="D17" t="s">
        <v>39</v>
      </c>
      <c r="E17" t="s">
        <v>42</v>
      </c>
      <c r="F17" t="s">
        <v>43</v>
      </c>
      <c r="G17" t="str">
        <f t="shared" si="0"/>
        <v>(DNSCH-0965-M05X08-RVS)</v>
      </c>
    </row>
    <row r="18" spans="1:7" x14ac:dyDescent="0.25">
      <c r="B18">
        <v>8</v>
      </c>
      <c r="C18" t="s">
        <v>6</v>
      </c>
      <c r="D18" t="s">
        <v>39</v>
      </c>
      <c r="E18" t="s">
        <v>44</v>
      </c>
      <c r="F18" t="s">
        <v>45</v>
      </c>
      <c r="G18" t="str">
        <f t="shared" si="0"/>
        <v>(DNSCH-7985-M03X06-RVS)</v>
      </c>
    </row>
    <row r="19" spans="1:7" x14ac:dyDescent="0.25">
      <c r="B19">
        <v>4</v>
      </c>
      <c r="C19" t="s">
        <v>6</v>
      </c>
      <c r="D19" t="s">
        <v>46</v>
      </c>
      <c r="E19" t="s">
        <v>47</v>
      </c>
      <c r="F19" t="s">
        <v>48</v>
      </c>
      <c r="G19" t="str">
        <f t="shared" si="0"/>
        <v>(DRFR-150286A01CAL)</v>
      </c>
    </row>
    <row r="20" spans="1:7" x14ac:dyDescent="0.25">
      <c r="B20">
        <v>2</v>
      </c>
      <c r="C20" t="s">
        <v>6</v>
      </c>
      <c r="D20" t="s">
        <v>46</v>
      </c>
      <c r="E20" t="s">
        <v>49</v>
      </c>
      <c r="F20" t="s">
        <v>50</v>
      </c>
      <c r="G20" t="str">
        <f t="shared" si="0"/>
        <v>(DRFR-150287_01CAL)</v>
      </c>
    </row>
    <row r="21" spans="1:7" x14ac:dyDescent="0.25">
      <c r="B21">
        <v>2</v>
      </c>
      <c r="C21" t="s">
        <v>6</v>
      </c>
      <c r="D21" t="s">
        <v>46</v>
      </c>
      <c r="E21" t="s">
        <v>51</v>
      </c>
      <c r="F21" t="s">
        <v>52</v>
      </c>
      <c r="G21" t="str">
        <f t="shared" si="0"/>
        <v>(DRFR-150288_01CAL)</v>
      </c>
    </row>
    <row r="22" spans="1:7" x14ac:dyDescent="0.25">
      <c r="B22">
        <v>4</v>
      </c>
      <c r="C22" t="s">
        <v>6</v>
      </c>
      <c r="D22" t="s">
        <v>46</v>
      </c>
      <c r="E22" t="s">
        <v>53</v>
      </c>
      <c r="F22" t="s">
        <v>54</v>
      </c>
      <c r="G22" t="str">
        <f t="shared" si="0"/>
        <v>(DRFR-150298_01CAL)</v>
      </c>
    </row>
    <row r="23" spans="1:7" x14ac:dyDescent="0.25">
      <c r="B23">
        <v>8</v>
      </c>
      <c r="C23" t="s">
        <v>6</v>
      </c>
      <c r="D23" t="s">
        <v>46</v>
      </c>
      <c r="E23" t="s">
        <v>55</v>
      </c>
      <c r="F23" t="s">
        <v>56</v>
      </c>
      <c r="G23" t="str">
        <f t="shared" si="0"/>
        <v>(DRFR-150299_01CAL)</v>
      </c>
    </row>
    <row r="24" spans="1:7" x14ac:dyDescent="0.25">
      <c r="B24">
        <v>2</v>
      </c>
      <c r="C24" t="s">
        <v>6</v>
      </c>
      <c r="D24" t="s">
        <v>46</v>
      </c>
      <c r="E24" t="s">
        <v>57</v>
      </c>
      <c r="F24" t="s">
        <v>58</v>
      </c>
      <c r="G24" t="str">
        <f t="shared" si="0"/>
        <v>(DRFR-150306_01CAL)</v>
      </c>
    </row>
    <row r="25" spans="1:7" x14ac:dyDescent="0.25">
      <c r="B25">
        <v>76</v>
      </c>
      <c r="C25" t="s">
        <v>6</v>
      </c>
      <c r="D25" t="s">
        <v>59</v>
      </c>
      <c r="E25" t="s">
        <v>60</v>
      </c>
      <c r="F25" t="s">
        <v>61</v>
      </c>
      <c r="G25" t="str">
        <f t="shared" si="0"/>
        <v>(ELEM-DRUK-ELESA-GN605-M8-12-VN)</v>
      </c>
    </row>
    <row r="26" spans="1:7" x14ac:dyDescent="0.25">
      <c r="B26">
        <v>8</v>
      </c>
      <c r="C26" t="s">
        <v>6</v>
      </c>
      <c r="D26" t="s">
        <v>59</v>
      </c>
      <c r="E26" t="s">
        <v>62</v>
      </c>
      <c r="F26" t="s">
        <v>63</v>
      </c>
      <c r="G26" t="str">
        <f t="shared" si="0"/>
        <v>(ELEM-HAND-ELESA-M.443/200-CH-ZWART)</v>
      </c>
    </row>
    <row r="27" spans="1:7" x14ac:dyDescent="0.25">
      <c r="B27">
        <v>2</v>
      </c>
      <c r="C27" t="s">
        <v>6</v>
      </c>
      <c r="D27" t="s">
        <v>59</v>
      </c>
      <c r="E27" t="s">
        <v>64</v>
      </c>
      <c r="F27" t="s">
        <v>65</v>
      </c>
      <c r="G27" t="str">
        <f t="shared" si="0"/>
        <v>(ELEM-KNOP-ELESA-B.193/18-P-M5X16)</v>
      </c>
    </row>
    <row r="28" spans="1:7" x14ac:dyDescent="0.25">
      <c r="A28" t="s">
        <v>0</v>
      </c>
      <c r="B28">
        <v>1</v>
      </c>
      <c r="C28" t="s">
        <v>6</v>
      </c>
      <c r="D28" t="s">
        <v>66</v>
      </c>
      <c r="E28" t="s">
        <v>67</v>
      </c>
      <c r="F28" t="s">
        <v>68</v>
      </c>
      <c r="G28" t="str">
        <f t="shared" si="0"/>
        <v>(EP-130046_00CAL/)</v>
      </c>
    </row>
    <row r="29" spans="1:7" x14ac:dyDescent="0.25">
      <c r="A29" t="s">
        <v>0</v>
      </c>
      <c r="B29">
        <v>4</v>
      </c>
      <c r="C29" t="s">
        <v>6</v>
      </c>
      <c r="D29" t="s">
        <v>69</v>
      </c>
      <c r="E29" t="s">
        <v>70</v>
      </c>
      <c r="F29" t="s">
        <v>71</v>
      </c>
      <c r="G29" t="str">
        <f t="shared" si="0"/>
        <v>(HF-150274_01CAL)</v>
      </c>
    </row>
    <row r="30" spans="1:7" x14ac:dyDescent="0.25">
      <c r="A30" t="s">
        <v>0</v>
      </c>
      <c r="B30">
        <v>1</v>
      </c>
      <c r="C30" t="s">
        <v>6</v>
      </c>
      <c r="D30" t="s">
        <v>69</v>
      </c>
      <c r="E30" t="s">
        <v>72</v>
      </c>
      <c r="F30" t="s">
        <v>73</v>
      </c>
      <c r="G30" t="str">
        <f t="shared" si="0"/>
        <v>(HF-150283_01CAL)</v>
      </c>
    </row>
    <row r="31" spans="1:7" x14ac:dyDescent="0.25">
      <c r="A31" t="s">
        <v>0</v>
      </c>
      <c r="B31">
        <v>1</v>
      </c>
      <c r="C31" t="s">
        <v>6</v>
      </c>
      <c r="D31" t="s">
        <v>69</v>
      </c>
      <c r="E31" t="s">
        <v>74</v>
      </c>
      <c r="F31" t="s">
        <v>75</v>
      </c>
      <c r="G31" t="str">
        <f t="shared" si="0"/>
        <v>(HF-150291_01CAL)</v>
      </c>
    </row>
    <row r="32" spans="1:7" x14ac:dyDescent="0.25">
      <c r="A32" t="s">
        <v>0</v>
      </c>
      <c r="B32">
        <v>2</v>
      </c>
      <c r="C32" t="s">
        <v>6</v>
      </c>
      <c r="D32" t="s">
        <v>69</v>
      </c>
      <c r="E32" t="s">
        <v>76</v>
      </c>
      <c r="F32" t="s">
        <v>77</v>
      </c>
      <c r="G32" t="str">
        <f t="shared" si="0"/>
        <v>(HF-150300_01CAL)</v>
      </c>
    </row>
    <row r="33" spans="2:7" x14ac:dyDescent="0.25">
      <c r="B33">
        <v>1</v>
      </c>
      <c r="C33" t="s">
        <v>6</v>
      </c>
      <c r="D33" t="s">
        <v>78</v>
      </c>
      <c r="E33" t="s">
        <v>79</v>
      </c>
      <c r="F33" t="s">
        <v>80</v>
      </c>
      <c r="G33" t="str">
        <f t="shared" si="0"/>
        <v>(PLTW-130050_00CAL)</v>
      </c>
    </row>
    <row r="34" spans="2:7" x14ac:dyDescent="0.25">
      <c r="B34">
        <v>1</v>
      </c>
      <c r="C34" t="s">
        <v>6</v>
      </c>
      <c r="D34" t="s">
        <v>78</v>
      </c>
      <c r="E34" t="s">
        <v>81</v>
      </c>
      <c r="F34" t="s">
        <v>82</v>
      </c>
      <c r="G34" t="str">
        <f t="shared" si="0"/>
        <v>(PLTW-130051_00CAL)</v>
      </c>
    </row>
    <row r="35" spans="2:7" x14ac:dyDescent="0.25">
      <c r="B35">
        <v>2</v>
      </c>
      <c r="C35" t="s">
        <v>6</v>
      </c>
      <c r="D35" t="s">
        <v>78</v>
      </c>
      <c r="E35" t="s">
        <v>83</v>
      </c>
      <c r="F35" t="s">
        <v>84</v>
      </c>
      <c r="G35" t="str">
        <f t="shared" si="0"/>
        <v>(PLTW-150295_01CAL)</v>
      </c>
    </row>
    <row r="36" spans="2:7" x14ac:dyDescent="0.25">
      <c r="B36">
        <v>2</v>
      </c>
      <c r="C36" t="s">
        <v>6</v>
      </c>
      <c r="D36" t="s">
        <v>78</v>
      </c>
      <c r="E36" t="s">
        <v>85</v>
      </c>
      <c r="F36" t="s">
        <v>86</v>
      </c>
      <c r="G36" t="str">
        <f t="shared" si="0"/>
        <v>(PLTW-150296_01CAL)</v>
      </c>
    </row>
    <row r="37" spans="2:7" x14ac:dyDescent="0.25">
      <c r="B37">
        <v>4</v>
      </c>
      <c r="C37" t="s">
        <v>6</v>
      </c>
      <c r="D37" t="s">
        <v>78</v>
      </c>
      <c r="E37" t="s">
        <v>87</v>
      </c>
      <c r="F37" t="s">
        <v>88</v>
      </c>
      <c r="G37" t="str">
        <f t="shared" si="0"/>
        <v>(PLTW-150297_01CAL)</v>
      </c>
    </row>
    <row r="38" spans="2:7" x14ac:dyDescent="0.25">
      <c r="B38">
        <v>1</v>
      </c>
      <c r="C38" t="s">
        <v>6</v>
      </c>
      <c r="D38" t="s">
        <v>78</v>
      </c>
      <c r="E38" t="s">
        <v>89</v>
      </c>
      <c r="F38" t="s">
        <v>90</v>
      </c>
      <c r="G38" t="str">
        <f t="shared" si="0"/>
        <v>(PLTW-150304_01CAL)</v>
      </c>
    </row>
    <row r="39" spans="2:7" x14ac:dyDescent="0.25">
      <c r="B39">
        <v>1</v>
      </c>
      <c r="C39" t="s">
        <v>6</v>
      </c>
      <c r="D39" t="s">
        <v>78</v>
      </c>
      <c r="E39" t="s">
        <v>91</v>
      </c>
      <c r="F39" t="s">
        <v>92</v>
      </c>
      <c r="G39" t="str">
        <f t="shared" si="0"/>
        <v>(PLTW-150305_01CAL)</v>
      </c>
    </row>
    <row r="40" spans="2:7" x14ac:dyDescent="0.25">
      <c r="B40">
        <v>2</v>
      </c>
      <c r="C40" t="s">
        <v>6</v>
      </c>
      <c r="D40" t="s">
        <v>78</v>
      </c>
      <c r="E40" t="s">
        <v>93</v>
      </c>
      <c r="F40" t="s">
        <v>94</v>
      </c>
      <c r="G40" t="str">
        <f t="shared" si="0"/>
        <v>(PLTW-150307_01CAL)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M24"/>
  <sheetViews>
    <sheetView tabSelected="1" workbookViewId="0">
      <selection activeCell="B25" sqref="B25"/>
    </sheetView>
  </sheetViews>
  <sheetFormatPr defaultRowHeight="15" x14ac:dyDescent="0.25"/>
  <cols>
    <col min="1" max="1" width="4" bestFit="1" customWidth="1"/>
    <col min="2" max="2" width="6.7109375" bestFit="1" customWidth="1"/>
    <col min="3" max="3" width="4.28515625" bestFit="1" customWidth="1"/>
    <col min="4" max="4" width="9.42578125" bestFit="1" customWidth="1"/>
    <col min="5" max="5" width="24.85546875" bestFit="1" customWidth="1"/>
    <col min="6" max="6" width="62.42578125" bestFit="1" customWidth="1"/>
    <col min="7" max="7" width="3.5703125" customWidth="1"/>
    <col min="8" max="8" width="2.42578125" customWidth="1"/>
    <col min="9" max="9" width="3.28515625" customWidth="1"/>
    <col min="10" max="10" width="2.7109375" customWidth="1"/>
    <col min="11" max="11" width="1.85546875" customWidth="1"/>
    <col min="12" max="12" width="7.85546875" customWidth="1"/>
    <col min="13" max="14" width="76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M1" t="s">
        <v>95</v>
      </c>
    </row>
    <row r="2" spans="1:13" x14ac:dyDescent="0.25">
      <c r="B2" t="s">
        <v>107</v>
      </c>
      <c r="C2" t="s">
        <v>6</v>
      </c>
      <c r="D2" t="s">
        <v>12</v>
      </c>
      <c r="E2" t="s">
        <v>13</v>
      </c>
      <c r="F2" t="s">
        <v>106</v>
      </c>
      <c r="G2" t="s">
        <v>112</v>
      </c>
      <c r="H2" t="s">
        <v>103</v>
      </c>
      <c r="I2" t="s">
        <v>104</v>
      </c>
      <c r="J2" t="s">
        <v>113</v>
      </c>
      <c r="K2" t="s">
        <v>102</v>
      </c>
      <c r="L2" t="s">
        <v>113</v>
      </c>
      <c r="M2" t="s">
        <v>161</v>
      </c>
    </row>
    <row r="3" spans="1:13" x14ac:dyDescent="0.25">
      <c r="B3" t="s">
        <v>108</v>
      </c>
      <c r="C3" t="s">
        <v>6</v>
      </c>
      <c r="D3" t="s">
        <v>12</v>
      </c>
      <c r="E3" t="s">
        <v>109</v>
      </c>
      <c r="F3" t="s">
        <v>106</v>
      </c>
      <c r="G3" t="s">
        <v>110</v>
      </c>
      <c r="H3" t="s">
        <v>103</v>
      </c>
      <c r="I3" t="s">
        <v>104</v>
      </c>
      <c r="J3" t="s">
        <v>115</v>
      </c>
      <c r="K3" t="s">
        <v>102</v>
      </c>
      <c r="L3" t="s">
        <v>115</v>
      </c>
      <c r="M3" t="s">
        <v>162</v>
      </c>
    </row>
    <row r="4" spans="1:13" x14ac:dyDescent="0.25">
      <c r="C4" t="s">
        <v>6</v>
      </c>
      <c r="D4" t="s">
        <v>12</v>
      </c>
      <c r="E4" t="s">
        <v>116</v>
      </c>
      <c r="F4" t="s">
        <v>106</v>
      </c>
      <c r="G4" t="s">
        <v>117</v>
      </c>
      <c r="H4" t="s">
        <v>103</v>
      </c>
      <c r="I4" t="s">
        <v>104</v>
      </c>
      <c r="J4" t="s">
        <v>118</v>
      </c>
      <c r="K4" t="s">
        <v>102</v>
      </c>
      <c r="L4" t="s">
        <v>118</v>
      </c>
      <c r="M4" t="s">
        <v>163</v>
      </c>
    </row>
    <row r="5" spans="1:13" x14ac:dyDescent="0.25">
      <c r="C5" t="s">
        <v>6</v>
      </c>
      <c r="D5" t="s">
        <v>12</v>
      </c>
      <c r="E5" t="s">
        <v>119</v>
      </c>
      <c r="F5" t="s">
        <v>106</v>
      </c>
      <c r="G5" t="s">
        <v>120</v>
      </c>
      <c r="H5" t="s">
        <v>103</v>
      </c>
      <c r="I5" t="s">
        <v>104</v>
      </c>
      <c r="J5" t="s">
        <v>121</v>
      </c>
      <c r="K5" t="s">
        <v>102</v>
      </c>
      <c r="L5" t="s">
        <v>121</v>
      </c>
      <c r="M5" t="s">
        <v>164</v>
      </c>
    </row>
    <row r="6" spans="1:13" x14ac:dyDescent="0.25">
      <c r="B6" t="s">
        <v>108</v>
      </c>
      <c r="C6" t="s">
        <v>6</v>
      </c>
      <c r="D6" t="s">
        <v>25</v>
      </c>
      <c r="E6" t="s">
        <v>28</v>
      </c>
      <c r="F6" t="s">
        <v>165</v>
      </c>
      <c r="G6" t="s">
        <v>122</v>
      </c>
      <c r="H6" t="s">
        <v>103</v>
      </c>
      <c r="I6" t="s">
        <v>104</v>
      </c>
      <c r="J6" t="s">
        <v>123</v>
      </c>
      <c r="K6" t="s">
        <v>102</v>
      </c>
      <c r="L6" t="s">
        <v>123</v>
      </c>
      <c r="M6" t="s">
        <v>166</v>
      </c>
    </row>
    <row r="7" spans="1:13" x14ac:dyDescent="0.25">
      <c r="B7" t="s">
        <v>108</v>
      </c>
      <c r="C7" t="s">
        <v>6</v>
      </c>
      <c r="D7" t="s">
        <v>39</v>
      </c>
      <c r="E7" t="s">
        <v>124</v>
      </c>
      <c r="F7" t="s">
        <v>167</v>
      </c>
      <c r="G7" t="s">
        <v>125</v>
      </c>
      <c r="H7" t="s">
        <v>103</v>
      </c>
      <c r="I7" t="s">
        <v>104</v>
      </c>
      <c r="J7" t="s">
        <v>118</v>
      </c>
      <c r="K7" t="s">
        <v>102</v>
      </c>
      <c r="L7" t="s">
        <v>118</v>
      </c>
      <c r="M7" t="s">
        <v>168</v>
      </c>
    </row>
    <row r="8" spans="1:13" x14ac:dyDescent="0.25">
      <c r="B8" t="s">
        <v>108</v>
      </c>
      <c r="C8" t="s">
        <v>6</v>
      </c>
      <c r="D8" t="s">
        <v>39</v>
      </c>
      <c r="E8" t="s">
        <v>126</v>
      </c>
      <c r="F8" t="s">
        <v>169</v>
      </c>
      <c r="G8" t="s">
        <v>127</v>
      </c>
      <c r="H8" t="s">
        <v>103</v>
      </c>
      <c r="I8" t="s">
        <v>104</v>
      </c>
      <c r="J8" t="s">
        <v>113</v>
      </c>
      <c r="K8" t="s">
        <v>102</v>
      </c>
      <c r="L8" t="s">
        <v>113</v>
      </c>
      <c r="M8" t="s">
        <v>170</v>
      </c>
    </row>
    <row r="9" spans="1:13" x14ac:dyDescent="0.25">
      <c r="B9" t="s">
        <v>108</v>
      </c>
      <c r="C9" t="s">
        <v>6</v>
      </c>
      <c r="D9" t="s">
        <v>39</v>
      </c>
      <c r="E9" t="s">
        <v>128</v>
      </c>
      <c r="F9" t="s">
        <v>171</v>
      </c>
      <c r="G9" t="s">
        <v>129</v>
      </c>
      <c r="H9" t="s">
        <v>103</v>
      </c>
      <c r="I9" t="s">
        <v>104</v>
      </c>
      <c r="J9" t="s">
        <v>130</v>
      </c>
      <c r="K9" t="s">
        <v>102</v>
      </c>
      <c r="L9" t="s">
        <v>130</v>
      </c>
      <c r="M9" t="s">
        <v>172</v>
      </c>
    </row>
    <row r="10" spans="1:13" x14ac:dyDescent="0.25">
      <c r="B10" t="s">
        <v>107</v>
      </c>
      <c r="C10" t="s">
        <v>6</v>
      </c>
      <c r="D10" t="s">
        <v>39</v>
      </c>
      <c r="E10" t="s">
        <v>131</v>
      </c>
      <c r="F10" t="s">
        <v>173</v>
      </c>
      <c r="G10" t="s">
        <v>132</v>
      </c>
      <c r="H10" t="s">
        <v>103</v>
      </c>
      <c r="I10" t="s">
        <v>104</v>
      </c>
      <c r="J10" t="s">
        <v>105</v>
      </c>
      <c r="K10" t="s">
        <v>102</v>
      </c>
      <c r="L10" t="s">
        <v>105</v>
      </c>
      <c r="M10" t="s">
        <v>174</v>
      </c>
    </row>
    <row r="11" spans="1:13" x14ac:dyDescent="0.25">
      <c r="B11" t="s">
        <v>176</v>
      </c>
      <c r="C11" t="s">
        <v>6</v>
      </c>
      <c r="D11" t="s">
        <v>39</v>
      </c>
      <c r="E11" t="s">
        <v>133</v>
      </c>
      <c r="F11" t="s">
        <v>175</v>
      </c>
      <c r="G11" t="str">
        <f>"0000000228374"</f>
        <v>0000000228374</v>
      </c>
      <c r="H11" t="s">
        <v>103</v>
      </c>
      <c r="I11" t="s">
        <v>104</v>
      </c>
      <c r="J11" t="s">
        <v>134</v>
      </c>
      <c r="K11" t="s">
        <v>102</v>
      </c>
      <c r="L11" t="s">
        <v>134</v>
      </c>
      <c r="M11" t="s">
        <v>177</v>
      </c>
    </row>
    <row r="12" spans="1:13" x14ac:dyDescent="0.25">
      <c r="B12" t="s">
        <v>108</v>
      </c>
      <c r="C12" t="s">
        <v>6</v>
      </c>
      <c r="D12" t="s">
        <v>46</v>
      </c>
      <c r="E12" t="s">
        <v>135</v>
      </c>
      <c r="F12" t="s">
        <v>178</v>
      </c>
      <c r="G12" t="str">
        <f>"0000000228404"</f>
        <v>0000000228404</v>
      </c>
      <c r="H12" t="s">
        <v>101</v>
      </c>
      <c r="I12" t="s">
        <v>136</v>
      </c>
      <c r="J12" t="s">
        <v>137</v>
      </c>
      <c r="K12" t="s">
        <v>102</v>
      </c>
      <c r="L12" t="s">
        <v>137</v>
      </c>
      <c r="M12" t="s">
        <v>179</v>
      </c>
    </row>
    <row r="13" spans="1:13" x14ac:dyDescent="0.25">
      <c r="C13" t="s">
        <v>6</v>
      </c>
      <c r="D13" t="s">
        <v>46</v>
      </c>
      <c r="E13" t="s">
        <v>138</v>
      </c>
      <c r="F13" t="s">
        <v>180</v>
      </c>
      <c r="G13" t="str">
        <f>"0000000228411"</f>
        <v>0000000228411</v>
      </c>
      <c r="H13" t="s">
        <v>101</v>
      </c>
      <c r="I13" t="s">
        <v>136</v>
      </c>
      <c r="J13" t="s">
        <v>139</v>
      </c>
      <c r="K13" t="s">
        <v>102</v>
      </c>
      <c r="L13" t="s">
        <v>139</v>
      </c>
      <c r="M13" t="s">
        <v>181</v>
      </c>
    </row>
    <row r="14" spans="1:13" x14ac:dyDescent="0.25">
      <c r="C14" t="s">
        <v>6</v>
      </c>
      <c r="D14" t="s">
        <v>46</v>
      </c>
      <c r="E14" t="s">
        <v>140</v>
      </c>
      <c r="F14" t="s">
        <v>182</v>
      </c>
      <c r="G14" t="str">
        <f>"0000000228435"</f>
        <v>0000000228435</v>
      </c>
      <c r="H14" t="s">
        <v>101</v>
      </c>
      <c r="I14" t="s">
        <v>136</v>
      </c>
      <c r="J14" t="s">
        <v>141</v>
      </c>
      <c r="K14" t="s">
        <v>102</v>
      </c>
      <c r="L14" t="s">
        <v>141</v>
      </c>
      <c r="M14" t="s">
        <v>183</v>
      </c>
    </row>
    <row r="15" spans="1:13" x14ac:dyDescent="0.25">
      <c r="C15" t="s">
        <v>6</v>
      </c>
      <c r="D15" t="s">
        <v>46</v>
      </c>
      <c r="E15" t="s">
        <v>142</v>
      </c>
      <c r="F15" t="s">
        <v>184</v>
      </c>
      <c r="G15" t="str">
        <f>"0000000228442"</f>
        <v>0000000228442</v>
      </c>
      <c r="H15" t="s">
        <v>101</v>
      </c>
      <c r="I15" t="s">
        <v>136</v>
      </c>
      <c r="J15" t="s">
        <v>143</v>
      </c>
      <c r="K15" t="s">
        <v>102</v>
      </c>
      <c r="L15" t="s">
        <v>143</v>
      </c>
      <c r="M15" t="s">
        <v>185</v>
      </c>
    </row>
    <row r="16" spans="1:13" x14ac:dyDescent="0.25">
      <c r="C16" t="s">
        <v>6</v>
      </c>
      <c r="D16" t="s">
        <v>46</v>
      </c>
      <c r="E16" t="s">
        <v>144</v>
      </c>
      <c r="F16" t="s">
        <v>186</v>
      </c>
      <c r="G16" t="str">
        <f>"0000000228459"</f>
        <v>0000000228459</v>
      </c>
      <c r="H16" t="s">
        <v>101</v>
      </c>
      <c r="I16" t="s">
        <v>136</v>
      </c>
      <c r="J16" t="s">
        <v>145</v>
      </c>
      <c r="K16" t="s">
        <v>102</v>
      </c>
      <c r="L16" t="s">
        <v>145</v>
      </c>
      <c r="M16" t="s">
        <v>187</v>
      </c>
    </row>
    <row r="17" spans="2:13" x14ac:dyDescent="0.25">
      <c r="C17" t="s">
        <v>6</v>
      </c>
      <c r="D17" t="s">
        <v>46</v>
      </c>
      <c r="E17" t="s">
        <v>146</v>
      </c>
      <c r="F17" t="s">
        <v>188</v>
      </c>
      <c r="G17" t="str">
        <f>"0000000277365"</f>
        <v>0000000277365</v>
      </c>
      <c r="H17" t="s">
        <v>101</v>
      </c>
      <c r="I17" t="s">
        <v>136</v>
      </c>
      <c r="J17" t="s">
        <v>102</v>
      </c>
      <c r="K17" t="s">
        <v>102</v>
      </c>
      <c r="L17" t="s">
        <v>102</v>
      </c>
      <c r="M17" t="s">
        <v>189</v>
      </c>
    </row>
    <row r="18" spans="2:13" x14ac:dyDescent="0.25">
      <c r="C18" t="s">
        <v>6</v>
      </c>
      <c r="D18" t="s">
        <v>46</v>
      </c>
      <c r="E18" t="s">
        <v>147</v>
      </c>
      <c r="F18" t="s">
        <v>190</v>
      </c>
      <c r="G18" t="str">
        <f>"0000000394543"</f>
        <v>0000000394543</v>
      </c>
      <c r="H18" t="s">
        <v>101</v>
      </c>
      <c r="I18" t="s">
        <v>136</v>
      </c>
      <c r="J18" t="s">
        <v>102</v>
      </c>
      <c r="K18" t="s">
        <v>102</v>
      </c>
      <c r="L18" t="s">
        <v>102</v>
      </c>
      <c r="M18" t="s">
        <v>191</v>
      </c>
    </row>
    <row r="19" spans="2:13" x14ac:dyDescent="0.25">
      <c r="C19" t="s">
        <v>6</v>
      </c>
      <c r="D19" t="s">
        <v>46</v>
      </c>
      <c r="E19" t="s">
        <v>148</v>
      </c>
      <c r="F19" t="s">
        <v>192</v>
      </c>
      <c r="G19" t="str">
        <f>"0000000394536"</f>
        <v>0000000394536</v>
      </c>
      <c r="H19" t="s">
        <v>101</v>
      </c>
      <c r="I19" t="s">
        <v>136</v>
      </c>
      <c r="J19" t="s">
        <v>149</v>
      </c>
      <c r="K19" t="s">
        <v>102</v>
      </c>
      <c r="L19" t="s">
        <v>149</v>
      </c>
      <c r="M19" t="s">
        <v>193</v>
      </c>
    </row>
    <row r="20" spans="2:13" x14ac:dyDescent="0.25">
      <c r="C20" t="s">
        <v>6</v>
      </c>
      <c r="D20" t="s">
        <v>46</v>
      </c>
      <c r="E20" t="s">
        <v>150</v>
      </c>
      <c r="F20" t="s">
        <v>194</v>
      </c>
      <c r="G20" t="str">
        <f>"0000000394529"</f>
        <v>0000000394529</v>
      </c>
      <c r="H20" t="s">
        <v>101</v>
      </c>
      <c r="I20" t="s">
        <v>136</v>
      </c>
      <c r="J20" t="s">
        <v>151</v>
      </c>
      <c r="K20" t="s">
        <v>102</v>
      </c>
      <c r="L20" t="s">
        <v>151</v>
      </c>
      <c r="M20" t="s">
        <v>195</v>
      </c>
    </row>
    <row r="21" spans="2:13" x14ac:dyDescent="0.25">
      <c r="C21" t="s">
        <v>6</v>
      </c>
      <c r="D21" t="s">
        <v>59</v>
      </c>
      <c r="E21" t="s">
        <v>152</v>
      </c>
      <c r="F21" t="s">
        <v>196</v>
      </c>
      <c r="G21" t="str">
        <f>"0000000255646"</f>
        <v>0000000255646</v>
      </c>
      <c r="H21" t="s">
        <v>103</v>
      </c>
      <c r="I21" t="s">
        <v>153</v>
      </c>
      <c r="J21" t="s">
        <v>111</v>
      </c>
      <c r="K21" t="s">
        <v>102</v>
      </c>
      <c r="L21" t="s">
        <v>111</v>
      </c>
      <c r="M21" t="s">
        <v>197</v>
      </c>
    </row>
    <row r="22" spans="2:13" x14ac:dyDescent="0.25">
      <c r="B22" t="s">
        <v>107</v>
      </c>
      <c r="C22" t="s">
        <v>6</v>
      </c>
      <c r="D22" t="s">
        <v>154</v>
      </c>
      <c r="E22" t="s">
        <v>155</v>
      </c>
      <c r="F22" t="s">
        <v>198</v>
      </c>
      <c r="G22" t="str">
        <f>"0000000147644"</f>
        <v>0000000147644</v>
      </c>
      <c r="H22" t="s">
        <v>103</v>
      </c>
      <c r="I22" t="s">
        <v>156</v>
      </c>
      <c r="J22" t="s">
        <v>114</v>
      </c>
      <c r="K22" t="s">
        <v>102</v>
      </c>
      <c r="L22" t="s">
        <v>114</v>
      </c>
      <c r="M22" t="s">
        <v>199</v>
      </c>
    </row>
    <row r="23" spans="2:13" x14ac:dyDescent="0.25">
      <c r="C23" t="s">
        <v>6</v>
      </c>
      <c r="D23" t="s">
        <v>78</v>
      </c>
      <c r="E23" t="s">
        <v>79</v>
      </c>
      <c r="F23" t="s">
        <v>200</v>
      </c>
      <c r="G23" t="str">
        <f>"0000000277372"</f>
        <v>0000000277372</v>
      </c>
      <c r="H23" t="s">
        <v>101</v>
      </c>
      <c r="I23" t="s">
        <v>136</v>
      </c>
      <c r="J23" t="s">
        <v>157</v>
      </c>
      <c r="K23" t="s">
        <v>102</v>
      </c>
      <c r="L23" t="s">
        <v>157</v>
      </c>
      <c r="M23" t="s">
        <v>201</v>
      </c>
    </row>
    <row r="24" spans="2:13" x14ac:dyDescent="0.25">
      <c r="B24" t="s">
        <v>108</v>
      </c>
      <c r="C24" t="s">
        <v>6</v>
      </c>
      <c r="D24" t="s">
        <v>158</v>
      </c>
      <c r="E24" t="s">
        <v>159</v>
      </c>
      <c r="F24" t="s">
        <v>202</v>
      </c>
      <c r="G24" t="str">
        <f>"0000000228381"</f>
        <v>0000000228381</v>
      </c>
      <c r="H24" t="s">
        <v>103</v>
      </c>
      <c r="I24" t="s">
        <v>153</v>
      </c>
      <c r="J24" t="s">
        <v>160</v>
      </c>
      <c r="K24" t="s">
        <v>102</v>
      </c>
      <c r="L24" t="s">
        <v>160</v>
      </c>
      <c r="M24" t="s">
        <v>203</v>
      </c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2">
          <controlPr autoLine="0" r:id="rId5">
            <anchor moveWithCells="1">
              <from>
                <xdr:col>6</xdr:col>
                <xdr:colOff>0</xdr:colOff>
                <xdr:row>33</xdr:row>
                <xdr:rowOff>9525</xdr:rowOff>
              </from>
              <to>
                <xdr:col>12</xdr:col>
                <xdr:colOff>762000</xdr:colOff>
                <xdr:row>37</xdr:row>
                <xdr:rowOff>142875</xdr:rowOff>
              </to>
            </anchor>
          </controlPr>
        </control>
      </mc:Choice>
      <mc:Fallback>
        <control shapeId="2051" r:id="rId4" name="CommandButton2"/>
      </mc:Fallback>
    </mc:AlternateContent>
    <mc:AlternateContent xmlns:mc="http://schemas.openxmlformats.org/markup-compatibility/2006">
      <mc:Choice Requires="x14">
        <control shapeId="2050" r:id="rId6" name="CommandButton1">
          <controlPr defaultSize="0" autoLine="0" autoPict="0" r:id="rId7">
            <anchor moveWithCells="1">
              <from>
                <xdr:col>2</xdr:col>
                <xdr:colOff>123825</xdr:colOff>
                <xdr:row>1</xdr:row>
                <xdr:rowOff>19050</xdr:rowOff>
              </from>
              <to>
                <xdr:col>11</xdr:col>
                <xdr:colOff>466725</xdr:colOff>
                <xdr:row>27</xdr:row>
                <xdr:rowOff>114300</xdr:rowOff>
              </to>
            </anchor>
          </controlPr>
        </control>
      </mc:Choice>
      <mc:Fallback>
        <control shapeId="2050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Blad1</vt:lpstr>
      <vt:lpstr>Blad2</vt:lpstr>
    </vt:vector>
  </TitlesOfParts>
  <Company>LET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dcterms:created xsi:type="dcterms:W3CDTF">2015-09-01T09:40:56Z</dcterms:created>
  <dcterms:modified xsi:type="dcterms:W3CDTF">2018-09-25T11:23:52Z</dcterms:modified>
</cp:coreProperties>
</file>