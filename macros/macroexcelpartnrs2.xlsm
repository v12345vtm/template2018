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835" activeTab="1"/>
  </bookViews>
  <sheets>
    <sheet name="Blad1" sheetId="1" r:id="rId1"/>
    <sheet name="Blad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G6" i="2"/>
  <c r="G7" i="2"/>
  <c r="G8" i="2"/>
  <c r="G9" i="2"/>
  <c r="G10" i="2"/>
  <c r="G11" i="2"/>
  <c r="G12" i="2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" i="1"/>
</calcChain>
</file>

<file path=xl/sharedStrings.xml><?xml version="1.0" encoding="utf-8"?>
<sst xmlns="http://schemas.openxmlformats.org/spreadsheetml/2006/main" count="298" uniqueCount="152">
  <si>
    <t>+</t>
  </si>
  <si>
    <t>Aantal</t>
  </si>
  <si>
    <t>Enh</t>
  </si>
  <si>
    <t>Art.groep</t>
  </si>
  <si>
    <t>Artikelsymbool</t>
  </si>
  <si>
    <t>Omschrijving</t>
  </si>
  <si>
    <t>ST</t>
  </si>
  <si>
    <t>DIVMA</t>
  </si>
  <si>
    <t>150289_01CAL</t>
  </si>
  <si>
    <t>Steunconstructie laser/vizier kalibratieframe FAS</t>
  </si>
  <si>
    <t>150308A01CAL</t>
  </si>
  <si>
    <t>Basis kalibratieframe FAS</t>
  </si>
  <si>
    <t>DNBOU</t>
  </si>
  <si>
    <t>0912-M05X08-RVS</t>
  </si>
  <si>
    <t>Binnenzeskantbout cylinderkop DIN0912  M 5x08mm A2</t>
  </si>
  <si>
    <t>0912-M05X12-RVS</t>
  </si>
  <si>
    <t>Binnenzeskantbout cylinderkop DIN0912  M 5x12mm A2</t>
  </si>
  <si>
    <t>0912-M06X12-RVS</t>
  </si>
  <si>
    <t>Binnenzeskantbout cylinderkop DIN0912  M 6x12mm A2</t>
  </si>
  <si>
    <t>0912-M06X25-RVS</t>
  </si>
  <si>
    <t>Binnenzeskantbout cylinderkop DIN0912  M 6x25mm A2</t>
  </si>
  <si>
    <t>0912-M08X16-RVS</t>
  </si>
  <si>
    <t>Binnenzeskantbout cylinderkop DIN0912  M 8x16mm A2</t>
  </si>
  <si>
    <t>0912-M08X20-RVS</t>
  </si>
  <si>
    <t>Binnenzeskantbout cylinderkop DIN0912  M 8x20mm A2</t>
  </si>
  <si>
    <t>DNPEN</t>
  </si>
  <si>
    <t>0007-05X12-RVS</t>
  </si>
  <si>
    <t>Cylindrische pen DIN7  5x12mm A2</t>
  </si>
  <si>
    <t>0007-05X16-RVS</t>
  </si>
  <si>
    <t>Cylindrische pen DIN0007  5x16mm A2</t>
  </si>
  <si>
    <t>0007-10X20-RVS</t>
  </si>
  <si>
    <t>Cylindrische pen DIN0007  10x20mm A2</t>
  </si>
  <si>
    <t>0007-10X24-RVS</t>
  </si>
  <si>
    <t>Cylindrische pen DIN0007  10x24mm A2</t>
  </si>
  <si>
    <t>DNRON</t>
  </si>
  <si>
    <t>0125-05-RVS</t>
  </si>
  <si>
    <t>Vlakke sluitring DIN0125 5mm A2</t>
  </si>
  <si>
    <t>0127-05-RVS</t>
  </si>
  <si>
    <t>Veerring DIN0127 5mm A2</t>
  </si>
  <si>
    <t>DNSCH</t>
  </si>
  <si>
    <t>0965-M04X08-RVS</t>
  </si>
  <si>
    <t>Metaalschroef verz.kop kruis DIN0965 M 4x 08mm A2</t>
  </si>
  <si>
    <t>0965-M05X08-RVS</t>
  </si>
  <si>
    <t>Metaalschroef verz.kop kruis DIN0965 M 5x 08mm A2</t>
  </si>
  <si>
    <t>7985-M03X06-RVS</t>
  </si>
  <si>
    <t>Metaalschroef cyl.kop kruisin. DIN7985 M 3x 06mm A2</t>
  </si>
  <si>
    <t>DRFR</t>
  </si>
  <si>
    <t>150286A01CAL</t>
  </si>
  <si>
    <t>Regelbare tafel kalibratieframe FAS</t>
  </si>
  <si>
    <t>150287_01CAL</t>
  </si>
  <si>
    <t>Steunplaat laser/vizier kalibratieframe FAS</t>
  </si>
  <si>
    <t>150288_01CAL</t>
  </si>
  <si>
    <t>Steunblok laser/vizier kalibratieframe FAS</t>
  </si>
  <si>
    <t>150298_01CAL</t>
  </si>
  <si>
    <t>Steun Volvo logo kalibratieframe FAS</t>
  </si>
  <si>
    <t>150299_01CAL</t>
  </si>
  <si>
    <t>Schroef logosteun kalibratieframe FAS</t>
  </si>
  <si>
    <t>150306_01CAL</t>
  </si>
  <si>
    <t>Centreerblok kalibratieframe FAS</t>
  </si>
  <si>
    <t>ELEM</t>
  </si>
  <si>
    <t>DRUK-ELESA-GN605-M8-12-VN</t>
  </si>
  <si>
    <t>Drukschroef ELESA-GN605-M8-12-VN</t>
  </si>
  <si>
    <t>HAND-ELESA-M.443/200-CH-ZWART</t>
  </si>
  <si>
    <t>Handvat ELESA-M.443/200-CH-ZWART</t>
  </si>
  <si>
    <t>KNOP-ELESA-B.193/18-P-M5X16</t>
  </si>
  <si>
    <t>Knop ELESA-B.193/18-P-M5X16</t>
  </si>
  <si>
    <t>EP</t>
  </si>
  <si>
    <t>130046_00CAL/</t>
  </si>
  <si>
    <t>Laser spoorbank 4 regelschroeven</t>
  </si>
  <si>
    <t>HF</t>
  </si>
  <si>
    <t>150274_01CAL</t>
  </si>
  <si>
    <t>Wielkastsimulatie kalibratieframe FAS</t>
  </si>
  <si>
    <t>150283_01CAL</t>
  </si>
  <si>
    <t>Regelbaar vizier kalibratieframe FAS</t>
  </si>
  <si>
    <t>150291_01CAL</t>
  </si>
  <si>
    <t>Lijnlaser kalibratieframe FAS</t>
  </si>
  <si>
    <t>150300_01CAL</t>
  </si>
  <si>
    <t>Waterpas kalibratieframe FAS</t>
  </si>
  <si>
    <t>PLTW</t>
  </si>
  <si>
    <t>130050_00CAL</t>
  </si>
  <si>
    <t>Afschermkap laser spoorbank</t>
  </si>
  <si>
    <t>130051_00CAL</t>
  </si>
  <si>
    <t>Vizierplaat laser spoorbank</t>
  </si>
  <si>
    <t>150295_01CAL</t>
  </si>
  <si>
    <t>Afdekplaat lasermodule kalibratieframe FAS</t>
  </si>
  <si>
    <t>150296_01CAL</t>
  </si>
  <si>
    <t>Draaiplaat referentielijn kalibratieframe FAS</t>
  </si>
  <si>
    <t>150297_01CAL</t>
  </si>
  <si>
    <t>Afdekplaat lasersteun kalibratieframe FAS</t>
  </si>
  <si>
    <t>150304_01CAL</t>
  </si>
  <si>
    <t>Blindpaneel kort waterpas kalibratieframe FAS</t>
  </si>
  <si>
    <t>150305_01CAL</t>
  </si>
  <si>
    <t>Blindpaneel lang waterpas kalibratieframe FAS</t>
  </si>
  <si>
    <t>150307_01CAL</t>
  </si>
  <si>
    <t>Tussenplaat pijl rijrichting kalibratieframe FAS</t>
  </si>
  <si>
    <t>vloten moeten nog M ervoor krijgen</t>
  </si>
  <si>
    <t>Alternatief Nummer</t>
  </si>
  <si>
    <t>Code hoofdsoort</t>
  </si>
  <si>
    <t>Code soort</t>
  </si>
  <si>
    <t>Totaal variabelekosten</t>
  </si>
  <si>
    <t>Totaal vastekosten</t>
  </si>
  <si>
    <t>MAAK</t>
  </si>
  <si>
    <t>0,00</t>
  </si>
  <si>
    <t>MECHCO</t>
  </si>
  <si>
    <t>BEV</t>
  </si>
  <si>
    <t>0,06</t>
  </si>
  <si>
    <t>inbus</t>
  </si>
  <si>
    <t xml:space="preserve">4x </t>
  </si>
  <si>
    <t xml:space="preserve">2x </t>
  </si>
  <si>
    <t>0912-M03X06-RVS</t>
  </si>
  <si>
    <t>0DN0912030062</t>
  </si>
  <si>
    <t>2x inbus (DIN912-M03X06)</t>
  </si>
  <si>
    <t>0912-M05X10-RVS</t>
  </si>
  <si>
    <t>0DN0912050102</t>
  </si>
  <si>
    <t>0,24</t>
  </si>
  <si>
    <t>6912-M04X10-RVS</t>
  </si>
  <si>
    <t>0DN0965050082</t>
  </si>
  <si>
    <t>0,12</t>
  </si>
  <si>
    <t>190562_01FAS</t>
  </si>
  <si>
    <t>FAS</t>
  </si>
  <si>
    <t>190563_01FAS</t>
  </si>
  <si>
    <t>190565_01FAS</t>
  </si>
  <si>
    <t>190567_01FAS</t>
  </si>
  <si>
    <t>EMC</t>
  </si>
  <si>
    <t>RADAR-ABS-MAT</t>
  </si>
  <si>
    <t>ELCOM</t>
  </si>
  <si>
    <t>MONT</t>
  </si>
  <si>
    <t>37,16</t>
  </si>
  <si>
    <t>180399_01DAS</t>
  </si>
  <si>
    <t>PAB</t>
  </si>
  <si>
    <t>74,23</t>
  </si>
  <si>
    <t>190564_01FAS</t>
  </si>
  <si>
    <t>4x inbus (DIN912-M05X10)</t>
  </si>
  <si>
    <t xml:space="preserve">3x </t>
  </si>
  <si>
    <t>3x inbus (DIN6912-M04X10)</t>
  </si>
  <si>
    <t>schroef</t>
  </si>
  <si>
    <t>4x schroef (DIN965-M05X08)</t>
  </si>
  <si>
    <t>steunarm corner reflector z-motorisatie adas volvo</t>
  </si>
  <si>
    <t>steunarm corner reflector z-motorisatie adas volvo (DRFR-190562_01FAS)</t>
  </si>
  <si>
    <t>actuator prox z-motorisatie adas volvo</t>
  </si>
  <si>
    <t>actuator prox z-motorisatie adas volvo (DRFR-190563_01FAS)</t>
  </si>
  <si>
    <t>steun backplate boven z-motorisatie adas volvo</t>
  </si>
  <si>
    <t>steun backplate boven z-motorisatie adas volvo (DRFR-190565_01FAS)</t>
  </si>
  <si>
    <t>steun backplate onder z-motorisatie adas volvo</t>
  </si>
  <si>
    <t>steun backplate onder z-motorisatie adas volvo (DRFR-190567_01FAS)</t>
  </si>
  <si>
    <t>radar abs mat 610x610mm</t>
  </si>
  <si>
    <t xml:space="preserve">0x </t>
  </si>
  <si>
    <t>0x radar abs mat 610x610mm (EMC-RADAR-ABS-MAT)</t>
  </si>
  <si>
    <t>corner reflector module a = 83 mm</t>
  </si>
  <si>
    <t>corner reflector module a = 83 mm (HF-180399_01DAS)</t>
  </si>
  <si>
    <t>backplate adas z-motorisatie adas volvo</t>
  </si>
  <si>
    <t>backplate adas z-motorisatie adas volvo (PLTW-190564_01FAS)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</si>
</sst>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</xdr:row>
          <xdr:rowOff>19050</xdr:rowOff>
        </xdr:from>
        <xdr:to>
          <xdr:col>11</xdr:col>
          <xdr:colOff>466725</xdr:colOff>
          <xdr:row>27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9525</xdr:rowOff>
        </xdr:from>
        <xdr:to>
          <xdr:col>12</xdr:col>
          <xdr:colOff>762000</xdr:colOff>
          <xdr:row>37</xdr:row>
          <xdr:rowOff>142875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40"/>
  <sheetViews>
    <sheetView workbookViewId="0">
      <selection activeCell="M2" sqref="M2"/>
    </sheetView>
  </sheetViews>
  <sheetFormatPr defaultRowHeight="15" x14ac:dyDescent="0.25"/>
  <cols>
    <col min="1" max="1" width="2" bestFit="1" customWidth="1"/>
    <col min="2" max="2" width="6.7109375" bestFit="1" customWidth="1"/>
    <col min="3" max="3" width="4.28515625" bestFit="1" customWidth="1"/>
    <col min="4" max="4" width="9.42578125" bestFit="1" customWidth="1"/>
    <col min="5" max="5" width="32.85546875" bestFit="1" customWidth="1"/>
    <col min="6" max="6" width="51.28515625" bestFit="1" customWidth="1"/>
    <col min="7" max="7" width="39.71093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 x14ac:dyDescent="0.25">
      <c r="B2">
        <v>2</v>
      </c>
      <c r="C2" t="s">
        <v>6</v>
      </c>
      <c r="D2" t="s">
        <v>7</v>
      </c>
      <c r="E2" t="s">
        <v>8</v>
      </c>
      <c r="F2" t="s">
        <v>9</v>
      </c>
      <c r="G2" t="str">
        <f>"("&amp;D2&amp;"-"&amp;E2&amp;")"</f>
        <v>(DIVMA-150289_01CAL)</v>
      </c>
    </row>
    <row r="3" spans="1:7" x14ac:dyDescent="0.25">
      <c r="B3">
        <v>1</v>
      </c>
      <c r="C3" t="s">
        <v>6</v>
      </c>
      <c r="D3" t="s">
        <v>7</v>
      </c>
      <c r="E3" t="s">
        <v>10</v>
      </c>
      <c r="F3" t="s">
        <v>11</v>
      </c>
      <c r="G3" t="str">
        <f t="shared" ref="G3:G40" si="0">"("&amp;D3&amp;"-"&amp;E3&amp;")"</f>
        <v>(DIVMA-150308A01CAL)</v>
      </c>
    </row>
    <row r="4" spans="1:7" x14ac:dyDescent="0.25">
      <c r="B4">
        <v>6</v>
      </c>
      <c r="C4" t="s">
        <v>6</v>
      </c>
      <c r="D4" t="s">
        <v>12</v>
      </c>
      <c r="E4" t="s">
        <v>13</v>
      </c>
      <c r="F4" t="s">
        <v>14</v>
      </c>
      <c r="G4" t="str">
        <f t="shared" si="0"/>
        <v>(DNBOU-0912-M05X08-RVS)</v>
      </c>
    </row>
    <row r="5" spans="1:7" x14ac:dyDescent="0.25">
      <c r="B5">
        <v>2</v>
      </c>
      <c r="C5" t="s">
        <v>6</v>
      </c>
      <c r="D5" t="s">
        <v>12</v>
      </c>
      <c r="E5" t="s">
        <v>15</v>
      </c>
      <c r="F5" t="s">
        <v>16</v>
      </c>
      <c r="G5" t="str">
        <f t="shared" si="0"/>
        <v>(DNBOU-0912-M05X12-RVS)</v>
      </c>
    </row>
    <row r="6" spans="1:7" x14ac:dyDescent="0.25">
      <c r="B6">
        <v>6</v>
      </c>
      <c r="C6" t="s">
        <v>6</v>
      </c>
      <c r="D6" t="s">
        <v>12</v>
      </c>
      <c r="E6" t="s">
        <v>17</v>
      </c>
      <c r="F6" t="s">
        <v>18</v>
      </c>
      <c r="G6" t="str">
        <f t="shared" si="0"/>
        <v>(DNBOU-0912-M06X12-RVS)</v>
      </c>
    </row>
    <row r="7" spans="1:7" x14ac:dyDescent="0.25">
      <c r="B7">
        <v>40</v>
      </c>
      <c r="C7" t="s">
        <v>6</v>
      </c>
      <c r="D7" t="s">
        <v>12</v>
      </c>
      <c r="E7" t="s">
        <v>19</v>
      </c>
      <c r="F7" t="s">
        <v>20</v>
      </c>
      <c r="G7" t="str">
        <f t="shared" si="0"/>
        <v>(DNBOU-0912-M06X25-RVS)</v>
      </c>
    </row>
    <row r="8" spans="1:7" x14ac:dyDescent="0.25">
      <c r="B8">
        <v>30</v>
      </c>
      <c r="C8" t="s">
        <v>6</v>
      </c>
      <c r="D8" t="s">
        <v>12</v>
      </c>
      <c r="E8" t="s">
        <v>21</v>
      </c>
      <c r="F8" t="s">
        <v>22</v>
      </c>
      <c r="G8" t="str">
        <f t="shared" si="0"/>
        <v>(DNBOU-0912-M08X16-RVS)</v>
      </c>
    </row>
    <row r="9" spans="1:7" x14ac:dyDescent="0.25">
      <c r="B9">
        <v>24</v>
      </c>
      <c r="C9" t="s">
        <v>6</v>
      </c>
      <c r="D9" t="s">
        <v>12</v>
      </c>
      <c r="E9" t="s">
        <v>23</v>
      </c>
      <c r="F9" t="s">
        <v>24</v>
      </c>
      <c r="G9" t="str">
        <f t="shared" si="0"/>
        <v>(DNBOU-0912-M08X20-RVS)</v>
      </c>
    </row>
    <row r="10" spans="1:7" x14ac:dyDescent="0.25">
      <c r="B10">
        <v>8</v>
      </c>
      <c r="C10" t="s">
        <v>6</v>
      </c>
      <c r="D10" t="s">
        <v>25</v>
      </c>
      <c r="E10" t="s">
        <v>26</v>
      </c>
      <c r="F10" t="s">
        <v>27</v>
      </c>
      <c r="G10" t="str">
        <f t="shared" si="0"/>
        <v>(DNPEN-0007-05X12-RVS)</v>
      </c>
    </row>
    <row r="11" spans="1:7" x14ac:dyDescent="0.25">
      <c r="B11">
        <v>4</v>
      </c>
      <c r="C11" t="s">
        <v>6</v>
      </c>
      <c r="D11" t="s">
        <v>25</v>
      </c>
      <c r="E11" t="s">
        <v>28</v>
      </c>
      <c r="F11" t="s">
        <v>29</v>
      </c>
      <c r="G11" t="str">
        <f t="shared" si="0"/>
        <v>(DNPEN-0007-05X16-RVS)</v>
      </c>
    </row>
    <row r="12" spans="1:7" x14ac:dyDescent="0.25">
      <c r="B12">
        <v>12</v>
      </c>
      <c r="C12" t="s">
        <v>6</v>
      </c>
      <c r="D12" t="s">
        <v>25</v>
      </c>
      <c r="E12" t="s">
        <v>30</v>
      </c>
      <c r="F12" t="s">
        <v>31</v>
      </c>
      <c r="G12" t="str">
        <f t="shared" si="0"/>
        <v>(DNPEN-0007-10X20-RVS)</v>
      </c>
    </row>
    <row r="13" spans="1:7" x14ac:dyDescent="0.25">
      <c r="B13">
        <v>8</v>
      </c>
      <c r="C13" t="s">
        <v>6</v>
      </c>
      <c r="D13" t="s">
        <v>25</v>
      </c>
      <c r="E13" t="s">
        <v>32</v>
      </c>
      <c r="F13" t="s">
        <v>33</v>
      </c>
      <c r="G13" t="str">
        <f t="shared" si="0"/>
        <v>(DNPEN-0007-10X24-RVS)</v>
      </c>
    </row>
    <row r="14" spans="1:7" x14ac:dyDescent="0.25">
      <c r="B14">
        <v>2</v>
      </c>
      <c r="C14" t="s">
        <v>6</v>
      </c>
      <c r="D14" t="s">
        <v>34</v>
      </c>
      <c r="E14" t="s">
        <v>35</v>
      </c>
      <c r="F14" t="s">
        <v>36</v>
      </c>
      <c r="G14" t="str">
        <f t="shared" si="0"/>
        <v>(DNRON-0125-05-RVS)</v>
      </c>
    </row>
    <row r="15" spans="1:7" x14ac:dyDescent="0.25">
      <c r="B15">
        <v>2</v>
      </c>
      <c r="C15" t="s">
        <v>6</v>
      </c>
      <c r="D15" t="s">
        <v>34</v>
      </c>
      <c r="E15" t="s">
        <v>37</v>
      </c>
      <c r="F15" t="s">
        <v>38</v>
      </c>
      <c r="G15" t="str">
        <f t="shared" si="0"/>
        <v>(DNRON-0127-05-RVS)</v>
      </c>
    </row>
    <row r="16" spans="1:7" x14ac:dyDescent="0.25">
      <c r="B16">
        <v>4</v>
      </c>
      <c r="C16" t="s">
        <v>6</v>
      </c>
      <c r="D16" t="s">
        <v>39</v>
      </c>
      <c r="E16" t="s">
        <v>40</v>
      </c>
      <c r="F16" t="s">
        <v>41</v>
      </c>
      <c r="G16" t="str">
        <f t="shared" si="0"/>
        <v>(DNSCH-0965-M04X08-RVS)</v>
      </c>
    </row>
    <row r="17" spans="1:7" x14ac:dyDescent="0.25">
      <c r="B17">
        <v>12</v>
      </c>
      <c r="C17" t="s">
        <v>6</v>
      </c>
      <c r="D17" t="s">
        <v>39</v>
      </c>
      <c r="E17" t="s">
        <v>42</v>
      </c>
      <c r="F17" t="s">
        <v>43</v>
      </c>
      <c r="G17" t="str">
        <f t="shared" si="0"/>
        <v>(DNSCH-0965-M05X08-RVS)</v>
      </c>
    </row>
    <row r="18" spans="1:7" x14ac:dyDescent="0.25">
      <c r="B18">
        <v>8</v>
      </c>
      <c r="C18" t="s">
        <v>6</v>
      </c>
      <c r="D18" t="s">
        <v>39</v>
      </c>
      <c r="E18" t="s">
        <v>44</v>
      </c>
      <c r="F18" t="s">
        <v>45</v>
      </c>
      <c r="G18" t="str">
        <f t="shared" si="0"/>
        <v>(DNSCH-7985-M03X06-RVS)</v>
      </c>
    </row>
    <row r="19" spans="1:7" x14ac:dyDescent="0.25">
      <c r="B19">
        <v>4</v>
      </c>
      <c r="C19" t="s">
        <v>6</v>
      </c>
      <c r="D19" t="s">
        <v>46</v>
      </c>
      <c r="E19" t="s">
        <v>47</v>
      </c>
      <c r="F19" t="s">
        <v>48</v>
      </c>
      <c r="G19" t="str">
        <f t="shared" si="0"/>
        <v>(DRFR-150286A01CAL)</v>
      </c>
    </row>
    <row r="20" spans="1:7" x14ac:dyDescent="0.25">
      <c r="B20">
        <v>2</v>
      </c>
      <c r="C20" t="s">
        <v>6</v>
      </c>
      <c r="D20" t="s">
        <v>46</v>
      </c>
      <c r="E20" t="s">
        <v>49</v>
      </c>
      <c r="F20" t="s">
        <v>50</v>
      </c>
      <c r="G20" t="str">
        <f t="shared" si="0"/>
        <v>(DRFR-150287_01CAL)</v>
      </c>
    </row>
    <row r="21" spans="1:7" x14ac:dyDescent="0.25">
      <c r="B21">
        <v>2</v>
      </c>
      <c r="C21" t="s">
        <v>6</v>
      </c>
      <c r="D21" t="s">
        <v>46</v>
      </c>
      <c r="E21" t="s">
        <v>51</v>
      </c>
      <c r="F21" t="s">
        <v>52</v>
      </c>
      <c r="G21" t="str">
        <f t="shared" si="0"/>
        <v>(DRFR-150288_01CAL)</v>
      </c>
    </row>
    <row r="22" spans="1:7" x14ac:dyDescent="0.25">
      <c r="B22">
        <v>4</v>
      </c>
      <c r="C22" t="s">
        <v>6</v>
      </c>
      <c r="D22" t="s">
        <v>46</v>
      </c>
      <c r="E22" t="s">
        <v>53</v>
      </c>
      <c r="F22" t="s">
        <v>54</v>
      </c>
      <c r="G22" t="str">
        <f t="shared" si="0"/>
        <v>(DRFR-150298_01CAL)</v>
      </c>
    </row>
    <row r="23" spans="1:7" x14ac:dyDescent="0.25">
      <c r="B23">
        <v>8</v>
      </c>
      <c r="C23" t="s">
        <v>6</v>
      </c>
      <c r="D23" t="s">
        <v>46</v>
      </c>
      <c r="E23" t="s">
        <v>55</v>
      </c>
      <c r="F23" t="s">
        <v>56</v>
      </c>
      <c r="G23" t="str">
        <f t="shared" si="0"/>
        <v>(DRFR-150299_01CAL)</v>
      </c>
    </row>
    <row r="24" spans="1:7" x14ac:dyDescent="0.25">
      <c r="B24">
        <v>2</v>
      </c>
      <c r="C24" t="s">
        <v>6</v>
      </c>
      <c r="D24" t="s">
        <v>46</v>
      </c>
      <c r="E24" t="s">
        <v>57</v>
      </c>
      <c r="F24" t="s">
        <v>58</v>
      </c>
      <c r="G24" t="str">
        <f t="shared" si="0"/>
        <v>(DRFR-150306_01CAL)</v>
      </c>
    </row>
    <row r="25" spans="1:7" x14ac:dyDescent="0.25">
      <c r="B25">
        <v>76</v>
      </c>
      <c r="C25" t="s">
        <v>6</v>
      </c>
      <c r="D25" t="s">
        <v>59</v>
      </c>
      <c r="E25" t="s">
        <v>60</v>
      </c>
      <c r="F25" t="s">
        <v>61</v>
      </c>
      <c r="G25" t="str">
        <f t="shared" si="0"/>
        <v>(ELEM-DRUK-ELESA-GN605-M8-12-VN)</v>
      </c>
    </row>
    <row r="26" spans="1:7" x14ac:dyDescent="0.25">
      <c r="B26">
        <v>8</v>
      </c>
      <c r="C26" t="s">
        <v>6</v>
      </c>
      <c r="D26" t="s">
        <v>59</v>
      </c>
      <c r="E26" t="s">
        <v>62</v>
      </c>
      <c r="F26" t="s">
        <v>63</v>
      </c>
      <c r="G26" t="str">
        <f t="shared" si="0"/>
        <v>(ELEM-HAND-ELESA-M.443/200-CH-ZWART)</v>
      </c>
    </row>
    <row r="27" spans="1:7" x14ac:dyDescent="0.25">
      <c r="B27">
        <v>2</v>
      </c>
      <c r="C27" t="s">
        <v>6</v>
      </c>
      <c r="D27" t="s">
        <v>59</v>
      </c>
      <c r="E27" t="s">
        <v>64</v>
      </c>
      <c r="F27" t="s">
        <v>65</v>
      </c>
      <c r="G27" t="str">
        <f t="shared" si="0"/>
        <v>(ELEM-KNOP-ELESA-B.193/18-P-M5X16)</v>
      </c>
    </row>
    <row r="28" spans="1:7" x14ac:dyDescent="0.25">
      <c r="A28" t="s">
        <v>0</v>
      </c>
      <c r="B28">
        <v>1</v>
      </c>
      <c r="C28" t="s">
        <v>6</v>
      </c>
      <c r="D28" t="s">
        <v>66</v>
      </c>
      <c r="E28" t="s">
        <v>67</v>
      </c>
      <c r="F28" t="s">
        <v>68</v>
      </c>
      <c r="G28" t="str">
        <f t="shared" si="0"/>
        <v>(EP-130046_00CAL/)</v>
      </c>
    </row>
    <row r="29" spans="1:7" x14ac:dyDescent="0.25">
      <c r="A29" t="s">
        <v>0</v>
      </c>
      <c r="B29">
        <v>4</v>
      </c>
      <c r="C29" t="s">
        <v>6</v>
      </c>
      <c r="D29" t="s">
        <v>69</v>
      </c>
      <c r="E29" t="s">
        <v>70</v>
      </c>
      <c r="F29" t="s">
        <v>71</v>
      </c>
      <c r="G29" t="str">
        <f t="shared" si="0"/>
        <v>(HF-150274_01CAL)</v>
      </c>
    </row>
    <row r="30" spans="1:7" x14ac:dyDescent="0.25">
      <c r="A30" t="s">
        <v>0</v>
      </c>
      <c r="B30">
        <v>1</v>
      </c>
      <c r="C30" t="s">
        <v>6</v>
      </c>
      <c r="D30" t="s">
        <v>69</v>
      </c>
      <c r="E30" t="s">
        <v>72</v>
      </c>
      <c r="F30" t="s">
        <v>73</v>
      </c>
      <c r="G30" t="str">
        <f t="shared" si="0"/>
        <v>(HF-150283_01CAL)</v>
      </c>
    </row>
    <row r="31" spans="1:7" x14ac:dyDescent="0.25">
      <c r="A31" t="s">
        <v>0</v>
      </c>
      <c r="B31">
        <v>1</v>
      </c>
      <c r="C31" t="s">
        <v>6</v>
      </c>
      <c r="D31" t="s">
        <v>69</v>
      </c>
      <c r="E31" t="s">
        <v>74</v>
      </c>
      <c r="F31" t="s">
        <v>75</v>
      </c>
      <c r="G31" t="str">
        <f t="shared" si="0"/>
        <v>(HF-150291_01CAL)</v>
      </c>
    </row>
    <row r="32" spans="1:7" x14ac:dyDescent="0.25">
      <c r="A32" t="s">
        <v>0</v>
      </c>
      <c r="B32">
        <v>2</v>
      </c>
      <c r="C32" t="s">
        <v>6</v>
      </c>
      <c r="D32" t="s">
        <v>69</v>
      </c>
      <c r="E32" t="s">
        <v>76</v>
      </c>
      <c r="F32" t="s">
        <v>77</v>
      </c>
      <c r="G32" t="str">
        <f t="shared" si="0"/>
        <v>(HF-150300_01CAL)</v>
      </c>
    </row>
    <row r="33" spans="2:7" x14ac:dyDescent="0.25">
      <c r="B33">
        <v>1</v>
      </c>
      <c r="C33" t="s">
        <v>6</v>
      </c>
      <c r="D33" t="s">
        <v>78</v>
      </c>
      <c r="E33" t="s">
        <v>79</v>
      </c>
      <c r="F33" t="s">
        <v>80</v>
      </c>
      <c r="G33" t="str">
        <f t="shared" si="0"/>
        <v>(PLTW-130050_00CAL)</v>
      </c>
    </row>
    <row r="34" spans="2:7" x14ac:dyDescent="0.25">
      <c r="B34">
        <v>1</v>
      </c>
      <c r="C34" t="s">
        <v>6</v>
      </c>
      <c r="D34" t="s">
        <v>78</v>
      </c>
      <c r="E34" t="s">
        <v>81</v>
      </c>
      <c r="F34" t="s">
        <v>82</v>
      </c>
      <c r="G34" t="str">
        <f t="shared" si="0"/>
        <v>(PLTW-130051_00CAL)</v>
      </c>
    </row>
    <row r="35" spans="2:7" x14ac:dyDescent="0.25">
      <c r="B35">
        <v>2</v>
      </c>
      <c r="C35" t="s">
        <v>6</v>
      </c>
      <c r="D35" t="s">
        <v>78</v>
      </c>
      <c r="E35" t="s">
        <v>83</v>
      </c>
      <c r="F35" t="s">
        <v>84</v>
      </c>
      <c r="G35" t="str">
        <f t="shared" si="0"/>
        <v>(PLTW-150295_01CAL)</v>
      </c>
    </row>
    <row r="36" spans="2:7" x14ac:dyDescent="0.25">
      <c r="B36">
        <v>2</v>
      </c>
      <c r="C36" t="s">
        <v>6</v>
      </c>
      <c r="D36" t="s">
        <v>78</v>
      </c>
      <c r="E36" t="s">
        <v>85</v>
      </c>
      <c r="F36" t="s">
        <v>86</v>
      </c>
      <c r="G36" t="str">
        <f t="shared" si="0"/>
        <v>(PLTW-150296_01CAL)</v>
      </c>
    </row>
    <row r="37" spans="2:7" x14ac:dyDescent="0.25">
      <c r="B37">
        <v>4</v>
      </c>
      <c r="C37" t="s">
        <v>6</v>
      </c>
      <c r="D37" t="s">
        <v>78</v>
      </c>
      <c r="E37" t="s">
        <v>87</v>
      </c>
      <c r="F37" t="s">
        <v>88</v>
      </c>
      <c r="G37" t="str">
        <f t="shared" si="0"/>
        <v>(PLTW-150297_01CAL)</v>
      </c>
    </row>
    <row r="38" spans="2:7" x14ac:dyDescent="0.25">
      <c r="B38">
        <v>1</v>
      </c>
      <c r="C38" t="s">
        <v>6</v>
      </c>
      <c r="D38" t="s">
        <v>78</v>
      </c>
      <c r="E38" t="s">
        <v>89</v>
      </c>
      <c r="F38" t="s">
        <v>90</v>
      </c>
      <c r="G38" t="str">
        <f t="shared" si="0"/>
        <v>(PLTW-150304_01CAL)</v>
      </c>
    </row>
    <row r="39" spans="2:7" x14ac:dyDescent="0.25">
      <c r="B39">
        <v>1</v>
      </c>
      <c r="C39" t="s">
        <v>6</v>
      </c>
      <c r="D39" t="s">
        <v>78</v>
      </c>
      <c r="E39" t="s">
        <v>91</v>
      </c>
      <c r="F39" t="s">
        <v>92</v>
      </c>
      <c r="G39" t="str">
        <f t="shared" si="0"/>
        <v>(PLTW-150305_01CAL)</v>
      </c>
    </row>
    <row r="40" spans="2:7" x14ac:dyDescent="0.25">
      <c r="B40">
        <v>2</v>
      </c>
      <c r="C40" t="s">
        <v>6</v>
      </c>
      <c r="D40" t="s">
        <v>78</v>
      </c>
      <c r="E40" t="s">
        <v>93</v>
      </c>
      <c r="F40" t="s">
        <v>94</v>
      </c>
      <c r="G40" t="str">
        <f t="shared" si="0"/>
        <v>(PLTW-150307_01CAL)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12"/>
  <sheetViews>
    <sheetView tabSelected="1" workbookViewId="0">
      <selection activeCell="B13" sqref="B13"/>
    </sheetView>
  </sheetViews>
  <sheetFormatPr defaultRowHeight="15" x14ac:dyDescent="0.25"/>
  <cols>
    <col min="1" max="1" width="4" bestFit="1" customWidth="1"/>
    <col min="2" max="2" width="6.7109375" bestFit="1" customWidth="1"/>
    <col min="3" max="3" width="4.28515625" bestFit="1" customWidth="1"/>
    <col min="4" max="4" width="9.42578125" bestFit="1" customWidth="1"/>
    <col min="5" max="5" width="24.85546875" bestFit="1" customWidth="1"/>
    <col min="6" max="6" width="62.42578125" bestFit="1" customWidth="1"/>
    <col min="7" max="7" width="3.5703125" customWidth="1"/>
    <col min="8" max="8" width="2.42578125" customWidth="1"/>
    <col min="9" max="9" width="3.28515625" customWidth="1"/>
    <col min="10" max="10" width="2.7109375" customWidth="1"/>
    <col min="11" max="11" width="1.85546875" customWidth="1"/>
    <col min="12" max="12" width="7.85546875" customWidth="1"/>
    <col min="13" max="14" width="76.28515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M1" t="s">
        <v>95</v>
      </c>
    </row>
    <row r="2" spans="1:13" x14ac:dyDescent="0.25">
      <c r="B2" t="s">
        <v>108</v>
      </c>
      <c r="C2" t="s">
        <v>6</v>
      </c>
      <c r="D2" t="s">
        <v>12</v>
      </c>
      <c r="E2" t="s">
        <v>109</v>
      </c>
      <c r="F2" t="s">
        <v>106</v>
      </c>
      <c r="G2" t="s">
        <v>110</v>
      </c>
      <c r="H2" t="s">
        <v>103</v>
      </c>
      <c r="I2" t="s">
        <v>104</v>
      </c>
      <c r="J2" t="s">
        <v>105</v>
      </c>
      <c r="K2" t="s">
        <v>102</v>
      </c>
      <c r="L2" t="s">
        <v>105</v>
      </c>
      <c r="M2" t="s">
        <v>111</v>
      </c>
    </row>
    <row r="3" spans="1:13" x14ac:dyDescent="0.25">
      <c r="B3" t="s">
        <v>107</v>
      </c>
      <c r="C3" t="s">
        <v>6</v>
      </c>
      <c r="D3" t="s">
        <v>12</v>
      </c>
      <c r="E3" t="s">
        <v>112</v>
      </c>
      <c r="F3" t="s">
        <v>106</v>
      </c>
      <c r="G3" t="s">
        <v>113</v>
      </c>
      <c r="H3" t="s">
        <v>103</v>
      </c>
      <c r="I3" t="s">
        <v>104</v>
      </c>
      <c r="J3" t="s">
        <v>114</v>
      </c>
      <c r="K3" t="s">
        <v>102</v>
      </c>
      <c r="L3" t="s">
        <v>114</v>
      </c>
      <c r="M3" t="s">
        <v>132</v>
      </c>
    </row>
    <row r="4" spans="1:13" x14ac:dyDescent="0.25">
      <c r="B4" t="s">
        <v>133</v>
      </c>
      <c r="C4" t="s">
        <v>6</v>
      </c>
      <c r="D4" t="s">
        <v>12</v>
      </c>
      <c r="E4" t="s">
        <v>115</v>
      </c>
      <c r="F4" t="s">
        <v>106</v>
      </c>
      <c r="G4" t="str">
        <f>"0000000332552"</f>
        <v>0000000332552</v>
      </c>
      <c r="H4" t="s">
        <v>103</v>
      </c>
      <c r="I4" t="s">
        <v>104</v>
      </c>
      <c r="J4" t="s">
        <v>114</v>
      </c>
      <c r="K4" t="s">
        <v>102</v>
      </c>
      <c r="L4" t="s">
        <v>114</v>
      </c>
      <c r="M4" t="s">
        <v>134</v>
      </c>
    </row>
    <row r="5" spans="1:13" x14ac:dyDescent="0.25">
      <c r="B5" t="s">
        <v>107</v>
      </c>
      <c r="C5" t="s">
        <v>6</v>
      </c>
      <c r="D5" t="s">
        <v>39</v>
      </c>
      <c r="E5" t="s">
        <v>42</v>
      </c>
      <c r="F5" t="s">
        <v>135</v>
      </c>
      <c r="G5" t="s">
        <v>116</v>
      </c>
      <c r="H5" t="s">
        <v>103</v>
      </c>
      <c r="I5" t="s">
        <v>104</v>
      </c>
      <c r="J5" t="s">
        <v>117</v>
      </c>
      <c r="K5" t="s">
        <v>102</v>
      </c>
      <c r="L5" t="s">
        <v>117</v>
      </c>
      <c r="M5" t="s">
        <v>136</v>
      </c>
    </row>
    <row r="6" spans="1:13" x14ac:dyDescent="0.25">
      <c r="C6" t="s">
        <v>6</v>
      </c>
      <c r="D6" t="s">
        <v>46</v>
      </c>
      <c r="E6" t="s">
        <v>118</v>
      </c>
      <c r="F6" t="s">
        <v>137</v>
      </c>
      <c r="G6" t="str">
        <f>"0000000438193"</f>
        <v>0000000438193</v>
      </c>
      <c r="H6" t="s">
        <v>101</v>
      </c>
      <c r="I6" t="s">
        <v>119</v>
      </c>
      <c r="J6" t="s">
        <v>102</v>
      </c>
      <c r="K6" t="s">
        <v>102</v>
      </c>
      <c r="L6" t="s">
        <v>102</v>
      </c>
      <c r="M6" t="s">
        <v>138</v>
      </c>
    </row>
    <row r="7" spans="1:13" x14ac:dyDescent="0.25">
      <c r="C7" t="s">
        <v>6</v>
      </c>
      <c r="D7" t="s">
        <v>46</v>
      </c>
      <c r="E7" t="s">
        <v>120</v>
      </c>
      <c r="F7" t="s">
        <v>139</v>
      </c>
      <c r="G7" t="str">
        <f>"0000000438223"</f>
        <v>0000000438223</v>
      </c>
      <c r="H7" t="s">
        <v>101</v>
      </c>
      <c r="I7" t="s">
        <v>119</v>
      </c>
      <c r="J7" t="s">
        <v>102</v>
      </c>
      <c r="K7" t="s">
        <v>102</v>
      </c>
      <c r="L7" t="s">
        <v>102</v>
      </c>
      <c r="M7" t="s">
        <v>140</v>
      </c>
    </row>
    <row r="8" spans="1:13" x14ac:dyDescent="0.25">
      <c r="C8" t="s">
        <v>6</v>
      </c>
      <c r="D8" t="s">
        <v>46</v>
      </c>
      <c r="E8" t="s">
        <v>121</v>
      </c>
      <c r="F8" t="s">
        <v>141</v>
      </c>
      <c r="G8" t="str">
        <f>"0000000438209"</f>
        <v>0000000438209</v>
      </c>
      <c r="H8" t="s">
        <v>101</v>
      </c>
      <c r="I8" t="s">
        <v>119</v>
      </c>
      <c r="J8" t="s">
        <v>102</v>
      </c>
      <c r="K8" t="s">
        <v>102</v>
      </c>
      <c r="L8" t="s">
        <v>102</v>
      </c>
      <c r="M8" t="s">
        <v>142</v>
      </c>
    </row>
    <row r="9" spans="1:13" x14ac:dyDescent="0.25">
      <c r="C9" t="s">
        <v>6</v>
      </c>
      <c r="D9" t="s">
        <v>46</v>
      </c>
      <c r="E9" t="s">
        <v>122</v>
      </c>
      <c r="F9" t="s">
        <v>143</v>
      </c>
      <c r="G9" t="str">
        <f>"0000000438216"</f>
        <v>0000000438216</v>
      </c>
      <c r="H9" t="s">
        <v>101</v>
      </c>
      <c r="I9" t="s">
        <v>119</v>
      </c>
      <c r="J9" t="s">
        <v>102</v>
      </c>
      <c r="K9" t="s">
        <v>102</v>
      </c>
      <c r="L9" t="s">
        <v>102</v>
      </c>
      <c r="M9" t="s">
        <v>144</v>
      </c>
    </row>
    <row r="10" spans="1:13" x14ac:dyDescent="0.25">
      <c r="B10" t="s">
        <v>146</v>
      </c>
      <c r="C10" t="s">
        <v>6</v>
      </c>
      <c r="D10" t="s">
        <v>123</v>
      </c>
      <c r="E10" t="s">
        <v>124</v>
      </c>
      <c r="F10" t="s">
        <v>145</v>
      </c>
      <c r="G10" t="str">
        <f>"0000000146791"</f>
        <v>0000000146791</v>
      </c>
      <c r="H10" t="s">
        <v>125</v>
      </c>
      <c r="I10" t="s">
        <v>126</v>
      </c>
      <c r="J10" t="s">
        <v>127</v>
      </c>
      <c r="K10" t="s">
        <v>102</v>
      </c>
      <c r="L10" t="s">
        <v>127</v>
      </c>
      <c r="M10" t="s">
        <v>147</v>
      </c>
    </row>
    <row r="11" spans="1:13" x14ac:dyDescent="0.25">
      <c r="A11" t="s">
        <v>0</v>
      </c>
      <c r="C11" t="s">
        <v>6</v>
      </c>
      <c r="D11" t="s">
        <v>69</v>
      </c>
      <c r="E11" t="s">
        <v>128</v>
      </c>
      <c r="F11" t="s">
        <v>148</v>
      </c>
      <c r="G11" t="str">
        <f>"0000000438247"</f>
        <v>0000000438247</v>
      </c>
      <c r="H11" t="s">
        <v>129</v>
      </c>
      <c r="I11" t="s">
        <v>129</v>
      </c>
      <c r="J11" t="s">
        <v>130</v>
      </c>
      <c r="K11" t="s">
        <v>102</v>
      </c>
      <c r="L11" t="s">
        <v>130</v>
      </c>
      <c r="M11" t="s">
        <v>149</v>
      </c>
    </row>
    <row r="12" spans="1:13" x14ac:dyDescent="0.25">
      <c r="C12" t="s">
        <v>6</v>
      </c>
      <c r="D12" t="s">
        <v>78</v>
      </c>
      <c r="E12" t="s">
        <v>131</v>
      </c>
      <c r="F12" t="s">
        <v>150</v>
      </c>
      <c r="G12" t="str">
        <f>"0000000438230"</f>
        <v>0000000438230</v>
      </c>
      <c r="H12" t="s">
        <v>129</v>
      </c>
      <c r="I12" t="s">
        <v>129</v>
      </c>
      <c r="J12" t="s">
        <v>102</v>
      </c>
      <c r="K12" t="s">
        <v>102</v>
      </c>
      <c r="L12" t="s">
        <v>102</v>
      </c>
      <c r="M12" t="s">
        <v>151</v>
      </c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2">
          <controlPr autoLine="0" r:id="rId5">
            <anchor moveWithCells="1">
              <from>
                <xdr:col>6</xdr:col>
                <xdr:colOff>0</xdr:colOff>
                <xdr:row>33</xdr:row>
                <xdr:rowOff>9525</xdr:rowOff>
              </from>
              <to>
                <xdr:col>12</xdr:col>
                <xdr:colOff>762000</xdr:colOff>
                <xdr:row>37</xdr:row>
                <xdr:rowOff>142875</xdr:rowOff>
              </to>
            </anchor>
          </controlPr>
        </control>
      </mc:Choice>
      <mc:Fallback>
        <control shapeId="2051" r:id="rId4" name="CommandButton2"/>
      </mc:Fallback>
    </mc:AlternateContent>
    <mc:AlternateContent xmlns:mc="http://schemas.openxmlformats.org/markup-compatibility/2006">
      <mc:Choice Requires="x14">
        <control shapeId="2050" r:id="rId6" name="CommandButton1">
          <controlPr defaultSize="0" autoLine="0" autoPict="0" r:id="rId7">
            <anchor moveWithCells="1">
              <from>
                <xdr:col>2</xdr:col>
                <xdr:colOff>123825</xdr:colOff>
                <xdr:row>1</xdr:row>
                <xdr:rowOff>19050</xdr:rowOff>
              </from>
              <to>
                <xdr:col>11</xdr:col>
                <xdr:colOff>466725</xdr:colOff>
                <xdr:row>27</xdr:row>
                <xdr:rowOff>114300</xdr:rowOff>
              </to>
            </anchor>
          </controlPr>
        </control>
      </mc:Choice>
      <mc:Fallback>
        <control shapeId="2050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Blad1</vt:lpstr>
      <vt:lpstr>Blad2</vt:lpstr>
    </vt:vector>
  </TitlesOfParts>
  <Company>LET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dcterms:created xsi:type="dcterms:W3CDTF">2015-09-01T09:40:56Z</dcterms:created>
  <dcterms:modified xsi:type="dcterms:W3CDTF">2019-07-17T12:40:57Z</dcterms:modified>
</cp:coreProperties>
</file>