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3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5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/>
  </bookViews>
  <sheets>
    <sheet name="batch48" sheetId="24" r:id="rId1"/>
    <sheet name="rgo190016" sheetId="23" r:id="rId2"/>
    <sheet name="rgo190015" sheetId="22" r:id="rId3"/>
    <sheet name="batch47" sheetId="21" r:id="rId4"/>
    <sheet name="batch46" sheetId="20" r:id="rId5"/>
    <sheet name="mst (template)save-as (6)" sheetId="19" r:id="rId6"/>
    <sheet name="rgo190011" sheetId="17" r:id="rId7"/>
    <sheet name="rgo190010" sheetId="16" r:id="rId8"/>
    <sheet name="RGO190009 a-s.be kris buyl." sheetId="12" r:id="rId9"/>
    <sheet name="rgo180032" sheetId="3" r:id="rId10"/>
    <sheet name="batch43" sheetId="5" r:id="rId11"/>
    <sheet name="rgo190003" sheetId="6" r:id="rId12"/>
    <sheet name="rgo180008-batch3" sheetId="7" r:id="rId13"/>
    <sheet name="batch44" sheetId="8" r:id="rId14"/>
    <sheet name="RGO190005 batchv5" sheetId="10" r:id="rId15"/>
    <sheet name="batch45" sheetId="11" r:id="rId16"/>
    <sheet name="rgo190006" sheetId="13" r:id="rId17"/>
    <sheet name="rgo190007" sheetId="4" r:id="rId18"/>
    <sheet name="rgo190008" sheetId="14" r:id="rId19"/>
  </sheets>
  <functionGroups builtInGroupCount="18"/>
  <definedNames>
    <definedName name="_xlnm._FilterDatabase" localSheetId="13" hidden="1">batch44!$A$1:$D$134</definedName>
    <definedName name="_xlnm._FilterDatabase" localSheetId="15" hidden="1">batch45!$A$1:$D$134</definedName>
    <definedName name="_xlnm._FilterDatabase" localSheetId="4" hidden="1">batch46!$A$5:$M$164</definedName>
    <definedName name="_xlnm._FilterDatabase" localSheetId="3" hidden="1">batch47!$A$5:$M$164</definedName>
    <definedName name="_xlnm._FilterDatabase" localSheetId="0" hidden="1">batch48!$A$5:$M$164</definedName>
    <definedName name="_xlnm._FilterDatabase" localSheetId="5" hidden="1">'mst (template)save-as (6)'!$A$1:$D$1</definedName>
    <definedName name="_xlnm._FilterDatabase" localSheetId="12" hidden="1">'rgo180008-batch3'!$A$1:$D$135</definedName>
    <definedName name="_xlnm._FilterDatabase" localSheetId="11" hidden="1">'rgo190003'!$A$1:$D$131</definedName>
    <definedName name="_xlnm._FilterDatabase" localSheetId="14" hidden="1">'RGO190005 batchv5'!$A$1:$D$134</definedName>
    <definedName name="_xlnm._FilterDatabase" localSheetId="16" hidden="1">'rgo190006'!$A$1:$D$134</definedName>
    <definedName name="_xlnm._FilterDatabase" localSheetId="17" hidden="1">'rgo190007'!$A$1:$D$134</definedName>
    <definedName name="_xlnm._FilterDatabase" localSheetId="18" hidden="1">'rgo190008'!$A$1:$D$134</definedName>
    <definedName name="_xlnm._FilterDatabase" localSheetId="8" hidden="1">'RGO190009 a-s.be kris buyl.'!$A$1:$D$134</definedName>
    <definedName name="_xlnm._FilterDatabase" localSheetId="7" hidden="1">'rgo190010'!$A$1:$D$134</definedName>
    <definedName name="_xlnm._FilterDatabase" localSheetId="6" hidden="1">'rgo190011'!$A$5:$H$164</definedName>
    <definedName name="_xlnm._FilterDatabase" localSheetId="2" hidden="1">'rgo190015'!$A$5:$M$165</definedName>
    <definedName name="_xlnm._FilterDatabase" localSheetId="1" hidden="1">'rgo190016'!$A$5:$M$165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4" i="24" l="1"/>
  <c r="D163" i="24"/>
  <c r="D162" i="24"/>
  <c r="D161" i="24"/>
  <c r="D160" i="24"/>
  <c r="D159" i="24"/>
  <c r="D158" i="24"/>
  <c r="AQ157" i="24"/>
  <c r="T157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C5" i="24"/>
  <c r="D167" i="22" l="1"/>
  <c r="D166" i="22" l="1"/>
  <c r="D165" i="23" l="1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AQ152" i="23"/>
  <c r="T152" i="23"/>
  <c r="D152" i="23"/>
  <c r="D151" i="23"/>
  <c r="D150" i="23"/>
  <c r="D149" i="23"/>
  <c r="D148" i="23"/>
  <c r="D147" i="23"/>
  <c r="AR146" i="23"/>
  <c r="D146" i="23"/>
  <c r="AR145" i="23"/>
  <c r="U145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AR21" i="23"/>
  <c r="U21" i="23"/>
  <c r="D21" i="23"/>
  <c r="D20" i="23"/>
  <c r="D19" i="23"/>
  <c r="D18" i="23"/>
  <c r="D17" i="23"/>
  <c r="D16" i="23"/>
  <c r="AR15" i="23"/>
  <c r="D15" i="23"/>
  <c r="AR14" i="23"/>
  <c r="U14" i="23"/>
  <c r="D14" i="23"/>
  <c r="D13" i="23"/>
  <c r="D12" i="23"/>
  <c r="D11" i="23"/>
  <c r="D10" i="23"/>
  <c r="D9" i="23"/>
  <c r="D8" i="23"/>
  <c r="D7" i="23"/>
  <c r="D6" i="23"/>
  <c r="C5" i="23"/>
  <c r="D8" i="22" l="1"/>
  <c r="D7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T152" i="22"/>
  <c r="AQ152" i="22"/>
  <c r="U21" i="22"/>
  <c r="AR21" i="22"/>
  <c r="D145" i="22"/>
  <c r="D144" i="22"/>
  <c r="U145" i="22"/>
  <c r="AR145" i="22"/>
  <c r="AR146" i="22"/>
  <c r="U14" i="22"/>
  <c r="AR14" i="22"/>
  <c r="AR15" i="22"/>
  <c r="T157" i="21" l="1"/>
  <c r="AQ157" i="21"/>
  <c r="C5" i="22" l="1"/>
  <c r="C5" i="21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<sst xmlns="http://schemas.openxmlformats.org/spreadsheetml/2006/main" count="8159" uniqueCount="555">
  <si>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</si>
  <si>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</si>
  <si>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</si>
  <si>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</si>
  <si>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</si>
  <si>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</si>
  <si>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</si>
  <si>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</si>
  <si>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</si>
  <si>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</si>
  <si>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</si>
  <si>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</si>
  <si>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</si>
  <si>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</si>
  <si>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</si>
  <si>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</si>
  <si>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</si>
  <si>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</si>
  <si>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</si>
  <si>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</si>
  <si>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</si>
  <si>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</si>
  <si>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</si>
  <si>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</si>
  <si>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</si>
  <si>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</si>
  <si>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</si>
  <si>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</si>
  <si>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</si>
  <si>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</si>
  <si>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</si>
  <si>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</si>
  <si>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</si>
  <si>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</si>
  <si>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</si>
  <si>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</si>
  <si>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</si>
  <si>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</si>
  <si>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</si>
  <si>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</si>
  <si>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</si>
  <si>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</si>
  <si>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</si>
  <si>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</si>
  <si>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</si>
  <si>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</si>
  <si>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</si>
  <si>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</si>
  <si>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</si>
  <si>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</si>
  <si>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</si>
  <si>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</si>
  <si>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</si>
  <si>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</si>
  <si>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</si>
  <si>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</si>
  <si>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</si>
  <si>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</si>
  <si>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</si>
  <si>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</si>
  <si>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</si>
  <si>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</si>
  <si>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</si>
  <si>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</si>
  <si>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</si>
  <si>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</si>
  <si>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</si>
  <si>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</si>
  <si>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</si>
  <si>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</si>
  <si>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</si>
  <si>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</si>
  <si>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</si>
  <si>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</si>
  <si>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</si>
  <si>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</si>
  <si>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</si>
  <si>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</si>
  <si>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</si>
  <si>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</si>
  <si>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</si>
  <si>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</si>
  <si>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</si>
  <si>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</si>
  <si>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</si>
  <si>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</si>
  <si>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</si>
  <si>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</si>
  <si>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</si>
  <si>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</si>
  <si>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</si>
  <si>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</si>
  <si>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</si>
  <si>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</si>
  <si>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</si>
  <si>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</si>
  <si>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</si>
  <si>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</si>
  <si>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</si>
  <si>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</si>
  <si>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</si>
  <si>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</si>
  <si>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</si>
  <si>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</si>
  <si>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</si>
  <si>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</si>
  <si>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</si>
  <si>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</si>
  <si>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</si>
  <si>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</si>
  <si>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</si>
  <si>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</si>
  <si>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</si>
  <si>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</si>
  <si>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</si>
  <si>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</si>
  <si>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</si>
  <si>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</si>
  <si>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</si>
  <si>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</si>
  <si>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</si>
  <si>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</si>
  <si>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</si>
  <si>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</si>
  <si>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</si>
  <si>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</si>
  <si>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</si>
  <si>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</si>
  <si>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</si>
  <si>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</si>
  <si>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</si>
  <si>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</si>
  <si>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</si>
  <si>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</si>
  <si>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</si>
  <si>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</si>
  <si>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</si>
  <si>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</si>
  <si>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</si>
  <si>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</si>
  <si>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</si>
  <si>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</si>
  <si>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</si>
  <si>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</si>
  <si>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</si>
  <si>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</si>
  <si>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</si>
  <si>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</si>
  <si>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</si>
  <si>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</si>
  <si>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</si>
  <si>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</si>
  <si>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</si>
  <si>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</si>
  <si>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</si>
  <si>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</si>
  <si>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</si>
  <si>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</si>
  <si>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</si>
  <si>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</si>
  <si>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</si>
  <si>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</si>
  <si>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</si>
  <si>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</si>
  <si>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</si>
  <si>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</si>
  <si>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</si>
  <si>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</si>
  <si>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</si>
  <si>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</si>
  <si>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</si>
  <si>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</si>
  <si>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</si>
  <si>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</si>
  <si>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</si>
  <si>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</si>
  <si>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</si>
  <si>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</si>
  <si>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</si>
  <si>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</si>
  <si>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</si>
  <si>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</si>
  <si>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</si>
  <si>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</si>
  <si>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</si>
  <si>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</si>
  <si>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</si>
  <si>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</si>
  <si>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</si>
  <si>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</si>
  <si>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</si>
  <si>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</si>
  <si>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</si>
  <si>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</si>
  <si>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</si>
  <si>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</si>
  <si>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</si>
  <si>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</si>
  <si>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</si>
  <si>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</si>
  <si>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</si>
  <si>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</si>
  <si>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</si>
  <si>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</si>
  <si>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</si>
  <si>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</si>
  <si>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</si>
  <si>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</si>
  <si>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</si>
  <si>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</si>
  <si>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</si>
  <si>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</si>
  <si>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</si>
  <si>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</si>
  <si>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</si>
  <si>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</si>
  <si>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</si>
  <si>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</si>
  <si>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</si>
  <si>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</si>
  <si>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</si>
  <si>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</si>
  <si>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</si>
  <si>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</si>
  <si>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</si>
  <si>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</si>
  <si>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</si>
  <si>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</si>
  <si>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</si>
  <si>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</si>
  <si>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</si>
  <si>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</si>
  <si>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</si>
  <si>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</si>
  <si>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</si>
  <si>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</si>
  <si>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</si>
  <si>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</si>
  <si>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</si>
  <si>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</si>
  <si>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</si>
  <si>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</si>
  <si>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</si>
  <si>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</si>
  <si>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</si>
  <si>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</si>
  <si>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</si>
  <si>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</si>
  <si>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</si>
  <si>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</si>
  <si>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</si>
  <si>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</si>
  <si>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</si>
  <si>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</si>
  <si>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</si>
  <si>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</si>
  <si>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</si>
  <si>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</si>
  <si>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</si>
  <si>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</si>
  <si>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</si>
  <si>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</si>
  <si>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</si>
  <si>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</si>
  <si>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</si>
  <si>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</si>
  <si>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</si>
  <si>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</si>
  <si>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</si>
  <si>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</si>
  <si>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</si>
  <si>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</si>
  <si>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</si>
  <si>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</si>
  <si>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</si>
  <si>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</si>
  <si>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</si>
  <si>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</si>
  <si>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</si>
  <si>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</si>
  <si>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</si>
  <si>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</si>
  <si>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</si>
  <si>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</si>
  <si>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</si>
  <si>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</si>
  <si>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</si>
  <si>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</si>
  <si>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</si>
  <si>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</si>
  <si>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</si>
  <si>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</si>
  <si>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</si>
  <si>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</si>
  <si>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</si>
  <si>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</si>
  <si>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</si>
  <si>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</si>
  <si>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</si>
  <si>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</si>
  <si>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</si>
  <si>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</si>
  <si>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</si>
  <si>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</si>
  <si>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</si>
  <si>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</si>
  <si>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</si>
  <si>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</si>
  <si>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</si>
  <si>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</si>
  <si>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</si>
  <si>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</si>
  <si>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</si>
  <si>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</si>
  <si>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</si>
  <si>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</si>
  <si>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</si>
  <si>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</si>
  <si>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</si>
  <si>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</si>
  <si>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</si>
  <si>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</si>
  <si>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</si>
  <si>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</si>
  <si>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</si>
  <si>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</si>
  <si>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</si>
  <si>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</si>
  <si>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</si>
  <si>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</si>
  <si>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</si>
  <si>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</si>
  <si>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</si>
  <si>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</si>
  <si>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</si>
  <si>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</si>
  <si>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</si>
  <si>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</si>
  <si>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</si>
  <si>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</si>
  <si>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</si>
  <si>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</si>
  <si>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</si>
  <si>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</si>
  <si>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</si>
  <si>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</si>
  <si>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</si>
  <si>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</si>
  <si>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</si>
  <si>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</si>
  <si>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</si>
  <si>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</si>
  <si>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</si>
  <si>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</si>
  <si>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</si>
  <si>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</si>
  <si>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</si>
  <si>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</si>
  <si>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</si>
  <si>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</si>
  <si>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</si>
  <si>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</si>
  <si>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</si>
  <si>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</si>
  <si>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</si>
  <si>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</si>
  <si>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</si>
  <si>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</si>
  <si>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</si>
  <si>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</si>
  <si>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</si>
  <si>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</si>
  <si>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</si>
  <si>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</si>
  <si>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</si>
  <si>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</si>
  <si>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</si>
  <si>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</si>
  <si>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</si>
  <si>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</si>
  <si>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</si>
  <si>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</si>
  <si>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</si>
  <si>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</si>
  <si>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</si>
  <si>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</si>
  <si>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</si>
  <si>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</si>
  <si>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</si>
  <si>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</si>
  <si>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</si>
  <si>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</si>
  <si>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</si>
  <si>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</si>
  <si>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</si>
  <si>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</si>
  <si>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</si>
  <si>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</si>
  <si>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</si>
  <si>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</si>
  <si>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</si>
  <si>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</si>
  <si>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</si>
  <si>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</si>
  <si>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</si>
  <si>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</si>
  <si>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</si>
  <si>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</si>
  <si>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</si>
  <si>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</si>
  <si>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</si>
  <si>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</si>
  <si>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</si>
  <si>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</si>
  <si>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</si>
  <si>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</si>
  <si>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</si>
  <si>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</si>
  <si>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</si>
  <si>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</si>
  <si>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</si>
  <si>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</si>
  <si>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</si>
  <si>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</si>
  <si>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</si>
  <si>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</si>
  <si>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</si>
  <si>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</si>
  <si>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</si>
  <si>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</si>
  <si>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</si>
  <si>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</si>
  <si>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</si>
  <si>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</si>
  <si>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</si>
  <si>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</si>
  <si>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candela</t>
  </si>
  <si>
    <t>minical</t>
  </si>
  <si>
    <t>Ronde connector M8 03P chassis Vrl. + 0.5m kabel</t>
  </si>
  <si>
    <t>M08-03P-C-V-KABEL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</si>
  <si>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</si>
  <si>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</si>
  <si>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</si>
  <si>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</si>
  <si>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</si>
  <si>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</si>
  <si>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</si>
  <si>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</si>
  <si>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</si>
  <si>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</si>
  <si>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</si>
  <si>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</si>
  <si>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</si>
  <si>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</si>
  <si>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</si>
  <si>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</si>
  <si>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</si>
  <si>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</si>
  <si>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</si>
  <si>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</si>
  <si>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</si>
  <si>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</si>
  <si>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</si>
  <si>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</si>
  <si>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</si>
  <si>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</si>
  <si>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</si>
  <si>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</si>
  <si>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</si>
  <si>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</si>
  <si>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</si>
  <si>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</si>
  <si>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</si>
  <si>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</si>
  <si>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</si>
  <si>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</si>
  <si>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</si>
  <si>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</si>
  <si>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</si>
  <si>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</si>
  <si>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</si>
  <si>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</si>
  <si>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</si>
  <si>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</si>
  <si>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Board Bluetooth BISM II</t>
  </si>
  <si>
    <t>BOAR-BLUETOOTH-EXTANT</t>
  </si>
  <si>
    <t>40,4800</t>
  </si>
  <si>
    <t>70,0000</t>
  </si>
  <si>
    <t>0,0000</t>
  </si>
  <si>
    <t>HMAG</t>
  </si>
  <si>
    <t>EK12</t>
  </si>
  <si>
    <t>08,50</t>
  </si>
  <si>
    <t>VTH</t>
  </si>
  <si>
    <t>?</t>
  </si>
  <si>
    <t>Bestelbaar</t>
  </si>
  <si>
    <t>Grondstof</t>
  </si>
  <si>
    <t>40,48</t>
  </si>
  <si>
    <t>Standaardartikel</t>
  </si>
  <si>
    <t>Verkoopbaar aan klan</t>
  </si>
  <si>
    <t>Niet HALAL</t>
  </si>
  <si>
    <t>0.257mm</t>
  </si>
  <si>
    <t>0.139mm</t>
  </si>
  <si>
    <t>0.636mm</t>
  </si>
  <si>
    <t>0.1mm</t>
  </si>
  <si>
    <t>mst kabel ontbreekt</t>
  </si>
  <si>
    <t>candela knop kapot</t>
  </si>
  <si>
    <t>EP060069.009</t>
  </si>
  <si>
    <t>1995-1025</t>
  </si>
  <si>
    <t>Maxell battery alkaline 4x AAA micro type LR03</t>
  </si>
  <si>
    <t>ALK-01,50V-00,00Ah-AAA</t>
  </si>
  <si>
    <t>1,2900</t>
  </si>
  <si>
    <t>VE</t>
  </si>
  <si>
    <t>GEEN</t>
  </si>
  <si>
    <t>14,40</t>
  </si>
  <si>
    <t>mro</t>
  </si>
  <si>
    <t>1,29</t>
  </si>
  <si>
    <t>Alkaline-batterij 01,50V 02,25Ah  Lijn 14x50mm AA</t>
  </si>
  <si>
    <t>ALK-01,50V-02,25AhLIJN14X50</t>
  </si>
  <si>
    <t>7,7420</t>
  </si>
  <si>
    <t>0BAT015000000</t>
  </si>
  <si>
    <t>6,5000</t>
  </si>
  <si>
    <t>1,8800</t>
  </si>
  <si>
    <t>BBAT</t>
  </si>
  <si>
    <t>EK69</t>
  </si>
  <si>
    <t>12,33</t>
  </si>
  <si>
    <t>7,742</t>
  </si>
  <si>
    <t>Kabel drukknop CAM 30</t>
  </si>
  <si>
    <t>960033A00CAM</t>
  </si>
  <si>
    <t>15,6390</t>
  </si>
  <si>
    <t>60,0000</t>
  </si>
  <si>
    <t>10,31</t>
  </si>
  <si>
    <t>Halffabrikaat</t>
  </si>
  <si>
    <t xml:space="preserve">minical </t>
  </si>
  <si>
    <t>calibratieforfait  minical</t>
  </si>
  <si>
    <t>…</t>
  </si>
  <si>
    <t>calibratieforfait  candelameter</t>
  </si>
  <si>
    <t>calib+cert</t>
  </si>
  <si>
    <t>calib forfait</t>
  </si>
  <si>
    <t>kabel ligt nog bij klant</t>
  </si>
  <si>
    <t>aanraag v klant</t>
  </si>
  <si>
    <t>laser635nm</t>
  </si>
  <si>
    <t>laser 1mw 635nm</t>
  </si>
  <si>
    <t>laser minical</t>
  </si>
  <si>
    <t>statief ?</t>
  </si>
  <si>
    <t>ep070112.008 refurb</t>
  </si>
  <si>
    <t>ep070097.016 enkel zwart kader op lcd</t>
  </si>
  <si>
    <t>ep070097.014 start gewoon op ?</t>
  </si>
  <si>
    <t xml:space="preserve">ep080056.001 voetje af </t>
  </si>
  <si>
    <t>ep070097.003 uitlijning</t>
  </si>
  <si>
    <t>brc ep080050.030 testen</t>
  </si>
  <si>
    <t>gele knop vervangen</t>
  </si>
  <si>
    <t>check en was ok</t>
  </si>
  <si>
    <t>elco los +silicone</t>
  </si>
  <si>
    <t>cel vijs afgeslepen</t>
  </si>
  <si>
    <t>test 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</si>
</sst>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  <xf numFmtId="0" fontId="0" fillId="4" borderId="9" xfId="0" applyFill="1" applyBorder="1"/>
    <xf numFmtId="0" fontId="3" fillId="6" borderId="9" xfId="0" applyFon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2" borderId="9" xfId="0" applyFill="1" applyBorder="1"/>
    <xf numFmtId="0" fontId="0" fillId="4" borderId="5" xfId="0" applyFill="1" applyBorder="1"/>
    <xf numFmtId="0" fontId="3" fillId="6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8" xfId="0" applyFill="1" applyBorder="1"/>
    <xf numFmtId="0" fontId="3" fillId="6" borderId="8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8" borderId="1" xfId="0" applyFill="1" applyBorder="1"/>
    <xf numFmtId="0" fontId="3" fillId="8" borderId="1" xfId="0" applyFont="1" applyFill="1" applyBorder="1"/>
    <xf numFmtId="0" fontId="3" fillId="3" borderId="9" xfId="0" applyFont="1" applyFill="1" applyBorder="1" applyAlignment="1">
      <alignment horizontal="left"/>
    </xf>
    <xf numFmtId="0" fontId="0" fillId="2" borderId="8" xfId="0" applyFill="1" applyBorder="1"/>
    <xf numFmtId="0" fontId="3" fillId="3" borderId="1" xfId="0" applyFont="1" applyFill="1" applyBorder="1" applyAlignment="1">
      <alignment textRotation="90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1" xfId="0" applyFont="1" applyFill="1" applyBorder="1" applyAlignment="1">
      <alignment horizontal="left" textRotation="90"/>
    </xf>
    <xf numFmtId="0" fontId="3" fillId="3" borderId="9" xfId="0" applyFont="1" applyFill="1" applyBorder="1"/>
    <xf numFmtId="0" fontId="3" fillId="3" borderId="1" xfId="0" applyFont="1" applyFill="1" applyBorder="1"/>
    <xf numFmtId="0" fontId="0" fillId="3" borderId="1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21857" name="CommandButton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21858" name="CommandButton2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21859" name="CommandButton3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105474" name="CommandButton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5475" name="CommandButton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342900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0.xml"/><Relationship Id="rId12" Type="http://schemas.openxmlformats.org/officeDocument/2006/relationships/image" Target="../media/image1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2.xml"/><Relationship Id="rId5" Type="http://schemas.openxmlformats.org/officeDocument/2006/relationships/drawing" Target="../drawings/drawing4.xml"/><Relationship Id="rId10" Type="http://schemas.openxmlformats.org/officeDocument/2006/relationships/image" Target="../media/image11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3.xml"/><Relationship Id="rId12" Type="http://schemas.openxmlformats.org/officeDocument/2006/relationships/image" Target="../media/image1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5.xml"/><Relationship Id="rId5" Type="http://schemas.openxmlformats.org/officeDocument/2006/relationships/drawing" Target="../drawings/drawing5.xml"/><Relationship Id="rId10" Type="http://schemas.openxmlformats.org/officeDocument/2006/relationships/image" Target="../media/image14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12" Type="http://schemas.openxmlformats.org/officeDocument/2006/relationships/image" Target="../media/image1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11" Type="http://schemas.openxmlformats.org/officeDocument/2006/relationships/control" Target="../activeX/activeX18.xml"/><Relationship Id="rId5" Type="http://schemas.openxmlformats.org/officeDocument/2006/relationships/drawing" Target="../drawings/drawing6.xml"/><Relationship Id="rId10" Type="http://schemas.openxmlformats.org/officeDocument/2006/relationships/image" Target="../media/image17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9.xml"/><Relationship Id="rId12" Type="http://schemas.openxmlformats.org/officeDocument/2006/relationships/image" Target="../media/image21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11" Type="http://schemas.openxmlformats.org/officeDocument/2006/relationships/control" Target="../activeX/activeX21.xml"/><Relationship Id="rId5" Type="http://schemas.openxmlformats.org/officeDocument/2006/relationships/drawing" Target="../drawings/drawing7.xml"/><Relationship Id="rId10" Type="http://schemas.openxmlformats.org/officeDocument/2006/relationships/image" Target="../media/image20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5" Type="http://schemas.openxmlformats.org/officeDocument/2006/relationships/drawing" Target="../drawings/drawing8.xml"/><Relationship Id="rId10" Type="http://schemas.openxmlformats.org/officeDocument/2006/relationships/image" Target="../media/image23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9.xml"/><Relationship Id="rId10" Type="http://schemas.openxmlformats.org/officeDocument/2006/relationships/image" Target="../media/image25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10.xml"/><Relationship Id="rId11" Type="http://schemas.openxmlformats.org/officeDocument/2006/relationships/image" Target="../media/image27.emf"/><Relationship Id="rId5" Type="http://schemas.openxmlformats.org/officeDocument/2006/relationships/printerSettings" Target="../printerSettings/printerSettings11.bin"/><Relationship Id="rId10" Type="http://schemas.openxmlformats.org/officeDocument/2006/relationships/control" Target="../activeX/activeX27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printerSettings" Target="../printerSettings/printerSettings12.bin"/><Relationship Id="rId7" Type="http://schemas.openxmlformats.org/officeDocument/2006/relationships/image" Target="../media/image28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28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1.xml"/><Relationship Id="rId9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2.xml"/><Relationship Id="rId10" Type="http://schemas.openxmlformats.org/officeDocument/2006/relationships/image" Target="../media/image31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3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5" Type="http://schemas.openxmlformats.org/officeDocument/2006/relationships/drawing" Target="../drawings/drawing13.xml"/><Relationship Id="rId10" Type="http://schemas.openxmlformats.org/officeDocument/2006/relationships/image" Target="../media/image33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5" Type="http://schemas.openxmlformats.org/officeDocument/2006/relationships/drawing" Target="../drawings/drawing14.xml"/><Relationship Id="rId10" Type="http://schemas.openxmlformats.org/officeDocument/2006/relationships/image" Target="../media/image36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3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5" Type="http://schemas.openxmlformats.org/officeDocument/2006/relationships/drawing" Target="../drawings/drawing15.xml"/><Relationship Id="rId10" Type="http://schemas.openxmlformats.org/officeDocument/2006/relationships/image" Target="../media/image38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3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6.vml"/><Relationship Id="rId5" Type="http://schemas.openxmlformats.org/officeDocument/2006/relationships/drawing" Target="../drawings/drawing16.xml"/><Relationship Id="rId10" Type="http://schemas.openxmlformats.org/officeDocument/2006/relationships/image" Target="../media/image40.emf"/><Relationship Id="rId4" Type="http://schemas.openxmlformats.org/officeDocument/2006/relationships/printerSettings" Target="../printerSettings/printerSettings17.bin"/><Relationship Id="rId9" Type="http://schemas.openxmlformats.org/officeDocument/2006/relationships/control" Target="../activeX/activeX3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7.vml"/><Relationship Id="rId5" Type="http://schemas.openxmlformats.org/officeDocument/2006/relationships/drawing" Target="../drawings/drawing17.xml"/><Relationship Id="rId10" Type="http://schemas.openxmlformats.org/officeDocument/2006/relationships/image" Target="../media/image42.emf"/><Relationship Id="rId4" Type="http://schemas.openxmlformats.org/officeDocument/2006/relationships/printerSettings" Target="../printerSettings/printerSettings18.bin"/><Relationship Id="rId9" Type="http://schemas.openxmlformats.org/officeDocument/2006/relationships/control" Target="../activeX/activeX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3" filterMode="1">
    <tabColor rgb="FFFFC000"/>
    <pageSetUpPr fitToPage="1"/>
  </sheetPr>
  <dimension ref="A1:BJ165"/>
  <sheetViews>
    <sheetView tabSelected="1" zoomScale="95" zoomScaleNormal="95" workbookViewId="0">
      <selection activeCell="C5" sqref="C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43622</v>
      </c>
      <c r="E4" s="39"/>
      <c r="F4" s="39" t="s">
        <v>550</v>
      </c>
      <c r="G4" s="39" t="s">
        <v>551</v>
      </c>
      <c r="H4" s="39" t="s">
        <v>552</v>
      </c>
      <c r="I4" s="39" t="s">
        <v>553</v>
      </c>
      <c r="J4" s="39" t="s">
        <v>554</v>
      </c>
      <c r="K4" s="39"/>
      <c r="L4" s="39"/>
      <c r="M4" s="39"/>
    </row>
    <row r="5" spans="1:14" s="36" customFormat="1" ht="190.5" customHeight="1" x14ac:dyDescent="0.25">
      <c r="A5" s="33"/>
      <c r="B5" s="33" t="s">
        <v>325</v>
      </c>
      <c r="C5" s="33" t="str">
        <f ca="1">MID(CELL("filename",A5),FIND("]",CELL("filename",A5))+1,256)</f>
        <v>batch48</v>
      </c>
      <c r="D5" s="34" t="s">
        <v>382</v>
      </c>
      <c r="E5" s="37" t="s">
        <v>544</v>
      </c>
      <c r="F5" s="37" t="s">
        <v>545</v>
      </c>
      <c r="G5" s="37" t="s">
        <v>546</v>
      </c>
      <c r="H5" s="37" t="s">
        <v>547</v>
      </c>
      <c r="I5" s="37" t="s">
        <v>548</v>
      </c>
      <c r="J5" s="37" t="s">
        <v>549</v>
      </c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>
        <v>0</v>
      </c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1</v>
      </c>
      <c r="E14" s="27"/>
      <c r="F14" s="27">
        <v>1</v>
      </c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1</v>
      </c>
      <c r="E28" s="27">
        <v>1</v>
      </c>
      <c r="F28" s="27"/>
      <c r="G28" s="27"/>
      <c r="H28" s="27"/>
      <c r="I28" s="27"/>
      <c r="J28" s="27"/>
      <c r="K28" s="27"/>
      <c r="L28" s="27"/>
      <c r="M28" s="27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/>
      <c r="H143" s="26">
        <v>1</v>
      </c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49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/>
      <c r="F165" s="26"/>
      <c r="G165" s="26"/>
      <c r="H165" s="26"/>
      <c r="I165" s="26"/>
      <c r="J165" s="26"/>
      <c r="K165" s="26"/>
      <c r="L165" s="27"/>
      <c r="M165" s="27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7" orientation="landscape" r:id="rId4"/>
  <drawing r:id="rId5"/>
  <legacyDrawing r:id="rId6"/>
  <controls>
    <mc:AlternateContent xmlns:mc="http://schemas.openxmlformats.org/markup-compatibility/2006">
      <mc:Choice Requires="x14">
        <control shapeId="12185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21859" r:id="rId7" name="CommandButton3"/>
      </mc:Fallback>
    </mc:AlternateContent>
    <mc:AlternateContent xmlns:mc="http://schemas.openxmlformats.org/markup-compatibility/2006">
      <mc:Choice Requires="x14">
        <control shapeId="12185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21858" r:id="rId9" name="CommandButton2"/>
      </mc:Fallback>
    </mc:AlternateContent>
    <mc:AlternateContent xmlns:mc="http://schemas.openxmlformats.org/markup-compatibility/2006">
      <mc:Choice Requires="x14">
        <control shapeId="121857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21857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2" filterMode="1">
    <tabColor rgb="FFFFC000"/>
  </sheetPr>
  <dimension ref="A1:BK165"/>
  <sheetViews>
    <sheetView topLeftCell="B1" zoomScale="87" zoomScaleNormal="87" zoomScaleSheetLayoutView="70" workbookViewId="0">
      <selection activeCell="D173" sqref="D173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51" x14ac:dyDescent="0.25">
      <c r="C4" s="40">
        <v>43592</v>
      </c>
      <c r="E4" s="39"/>
      <c r="F4" s="39"/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rgo190016</v>
      </c>
      <c r="D5" s="57" t="s">
        <v>382</v>
      </c>
      <c r="E5" s="37"/>
      <c r="F5" s="37"/>
      <c r="G5" s="37">
        <v>1158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 t="shared" ref="D6:D37" si="0">(E6+F6+L6+G6+H6+I6+J6+K6) &amp;M6</f>
        <v>0</v>
      </c>
      <c r="E6" s="53"/>
      <c r="F6" s="53"/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si="0"/>
        <v>1</v>
      </c>
      <c r="E7" s="53"/>
      <c r="F7" s="53"/>
      <c r="G7" s="53">
        <v>1</v>
      </c>
      <c r="H7" s="53"/>
      <c r="I7" s="53"/>
      <c r="J7" s="53"/>
      <c r="K7" s="53"/>
      <c r="L7" s="43"/>
      <c r="M7" s="43"/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 t="shared" si="0"/>
        <v>0</v>
      </c>
      <c r="E8" s="53"/>
      <c r="F8" s="53"/>
      <c r="G8" s="53"/>
      <c r="H8" s="53"/>
      <c r="I8" s="53"/>
      <c r="J8" s="53"/>
      <c r="K8" s="53"/>
      <c r="L8" s="43"/>
      <c r="M8" s="43"/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si="0"/>
        <v>0</v>
      </c>
      <c r="E9" s="26"/>
      <c r="F9" s="26"/>
      <c r="G9" s="26"/>
      <c r="H9" s="26"/>
      <c r="I9" s="26"/>
      <c r="J9" s="26"/>
      <c r="K9" s="26"/>
      <c r="L9" s="27"/>
      <c r="M9" s="27"/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0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0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0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0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0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hidden="1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ref="D38:D69" si="1">(E38+F38+L38+G38+H38+I38+J38+K38) &amp;M38</f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ref="D70:D101" si="2">(E70+F70+L70+G70+H70+I70+J70+K70) &amp;M70</f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2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2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si="2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ref="D102:D133" si="3">(E102+F102+L102+G102+H102+I102+J102+K102) &amp;M102</f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3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3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3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3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3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3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3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3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3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3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3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3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3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3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3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3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3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3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3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3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3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3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3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3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3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3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3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3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3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3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3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ref="D134:D165" si="4">(E134+F134+L134+G134+H134+I134+J134+K134) &amp;M134</f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4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4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si="4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4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4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4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4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4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4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4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4"/>
        <v>0</v>
      </c>
      <c r="E145" s="26"/>
      <c r="F145" s="26"/>
      <c r="G145" s="26"/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4"/>
        <v>0</v>
      </c>
      <c r="E146" s="26"/>
      <c r="F146" s="26"/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4"/>
        <v>0</v>
      </c>
    </row>
    <row r="148" spans="1:62" hidden="1" x14ac:dyDescent="0.25">
      <c r="D148" s="25" t="str">
        <f t="shared" si="4"/>
        <v>0</v>
      </c>
    </row>
    <row r="149" spans="1:62" hidden="1" x14ac:dyDescent="0.25">
      <c r="D149" s="25" t="str">
        <f t="shared" si="4"/>
        <v>0</v>
      </c>
    </row>
    <row r="150" spans="1:62" hidden="1" x14ac:dyDescent="0.25">
      <c r="D150" s="25" t="str">
        <f t="shared" si="4"/>
        <v>0</v>
      </c>
    </row>
    <row r="151" spans="1:62" hidden="1" x14ac:dyDescent="0.25">
      <c r="D151" s="25" t="str">
        <f t="shared" si="4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4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4"/>
        <v>0</v>
      </c>
    </row>
    <row r="154" spans="1:62" hidden="1" x14ac:dyDescent="0.25">
      <c r="D154" s="25" t="str">
        <f t="shared" si="4"/>
        <v>0</v>
      </c>
    </row>
    <row r="155" spans="1:62" hidden="1" x14ac:dyDescent="0.25">
      <c r="D155" s="25" t="str">
        <f t="shared" si="4"/>
        <v>0</v>
      </c>
    </row>
    <row r="156" spans="1:62" hidden="1" x14ac:dyDescent="0.25">
      <c r="D156" s="25" t="str">
        <f t="shared" si="4"/>
        <v>0</v>
      </c>
    </row>
    <row r="157" spans="1:62" hidden="1" x14ac:dyDescent="0.25">
      <c r="D157" s="25" t="str">
        <f t="shared" si="4"/>
        <v>0</v>
      </c>
    </row>
    <row r="158" spans="1:62" hidden="1" x14ac:dyDescent="0.25">
      <c r="D158" s="25" t="str">
        <f t="shared" si="4"/>
        <v>0</v>
      </c>
    </row>
    <row r="159" spans="1:62" hidden="1" x14ac:dyDescent="0.25">
      <c r="D159" s="25" t="str">
        <f t="shared" si="4"/>
        <v>0</v>
      </c>
    </row>
    <row r="160" spans="1:62" hidden="1" x14ac:dyDescent="0.25">
      <c r="D160" s="25" t="str">
        <f t="shared" si="4"/>
        <v>0</v>
      </c>
    </row>
    <row r="161" spans="4:4" hidden="1" x14ac:dyDescent="0.25">
      <c r="D161" s="25" t="str">
        <f t="shared" si="4"/>
        <v>0</v>
      </c>
    </row>
    <row r="162" spans="4:4" hidden="1" x14ac:dyDescent="0.25">
      <c r="D162" s="25" t="str">
        <f t="shared" si="4"/>
        <v>0</v>
      </c>
    </row>
    <row r="163" spans="4:4" hidden="1" x14ac:dyDescent="0.25">
      <c r="D163" s="25" t="str">
        <f t="shared" si="4"/>
        <v>0</v>
      </c>
    </row>
    <row r="164" spans="4:4" hidden="1" x14ac:dyDescent="0.25">
      <c r="D164" s="25" t="str">
        <f t="shared" si="4"/>
        <v>0</v>
      </c>
    </row>
    <row r="165" spans="4:4" hidden="1" x14ac:dyDescent="0.25">
      <c r="D165" s="25" t="str">
        <f t="shared" si="4"/>
        <v>0</v>
      </c>
    </row>
  </sheetData>
  <autoFilter ref="A5:M165">
    <filterColumn colId="3">
      <filters>
        <filter val="1"/>
        <filter val="1calib+cert"/>
        <filter val="1optie ( ligt nog bij de klant ? )"/>
        <filter val="1toestel is nog geldig , wat is advies van geert &amp; valerie in kader van hier een hercalibratie te doen ?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6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105475" r:id="rId7" name="CommandButton3">
          <controlPr autoLine="0" autoPict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5475" r:id="rId7" name="CommandButton3"/>
      </mc:Fallback>
    </mc:AlternateContent>
    <mc:AlternateContent xmlns:mc="http://schemas.openxmlformats.org/markup-compatibility/2006">
      <mc:Choice Requires="x14">
        <control shapeId="105474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105474" r:id="rId9" name="CommandButton2"/>
      </mc:Fallback>
    </mc:AlternateContent>
    <mc:AlternateContent xmlns:mc="http://schemas.openxmlformats.org/markup-compatibility/2006">
      <mc:Choice Requires="x14">
        <control shapeId="105473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105473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 filterMode="1">
    <tabColor rgb="FFFFC000"/>
  </sheetPr>
  <dimension ref="A1:BK167"/>
  <sheetViews>
    <sheetView zoomScale="87" zoomScaleNormal="87" workbookViewId="0">
      <selection activeCell="D1" sqref="D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.140625" style="21" bestFit="1" customWidth="1"/>
    <col min="6" max="6" width="6.140625" style="20" bestFit="1" customWidth="1"/>
    <col min="7" max="7" width="6.85546875" style="32" bestFit="1" customWidth="1"/>
    <col min="8" max="11" width="6" style="32" bestFit="1" customWidth="1"/>
    <col min="12" max="13" width="6" style="22" bestFit="1" customWidth="1"/>
    <col min="21" max="22" width="9.28515625" bestFit="1" customWidth="1"/>
    <col min="32" max="33" width="9.28515625" bestFit="1" customWidth="1"/>
    <col min="38" max="39" width="12" bestFit="1" customWidth="1"/>
    <col min="42" max="43" width="9.28515625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100.5" x14ac:dyDescent="0.25">
      <c r="C4" s="40">
        <v>43592</v>
      </c>
      <c r="E4" s="39" t="s">
        <v>504</v>
      </c>
      <c r="F4" s="39" t="s">
        <v>505</v>
      </c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rgo190015</v>
      </c>
      <c r="D5" s="57" t="s">
        <v>382</v>
      </c>
      <c r="E5" s="37" t="s">
        <v>506</v>
      </c>
      <c r="F5" s="37" t="s">
        <v>507</v>
      </c>
      <c r="G5" s="37">
        <v>1156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>(E6+F6+L6+G6+H6+I6+J6+K6) &amp;M6</f>
        <v>30</v>
      </c>
      <c r="E6" s="53"/>
      <c r="F6" s="53">
        <v>30</v>
      </c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ref="D7" si="0">(E7+F7+L7+G7+H7+I7+J7+K7) &amp;M7</f>
        <v>1calib+cert</v>
      </c>
      <c r="E7" s="53"/>
      <c r="F7" s="53"/>
      <c r="G7" s="53">
        <v>1</v>
      </c>
      <c r="H7" s="53"/>
      <c r="I7" s="53"/>
      <c r="J7" s="53"/>
      <c r="K7" s="53"/>
      <c r="L7" s="43"/>
      <c r="M7" s="43" t="s">
        <v>536</v>
      </c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>(E8+F8+L8+G8+H8+I8+J8+K8) &amp;M8</f>
        <v>1calib+cert</v>
      </c>
      <c r="E8" s="53"/>
      <c r="F8" s="53">
        <v>1</v>
      </c>
      <c r="G8" s="53"/>
      <c r="H8" s="53"/>
      <c r="I8" s="53"/>
      <c r="J8" s="53"/>
      <c r="K8" s="53"/>
      <c r="L8" s="43"/>
      <c r="M8" s="43" t="s">
        <v>536</v>
      </c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ref="D9:D72" si="1">(E9+F9+L9+G9+H9+I9+J9+K9) &amp;M9</f>
        <v>1calib forfait</v>
      </c>
      <c r="E9" s="26">
        <v>1</v>
      </c>
      <c r="F9" s="26"/>
      <c r="G9" s="26"/>
      <c r="H9" s="26"/>
      <c r="I9" s="26"/>
      <c r="J9" s="26"/>
      <c r="K9" s="26"/>
      <c r="L9" s="27"/>
      <c r="M9" s="27" t="s">
        <v>537</v>
      </c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1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1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1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1"/>
        <v>1</v>
      </c>
      <c r="E13" s="27">
        <v>1</v>
      </c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1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1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1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1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1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1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1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1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1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1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1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1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1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1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1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1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1"/>
        <v>2</v>
      </c>
      <c r="E30" s="27">
        <v>2</v>
      </c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1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1"/>
        <v>1aanraag v klant</v>
      </c>
      <c r="E32" s="27">
        <v>1</v>
      </c>
      <c r="F32" s="27"/>
      <c r="G32" s="27"/>
      <c r="H32" s="27"/>
      <c r="I32" s="27"/>
      <c r="J32" s="27"/>
      <c r="K32" s="27"/>
      <c r="L32" s="27"/>
      <c r="M32" s="27" t="s">
        <v>539</v>
      </c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1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1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1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1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1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si="1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si="1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1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ref="D73:D136" si="2">(E73+F73+L73+G73+H73+I73+J73+K73) &amp;M73</f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si="2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2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2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2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2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2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2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2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2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2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2"/>
        <v>0kabel ligt nog bij klant</v>
      </c>
      <c r="E112" s="27">
        <v>0</v>
      </c>
      <c r="F112" s="27"/>
      <c r="G112" s="27"/>
      <c r="H112" s="27"/>
      <c r="I112" s="27"/>
      <c r="J112" s="27"/>
      <c r="K112" s="27"/>
      <c r="L112" s="27"/>
      <c r="M112" s="27" t="s">
        <v>538</v>
      </c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2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2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2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2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2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2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2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2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2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2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2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2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2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2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2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2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2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2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2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2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2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si="2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2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ref="D137:D167" si="3">(E137+F137+L137+G137+H137+I137+J137+K137) &amp;M137</f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3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3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3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3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3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3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3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3"/>
        <v>2</v>
      </c>
      <c r="E145" s="26"/>
      <c r="F145" s="26"/>
      <c r="G145" s="26">
        <v>2</v>
      </c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3"/>
        <v>1</v>
      </c>
      <c r="E146" s="26"/>
      <c r="F146" s="26">
        <v>1</v>
      </c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3"/>
        <v>0</v>
      </c>
    </row>
    <row r="148" spans="1:62" hidden="1" x14ac:dyDescent="0.25">
      <c r="D148" s="25" t="str">
        <f t="shared" si="3"/>
        <v>0</v>
      </c>
    </row>
    <row r="149" spans="1:62" hidden="1" x14ac:dyDescent="0.25">
      <c r="D149" s="25" t="str">
        <f t="shared" si="3"/>
        <v>0</v>
      </c>
    </row>
    <row r="150" spans="1:62" hidden="1" x14ac:dyDescent="0.25">
      <c r="D150" s="25" t="str">
        <f t="shared" si="3"/>
        <v>0</v>
      </c>
    </row>
    <row r="151" spans="1:62" hidden="1" x14ac:dyDescent="0.25">
      <c r="D151" s="25" t="str">
        <f t="shared" si="3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3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3"/>
        <v>0</v>
      </c>
    </row>
    <row r="154" spans="1:62" hidden="1" x14ac:dyDescent="0.25">
      <c r="D154" s="25" t="str">
        <f t="shared" si="3"/>
        <v>0</v>
      </c>
    </row>
    <row r="155" spans="1:62" hidden="1" x14ac:dyDescent="0.25">
      <c r="D155" s="25" t="str">
        <f t="shared" si="3"/>
        <v>0</v>
      </c>
    </row>
    <row r="156" spans="1:62" hidden="1" x14ac:dyDescent="0.25">
      <c r="D156" s="25" t="str">
        <f t="shared" si="3"/>
        <v>0</v>
      </c>
    </row>
    <row r="157" spans="1:62" hidden="1" x14ac:dyDescent="0.25">
      <c r="D157" s="25" t="str">
        <f t="shared" si="3"/>
        <v>0</v>
      </c>
    </row>
    <row r="158" spans="1:62" hidden="1" x14ac:dyDescent="0.25">
      <c r="D158" s="25" t="str">
        <f t="shared" si="3"/>
        <v>0</v>
      </c>
    </row>
    <row r="159" spans="1:62" hidden="1" x14ac:dyDescent="0.25">
      <c r="D159" s="25" t="str">
        <f t="shared" si="3"/>
        <v>0</v>
      </c>
    </row>
    <row r="160" spans="1:62" hidden="1" x14ac:dyDescent="0.25">
      <c r="D160" s="25" t="str">
        <f t="shared" si="3"/>
        <v>0</v>
      </c>
    </row>
    <row r="161" spans="2:13" hidden="1" x14ac:dyDescent="0.25">
      <c r="D161" s="25" t="str">
        <f t="shared" si="3"/>
        <v>0</v>
      </c>
    </row>
    <row r="162" spans="2:13" hidden="1" x14ac:dyDescent="0.25">
      <c r="D162" s="25" t="str">
        <f t="shared" si="3"/>
        <v>0</v>
      </c>
    </row>
    <row r="163" spans="2:13" hidden="1" x14ac:dyDescent="0.25">
      <c r="D163" s="25" t="str">
        <f t="shared" si="3"/>
        <v>0</v>
      </c>
    </row>
    <row r="164" spans="2:13" hidden="1" x14ac:dyDescent="0.25">
      <c r="D164" s="25" t="str">
        <f t="shared" si="3"/>
        <v>0</v>
      </c>
    </row>
    <row r="165" spans="2:13" hidden="1" x14ac:dyDescent="0.25">
      <c r="D165" s="25" t="str">
        <f t="shared" si="3"/>
        <v>0</v>
      </c>
    </row>
    <row r="166" spans="2:13" x14ac:dyDescent="0.25">
      <c r="B166" s="7" t="s">
        <v>541</v>
      </c>
      <c r="C166" s="7" t="s">
        <v>542</v>
      </c>
      <c r="D166" s="26" t="str">
        <f t="shared" si="3"/>
        <v>1laser635nm</v>
      </c>
      <c r="G166" s="32">
        <v>1</v>
      </c>
      <c r="M166" s="22" t="s">
        <v>540</v>
      </c>
    </row>
    <row r="167" spans="2:13" x14ac:dyDescent="0.25">
      <c r="D167" s="26" t="str">
        <f t="shared" si="3"/>
        <v>1statief ?</v>
      </c>
      <c r="G167" s="32">
        <v>1</v>
      </c>
      <c r="M167" s="22" t="s">
        <v>543</v>
      </c>
    </row>
  </sheetData>
  <autoFilter ref="A5:M165">
    <filterColumn colId="3">
      <filters>
        <filter val="0kabel ligt nog bij klant"/>
        <filter val="1"/>
        <filter val="1aanraag v klant"/>
        <filter val="1calib forfait"/>
        <filter val="1calib+cert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5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8806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88067" r:id="rId7" name="CommandButton3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5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 filterMode="1">
    <tabColor rgb="FFFFC000"/>
    <pageSetUpPr fitToPage="1"/>
  </sheetPr>
  <dimension ref="A1:BJ165"/>
  <sheetViews>
    <sheetView topLeftCell="D1" zoomScale="95" zoomScaleNormal="95" workbookViewId="0">
      <selection activeCell="E5" sqref="E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 x14ac:dyDescent="0.2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hidden="1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3</v>
      </c>
      <c r="E28" s="27">
        <v>1</v>
      </c>
      <c r="F28" s="27">
        <v>1</v>
      </c>
      <c r="G28" s="27">
        <v>1</v>
      </c>
      <c r="H28" s="27"/>
      <c r="I28" s="27"/>
      <c r="J28" s="27"/>
      <c r="K28" s="27"/>
      <c r="L28" s="27"/>
      <c r="M28" s="27"/>
    </row>
    <row r="29" spans="1:13" ht="18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6</v>
      </c>
      <c r="E29" s="27">
        <v>3</v>
      </c>
      <c r="F29" s="27">
        <v>3</v>
      </c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1</v>
      </c>
      <c r="E139" s="27"/>
      <c r="F139" s="27"/>
      <c r="G139" s="27"/>
      <c r="H139" s="27">
        <v>1</v>
      </c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1</v>
      </c>
      <c r="E142" s="26"/>
      <c r="F142" s="26">
        <v>1</v>
      </c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>
        <v>1</v>
      </c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49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 t="s">
        <v>500</v>
      </c>
      <c r="F165" s="26" t="s">
        <v>501</v>
      </c>
      <c r="G165" s="26" t="s">
        <v>502</v>
      </c>
      <c r="H165" s="26" t="s">
        <v>503</v>
      </c>
      <c r="I165" s="26"/>
      <c r="J165" s="26"/>
      <c r="K165" s="26"/>
      <c r="L165" s="27"/>
      <c r="M165" s="27"/>
    </row>
  </sheetData>
  <autoFilter ref="A5:M164">
    <filterColumn colId="3">
      <filters>
        <filter val="1"/>
        <filter val="2"/>
        <filter val="3"/>
        <filter val="6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4" orientation="landscape" r:id="rId4"/>
  <drawing r:id="rId5"/>
  <legacyDrawing r:id="rId6"/>
  <controls>
    <mc:AlternateContent xmlns:mc="http://schemas.openxmlformats.org/markup-compatibility/2006">
      <mc:Choice Requires="x14">
        <control shapeId="73729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7" name="CommandButton1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3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73731" r:id="rId11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N1" sqref="N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 x14ac:dyDescent="0.2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7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7" name="CommandButton1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11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7" name="CommandButton1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7" r:id="rId11" name="CommandButton3">
          <controlPr autoLine="0" r:id="rId12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11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activeCell="D179" sqref="D17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autoPict="0" r:id="rId12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activeCell="C143" sqref="C143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19</vt:i4>
      </vt:variant>
    </vt:vector>
  </HeadingPairs>
  <TitlesOfParts>
    <vt:vector size="19" baseType="lpstr">
      <vt:lpstr>batch48</vt:lpstr>
      <vt:lpstr>rgo190016</vt:lpstr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2019-06-06T09:58:19Z</cp:lastPrinted>
  <dcterms:created xsi:type="dcterms:W3CDTF">2018-12-18T07:43:50Z</dcterms:created>
  <dcterms:modified xsi:type="dcterms:W3CDTF">2019-06-06T12:00:21Z</dcterms:modified>
</cp:coreProperties>
</file>