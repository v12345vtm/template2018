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9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10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1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2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drawings/drawing13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4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5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16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1100" tabRatio="879" activeTab="1"/>
  </bookViews>
  <sheets>
    <sheet name="rgo190016" sheetId="23" r:id="rId1"/>
    <sheet name="rgo190015" sheetId="22" r:id="rId2"/>
    <sheet name="batch47" sheetId="21" r:id="rId3"/>
    <sheet name="batch46" sheetId="20" r:id="rId4"/>
    <sheet name="mst (template)save-as (6)" sheetId="19" r:id="rId5"/>
    <sheet name="rgo190011" sheetId="17" r:id="rId6"/>
    <sheet name="rgo190010" sheetId="16" r:id="rId7"/>
    <sheet name="RGO190009 a-s.be kris buyl." sheetId="12" r:id="rId8"/>
    <sheet name="rgo180032" sheetId="3" r:id="rId9"/>
    <sheet name="batch43" sheetId="5" r:id="rId10"/>
    <sheet name="rgo190003" sheetId="6" r:id="rId11"/>
    <sheet name="rgo180008-batch3" sheetId="7" r:id="rId12"/>
    <sheet name="batch44" sheetId="8" r:id="rId13"/>
    <sheet name="RGO190005 batchv5" sheetId="10" r:id="rId14"/>
    <sheet name="batch45" sheetId="11" r:id="rId15"/>
    <sheet name="rgo190006" sheetId="13" r:id="rId16"/>
    <sheet name="rgo190007" sheetId="4" r:id="rId17"/>
    <sheet name="rgo190008" sheetId="14" r:id="rId18"/>
  </sheets>
  <functionGroups builtInGroupCount="18"/>
  <definedNames>
    <definedName name="_xlnm._FilterDatabase" localSheetId="12" hidden="1">batch44!$A$1:$D$134</definedName>
    <definedName name="_xlnm._FilterDatabase" localSheetId="14" hidden="1">batch45!$A$1:$D$134</definedName>
    <definedName name="_xlnm._FilterDatabase" localSheetId="3" hidden="1">batch46!$A$5:$M$164</definedName>
    <definedName name="_xlnm._FilterDatabase" localSheetId="2" hidden="1">batch47!$A$5:$M$164</definedName>
    <definedName name="_xlnm._FilterDatabase" localSheetId="4" hidden="1">'mst (template)save-as (6)'!$A$1:$D$1</definedName>
    <definedName name="_xlnm._FilterDatabase" localSheetId="11" hidden="1">'rgo180008-batch3'!$A$1:$D$135</definedName>
    <definedName name="_xlnm._FilterDatabase" localSheetId="10" hidden="1">'rgo190003'!$A$1:$D$131</definedName>
    <definedName name="_xlnm._FilterDatabase" localSheetId="13" hidden="1">'RGO190005 batchv5'!$A$1:$D$134</definedName>
    <definedName name="_xlnm._FilterDatabase" localSheetId="15" hidden="1">'rgo190006'!$A$1:$D$134</definedName>
    <definedName name="_xlnm._FilterDatabase" localSheetId="16" hidden="1">'rgo190007'!$A$1:$D$134</definedName>
    <definedName name="_xlnm._FilterDatabase" localSheetId="17" hidden="1">'rgo190008'!$A$1:$D$134</definedName>
    <definedName name="_xlnm._FilterDatabase" localSheetId="7" hidden="1">'RGO190009 a-s.be kris buyl.'!$A$1:$D$134</definedName>
    <definedName name="_xlnm._FilterDatabase" localSheetId="6" hidden="1">'rgo190010'!$A$1:$D$134</definedName>
    <definedName name="_xlnm._FilterDatabase" localSheetId="5" hidden="1">'rgo190011'!$A$5:$H$164</definedName>
    <definedName name="_xlnm._FilterDatabase" localSheetId="1" hidden="1">'rgo190015'!$A$5:$M$165</definedName>
    <definedName name="_xlnm._FilterDatabase" localSheetId="0" hidden="1">'rgo190016'!$A$5:$M$165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7" i="22" l="1"/>
  <c r="D166" i="22" l="1"/>
  <c r="D165" i="23" l="1"/>
  <c r="D164" i="23"/>
  <c r="D163" i="23"/>
  <c r="D162" i="23"/>
  <c r="D161" i="23"/>
  <c r="D160" i="23"/>
  <c r="D159" i="23"/>
  <c r="D158" i="23"/>
  <c r="D157" i="23"/>
  <c r="D156" i="23"/>
  <c r="D155" i="23"/>
  <c r="D154" i="23"/>
  <c r="D153" i="23"/>
  <c r="AQ152" i="23"/>
  <c r="T152" i="23"/>
  <c r="D152" i="23"/>
  <c r="D151" i="23"/>
  <c r="D150" i="23"/>
  <c r="D149" i="23"/>
  <c r="D148" i="23"/>
  <c r="D147" i="23"/>
  <c r="AR146" i="23"/>
  <c r="D146" i="23"/>
  <c r="AR145" i="23"/>
  <c r="U145" i="23"/>
  <c r="D145" i="23"/>
  <c r="D144" i="23"/>
  <c r="D143" i="23"/>
  <c r="D142" i="23"/>
  <c r="D141" i="23"/>
  <c r="D140" i="23"/>
  <c r="D139" i="23"/>
  <c r="D138" i="23"/>
  <c r="D137" i="23"/>
  <c r="D136" i="23"/>
  <c r="D135" i="23"/>
  <c r="D134" i="23"/>
  <c r="D133" i="23"/>
  <c r="D132" i="23"/>
  <c r="D131" i="23"/>
  <c r="D130" i="23"/>
  <c r="D129" i="23"/>
  <c r="D128" i="23"/>
  <c r="D127" i="23"/>
  <c r="D126" i="23"/>
  <c r="D125" i="23"/>
  <c r="D124" i="23"/>
  <c r="D123" i="23"/>
  <c r="D122" i="23"/>
  <c r="D121" i="23"/>
  <c r="D120" i="23"/>
  <c r="D119" i="23"/>
  <c r="D118" i="23"/>
  <c r="D117" i="23"/>
  <c r="D116" i="23"/>
  <c r="D115" i="23"/>
  <c r="D114" i="23"/>
  <c r="D113" i="23"/>
  <c r="D112" i="23"/>
  <c r="D111" i="23"/>
  <c r="D110" i="23"/>
  <c r="D109" i="23"/>
  <c r="D108" i="23"/>
  <c r="D107" i="23"/>
  <c r="D106" i="23"/>
  <c r="D105" i="23"/>
  <c r="D104" i="23"/>
  <c r="D103" i="23"/>
  <c r="D102" i="23"/>
  <c r="D101" i="23"/>
  <c r="D100" i="23"/>
  <c r="D99" i="23"/>
  <c r="D98" i="23"/>
  <c r="D97" i="23"/>
  <c r="D96" i="23"/>
  <c r="D95" i="23"/>
  <c r="D94" i="23"/>
  <c r="D93" i="23"/>
  <c r="D92" i="23"/>
  <c r="D91" i="23"/>
  <c r="D90" i="23"/>
  <c r="D89" i="23"/>
  <c r="D88" i="23"/>
  <c r="D87" i="23"/>
  <c r="D86" i="23"/>
  <c r="D85" i="23"/>
  <c r="D84" i="23"/>
  <c r="D83" i="23"/>
  <c r="D82" i="23"/>
  <c r="D81" i="23"/>
  <c r="D80" i="23"/>
  <c r="D79" i="23"/>
  <c r="D78" i="23"/>
  <c r="D77" i="23"/>
  <c r="D76" i="23"/>
  <c r="D75" i="23"/>
  <c r="D74" i="23"/>
  <c r="D73" i="23"/>
  <c r="D72" i="23"/>
  <c r="D71" i="23"/>
  <c r="D70" i="23"/>
  <c r="D69" i="23"/>
  <c r="D68" i="23"/>
  <c r="D67" i="23"/>
  <c r="D66" i="23"/>
  <c r="D65" i="23"/>
  <c r="D64" i="23"/>
  <c r="D63" i="23"/>
  <c r="D62" i="23"/>
  <c r="D61" i="23"/>
  <c r="D60" i="23"/>
  <c r="D59" i="23"/>
  <c r="D58" i="23"/>
  <c r="D57" i="23"/>
  <c r="D56" i="23"/>
  <c r="D55" i="23"/>
  <c r="D54" i="23"/>
  <c r="D53" i="23"/>
  <c r="D52" i="23"/>
  <c r="D5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AR21" i="23"/>
  <c r="U21" i="23"/>
  <c r="D21" i="23"/>
  <c r="D20" i="23"/>
  <c r="D19" i="23"/>
  <c r="D18" i="23"/>
  <c r="D17" i="23"/>
  <c r="D16" i="23"/>
  <c r="AR15" i="23"/>
  <c r="D15" i="23"/>
  <c r="AR14" i="23"/>
  <c r="U14" i="23"/>
  <c r="D14" i="23"/>
  <c r="D13" i="23"/>
  <c r="D12" i="23"/>
  <c r="D11" i="23"/>
  <c r="D10" i="23"/>
  <c r="D9" i="23"/>
  <c r="D8" i="23"/>
  <c r="D7" i="23"/>
  <c r="D6" i="23"/>
  <c r="C5" i="23"/>
  <c r="D8" i="22" l="1"/>
  <c r="D7" i="22"/>
  <c r="D146" i="22"/>
  <c r="D147" i="22"/>
  <c r="D148" i="22"/>
  <c r="D149" i="22"/>
  <c r="D150" i="22"/>
  <c r="D151" i="22"/>
  <c r="D152" i="22"/>
  <c r="D153" i="22"/>
  <c r="D154" i="22"/>
  <c r="D155" i="22"/>
  <c r="D156" i="22"/>
  <c r="D157" i="22"/>
  <c r="D158" i="22"/>
  <c r="D159" i="22"/>
  <c r="D160" i="22"/>
  <c r="D161" i="22"/>
  <c r="D162" i="22"/>
  <c r="D163" i="22"/>
  <c r="D164" i="22"/>
  <c r="D165" i="22"/>
  <c r="T152" i="22"/>
  <c r="AQ152" i="22"/>
  <c r="U21" i="22"/>
  <c r="AR21" i="22"/>
  <c r="D145" i="22"/>
  <c r="D144" i="22"/>
  <c r="U145" i="22"/>
  <c r="AR145" i="22"/>
  <c r="AR146" i="22"/>
  <c r="U14" i="22"/>
  <c r="AR14" i="22"/>
  <c r="AR15" i="22"/>
  <c r="T157" i="21" l="1"/>
  <c r="AQ157" i="21"/>
  <c r="C5" i="22" l="1"/>
  <c r="C5" i="21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6" i="22"/>
  <c r="D7" i="21" l="1"/>
  <c r="D8" i="21"/>
  <c r="D9" i="21"/>
  <c r="D10" i="21"/>
  <c r="D11" i="21"/>
  <c r="D12" i="21"/>
  <c r="D13" i="21"/>
  <c r="D14" i="21"/>
  <c r="D15" i="21"/>
  <c r="D16" i="21"/>
  <c r="D17" i="21"/>
  <c r="D18" i="21"/>
  <c r="D19" i="21"/>
  <c r="D20" i="21"/>
  <c r="D21" i="21"/>
  <c r="D22" i="21"/>
  <c r="D23" i="21"/>
  <c r="D24" i="21"/>
  <c r="D25" i="21"/>
  <c r="D26" i="21"/>
  <c r="D27" i="21"/>
  <c r="D28" i="21"/>
  <c r="D29" i="21"/>
  <c r="D30" i="21"/>
  <c r="D31" i="21"/>
  <c r="D32" i="21"/>
  <c r="D33" i="21"/>
  <c r="D34" i="21"/>
  <c r="D35" i="21"/>
  <c r="D36" i="21"/>
  <c r="D37" i="21"/>
  <c r="D38" i="21"/>
  <c r="D39" i="21"/>
  <c r="D40" i="21"/>
  <c r="D41" i="21"/>
  <c r="D42" i="21"/>
  <c r="D43" i="21"/>
  <c r="D44" i="21"/>
  <c r="D45" i="21"/>
  <c r="D46" i="21"/>
  <c r="D47" i="21"/>
  <c r="D48" i="21"/>
  <c r="D49" i="21"/>
  <c r="D50" i="21"/>
  <c r="D51" i="21"/>
  <c r="D52" i="21"/>
  <c r="D53" i="21"/>
  <c r="D54" i="21"/>
  <c r="D55" i="21"/>
  <c r="D56" i="21"/>
  <c r="D57" i="21"/>
  <c r="D58" i="21"/>
  <c r="D59" i="21"/>
  <c r="D60" i="21"/>
  <c r="D61" i="21"/>
  <c r="D62" i="21"/>
  <c r="D63" i="21"/>
  <c r="D64" i="21"/>
  <c r="D65" i="21"/>
  <c r="D66" i="21"/>
  <c r="D67" i="21"/>
  <c r="D68" i="21"/>
  <c r="D69" i="21"/>
  <c r="D70" i="21"/>
  <c r="D71" i="21"/>
  <c r="D72" i="21"/>
  <c r="D73" i="21"/>
  <c r="D74" i="21"/>
  <c r="D75" i="21"/>
  <c r="D76" i="21"/>
  <c r="D77" i="21"/>
  <c r="D78" i="21"/>
  <c r="D79" i="21"/>
  <c r="D80" i="21"/>
  <c r="D81" i="21"/>
  <c r="D82" i="21"/>
  <c r="D83" i="21"/>
  <c r="D84" i="21"/>
  <c r="D85" i="21"/>
  <c r="D86" i="21"/>
  <c r="D87" i="21"/>
  <c r="D88" i="21"/>
  <c r="D89" i="21"/>
  <c r="D90" i="21"/>
  <c r="D91" i="21"/>
  <c r="D92" i="21"/>
  <c r="D93" i="21"/>
  <c r="D94" i="21"/>
  <c r="D95" i="21"/>
  <c r="D96" i="21"/>
  <c r="D97" i="21"/>
  <c r="D98" i="21"/>
  <c r="D99" i="21"/>
  <c r="D100" i="21"/>
  <c r="D101" i="21"/>
  <c r="D102" i="21"/>
  <c r="D103" i="21"/>
  <c r="D104" i="21"/>
  <c r="D105" i="21"/>
  <c r="D106" i="21"/>
  <c r="D107" i="21"/>
  <c r="D108" i="21"/>
  <c r="D109" i="21"/>
  <c r="D110" i="21"/>
  <c r="D111" i="21"/>
  <c r="D112" i="21"/>
  <c r="D113" i="21"/>
  <c r="D114" i="21"/>
  <c r="D115" i="21"/>
  <c r="D116" i="21"/>
  <c r="D117" i="21"/>
  <c r="D118" i="21"/>
  <c r="D119" i="21"/>
  <c r="D120" i="21"/>
  <c r="D121" i="21"/>
  <c r="D122" i="21"/>
  <c r="D123" i="21"/>
  <c r="D124" i="21"/>
  <c r="D125" i="21"/>
  <c r="D126" i="21"/>
  <c r="D127" i="21"/>
  <c r="D128" i="21"/>
  <c r="D129" i="21"/>
  <c r="D130" i="21"/>
  <c r="D131" i="21"/>
  <c r="D132" i="21"/>
  <c r="D133" i="21"/>
  <c r="D134" i="21"/>
  <c r="D135" i="21"/>
  <c r="D136" i="21"/>
  <c r="D137" i="21"/>
  <c r="D138" i="21"/>
  <c r="D139" i="21"/>
  <c r="D140" i="21"/>
  <c r="D141" i="21"/>
  <c r="D142" i="21"/>
  <c r="D143" i="21"/>
  <c r="D144" i="21"/>
  <c r="D145" i="21"/>
  <c r="D146" i="21"/>
  <c r="D147" i="21"/>
  <c r="D148" i="21"/>
  <c r="D149" i="21"/>
  <c r="D150" i="21"/>
  <c r="D151" i="21"/>
  <c r="D152" i="21"/>
  <c r="D153" i="21"/>
  <c r="D154" i="21"/>
  <c r="D155" i="21"/>
  <c r="D156" i="21"/>
  <c r="D157" i="21"/>
  <c r="D158" i="21"/>
  <c r="D159" i="21"/>
  <c r="D160" i="21"/>
  <c r="D161" i="21"/>
  <c r="D162" i="21"/>
  <c r="D163" i="21"/>
  <c r="D164" i="21"/>
  <c r="D6" i="21"/>
  <c r="D7" i="20" l="1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6" i="20"/>
  <c r="C5" i="20" l="1"/>
  <c r="C1" i="19"/>
  <c r="D31" i="17" l="1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D55" i="17"/>
  <c r="D56" i="17"/>
  <c r="D57" i="17"/>
  <c r="D58" i="17"/>
  <c r="D59" i="17"/>
  <c r="D60" i="17"/>
  <c r="D61" i="17"/>
  <c r="D62" i="17"/>
  <c r="D63" i="17"/>
  <c r="D64" i="17"/>
  <c r="D65" i="17"/>
  <c r="D66" i="17"/>
  <c r="D67" i="17"/>
  <c r="D68" i="17"/>
  <c r="D69" i="17"/>
  <c r="D70" i="17"/>
  <c r="D71" i="17"/>
  <c r="D72" i="17"/>
  <c r="D73" i="17"/>
  <c r="D74" i="17"/>
  <c r="D75" i="17"/>
  <c r="D76" i="17"/>
  <c r="D77" i="17"/>
  <c r="D78" i="17"/>
  <c r="D79" i="17"/>
  <c r="D80" i="17"/>
  <c r="D81" i="17"/>
  <c r="D82" i="17"/>
  <c r="D83" i="17"/>
  <c r="D84" i="17"/>
  <c r="D85" i="17"/>
  <c r="D86" i="17"/>
  <c r="D87" i="17"/>
  <c r="D88" i="17"/>
  <c r="D89" i="17"/>
  <c r="D90" i="17"/>
  <c r="D91" i="17"/>
  <c r="D92" i="17"/>
  <c r="D93" i="17"/>
  <c r="D94" i="17"/>
  <c r="D95" i="17"/>
  <c r="D96" i="17"/>
  <c r="D97" i="17"/>
  <c r="D98" i="17"/>
  <c r="D99" i="17"/>
  <c r="D100" i="17"/>
  <c r="D101" i="17"/>
  <c r="D102" i="17"/>
  <c r="D103" i="17"/>
  <c r="D104" i="17"/>
  <c r="D105" i="17"/>
  <c r="D106" i="17"/>
  <c r="D107" i="17"/>
  <c r="D108" i="17"/>
  <c r="D109" i="17"/>
  <c r="D110" i="17"/>
  <c r="D111" i="17"/>
  <c r="D112" i="17"/>
  <c r="D113" i="17"/>
  <c r="D114" i="17"/>
  <c r="D115" i="17"/>
  <c r="D116" i="17"/>
  <c r="D117" i="17"/>
  <c r="D118" i="17"/>
  <c r="D119" i="17"/>
  <c r="D120" i="17"/>
  <c r="D121" i="17"/>
  <c r="D122" i="17"/>
  <c r="D123" i="17"/>
  <c r="D124" i="17"/>
  <c r="D125" i="17"/>
  <c r="D126" i="17"/>
  <c r="D127" i="17"/>
  <c r="D128" i="17"/>
  <c r="D129" i="17"/>
  <c r="D130" i="17"/>
  <c r="D131" i="17"/>
  <c r="D132" i="17"/>
  <c r="D133" i="17"/>
  <c r="D134" i="17"/>
  <c r="D135" i="17"/>
  <c r="D136" i="17"/>
  <c r="D137" i="17"/>
  <c r="D138" i="17"/>
  <c r="D139" i="17"/>
  <c r="D140" i="17"/>
  <c r="D141" i="17"/>
  <c r="D142" i="17"/>
  <c r="D143" i="17"/>
  <c r="D144" i="17"/>
  <c r="D145" i="17"/>
  <c r="D146" i="17"/>
  <c r="D147" i="17"/>
  <c r="D148" i="17"/>
  <c r="D149" i="17"/>
  <c r="D150" i="17"/>
  <c r="D151" i="17"/>
  <c r="D152" i="17"/>
  <c r="D153" i="17"/>
  <c r="D154" i="17"/>
  <c r="D155" i="17"/>
  <c r="D156" i="17"/>
  <c r="D157" i="17"/>
  <c r="D158" i="17"/>
  <c r="D159" i="17"/>
  <c r="D160" i="17"/>
  <c r="D161" i="17"/>
  <c r="D162" i="17"/>
  <c r="D163" i="17"/>
  <c r="D164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6" i="17"/>
  <c r="C1" i="13" l="1"/>
  <c r="C5" i="17" l="1"/>
  <c r="C1" i="16"/>
  <c r="C1" i="14" l="1"/>
</calcChain>
</file>

<file path=xl/sharedStrings.xml><?xml version="1.0" encoding="utf-8"?>
<sst xmlns="http://schemas.openxmlformats.org/spreadsheetml/2006/main" count="7602" uniqueCount="544">
  <si>
    <t>DIVMA</t>
  </si>
  <si>
    <t>020536_00MST</t>
  </si>
  <si>
    <t>Venster LCD display MST Goca</t>
  </si>
  <si>
    <t>DNBOU</t>
  </si>
  <si>
    <t>DRFR</t>
  </si>
  <si>
    <t>030084_00MST</t>
  </si>
  <si>
    <t>Deksel behuizing speedoscope MST</t>
  </si>
  <si>
    <t>ELEM</t>
  </si>
  <si>
    <t>HAND-ELESA-M.443/140-8-CH</t>
  </si>
  <si>
    <t>HF</t>
  </si>
  <si>
    <t>020504_00MST</t>
  </si>
  <si>
    <t>Knop module ON/C MST Goca</t>
  </si>
  <si>
    <t>020505_00MST</t>
  </si>
  <si>
    <t>Knop module select MST Goca</t>
  </si>
  <si>
    <t>STICK</t>
  </si>
  <si>
    <t>050907_00MST</t>
  </si>
  <si>
    <t>Sticker speedoscope MST</t>
  </si>
  <si>
    <t>060050_00MST</t>
  </si>
  <si>
    <t>Sticker on/select speedoscope MST</t>
  </si>
  <si>
    <t>020558_00MST</t>
  </si>
  <si>
    <t>Externe kabelset module MST</t>
  </si>
  <si>
    <t>020637_00MST</t>
  </si>
  <si>
    <t>Koffer MST Goca</t>
  </si>
  <si>
    <t>030093_00MST</t>
  </si>
  <si>
    <t>Main unit speedoscope MST</t>
  </si>
  <si>
    <t>020511_00MST</t>
  </si>
  <si>
    <t>Transformator en laadkabel MST</t>
  </si>
  <si>
    <t>HFKAB</t>
  </si>
  <si>
    <t>020512_00MST</t>
  </si>
  <si>
    <t>Kabel remote fotocel mod 3 MST</t>
  </si>
  <si>
    <t>CONRO</t>
  </si>
  <si>
    <t>M12-04P-R-V</t>
  </si>
  <si>
    <t>Ronde connector M12 04P recht Vrl.</t>
  </si>
  <si>
    <t>KABAS</t>
  </si>
  <si>
    <t>NET-01,8-MV10A</t>
  </si>
  <si>
    <t>Net-kabel 01,8m M/V 10A</t>
  </si>
  <si>
    <t>VOED</t>
  </si>
  <si>
    <t>NET-230    V-024VDC-50W  -UK</t>
  </si>
  <si>
    <t>Netadaptor in : 230V uit : 024 VDC 50W -UK</t>
  </si>
  <si>
    <t>M12-05P-R-M</t>
  </si>
  <si>
    <t>Ronde connector M12 05P recht Mnl.</t>
  </si>
  <si>
    <t>KABFX</t>
  </si>
  <si>
    <t>05P-0,25-J06.7-SUPERFLEX</t>
  </si>
  <si>
    <t>Soepele kabel 05P sectie : 0,25 afgeschermd 6,7 mm -SUPERFLEX</t>
  </si>
  <si>
    <t>KOF</t>
  </si>
  <si>
    <t>075X045X020CM</t>
  </si>
  <si>
    <t>Koffer lichtgrau 750x450x200 mm</t>
  </si>
  <si>
    <t>AFBUS</t>
  </si>
  <si>
    <t>NY-D-03,0X06,0</t>
  </si>
  <si>
    <t>Afstandsbus nylon D 3 x 6 mm</t>
  </si>
  <si>
    <t>NY-D-03,2X02,1-AR</t>
  </si>
  <si>
    <t>Afstandsbus nylon D 3.2 x 2.1 mm - antiverliesring</t>
  </si>
  <si>
    <t>BAT</t>
  </si>
  <si>
    <t>NIM-07,20V-07,00Ah195X35X60-KORT</t>
  </si>
  <si>
    <t>Batterijpak NiMh 7,20V 9000mAh  Blok 195x35x60mm - kabel 15cm</t>
  </si>
  <si>
    <t>BEWKO</t>
  </si>
  <si>
    <t>020579_00MST</t>
  </si>
  <si>
    <t>Afdichtschroef gasvulling MST GOCA</t>
  </si>
  <si>
    <t>M08-00P- - ZWARTKAPJE</t>
  </si>
  <si>
    <t>Zwart kapje M8</t>
  </si>
  <si>
    <t>M12-00P- - GEELAFDEKKAPJE</t>
  </si>
  <si>
    <t>Geel afdekkapje</t>
  </si>
  <si>
    <t>M12-00P- - ZWARTKAPJE</t>
  </si>
  <si>
    <t>Zwart kapje M12</t>
  </si>
  <si>
    <t>0912-M04X60-RVS</t>
  </si>
  <si>
    <t>Binnenzeskantbout cylinderkop DIN0912  M 4x60mm A2</t>
  </si>
  <si>
    <t>DNSCH</t>
  </si>
  <si>
    <t>0916-M05X12-RVS</t>
  </si>
  <si>
    <t>Stelschroef binnenzesk.kraterp DIN0916 M 5x 12mm A2</t>
  </si>
  <si>
    <t>0965-M04X10-RVS</t>
  </si>
  <si>
    <t>Metaalschroef verz.kop kruis DIN0965 M 4x 10mm A2</t>
  </si>
  <si>
    <t>7985-M03X06-RVS</t>
  </si>
  <si>
    <t>Metaalschroef cyl.kop kruisin. DIN7985 M 3x 06mm A2</t>
  </si>
  <si>
    <t>7985-M03X12-RVS</t>
  </si>
  <si>
    <t>Metaalschroef cyl.kop kruisin. DIN7985 M 3x 12mm A2</t>
  </si>
  <si>
    <t>020525_00MST</t>
  </si>
  <si>
    <t>Batterijklem MST GOCA</t>
  </si>
  <si>
    <t>020526_00MST</t>
  </si>
  <si>
    <t>Regelplaat fotocel MST GOCA</t>
  </si>
  <si>
    <t>020527_00MST</t>
  </si>
  <si>
    <t>Rondsel speciaal MST GOCA</t>
  </si>
  <si>
    <t>030080_00MST</t>
  </si>
  <si>
    <t>Behuizing speedoscope MST</t>
  </si>
  <si>
    <t>030081_00MST</t>
  </si>
  <si>
    <t>Batterijdeksel speedoscope MST</t>
  </si>
  <si>
    <t>050910_00MST</t>
  </si>
  <si>
    <t>Steunvoet klein MST - RVS</t>
  </si>
  <si>
    <t>020497_00MST</t>
  </si>
  <si>
    <t>Fotocel module 1 MST Goca</t>
  </si>
  <si>
    <t>020498_00MST</t>
  </si>
  <si>
    <t>Fotocel module 2 MST Goca</t>
  </si>
  <si>
    <t>030098_00MST</t>
  </si>
  <si>
    <t>Dekselmodule speedoscope MST</t>
  </si>
  <si>
    <t>030099_00MST</t>
  </si>
  <si>
    <t>Houder venster fotocel speedoscope MST</t>
  </si>
  <si>
    <t>020501_00MST</t>
  </si>
  <si>
    <t>Kabel flatcable LCP-UP PCB</t>
  </si>
  <si>
    <t>020502_00MST</t>
  </si>
  <si>
    <t>Kabel power input MST Goca</t>
  </si>
  <si>
    <t>020506_00MST</t>
  </si>
  <si>
    <t>Kabel batt-power supply MST</t>
  </si>
  <si>
    <t>020507_00MST</t>
  </si>
  <si>
    <t>Kabel serieel UP PCB MST Goca</t>
  </si>
  <si>
    <t>020508_00MST</t>
  </si>
  <si>
    <t>Kabel I/O power supply-up MST</t>
  </si>
  <si>
    <t>020509_00MST</t>
  </si>
  <si>
    <t>Kabel fotocel 3 intern MST</t>
  </si>
  <si>
    <t>HFPRI</t>
  </si>
  <si>
    <t>020462_00MST/</t>
  </si>
  <si>
    <t>Power board MST Goca</t>
  </si>
  <si>
    <t>020494_00MST/</t>
  </si>
  <si>
    <t>Processor board MST Goca</t>
  </si>
  <si>
    <t>020495A00MST/</t>
  </si>
  <si>
    <t>LCD display MST Rev A</t>
  </si>
  <si>
    <t>KOEL</t>
  </si>
  <si>
    <t>TO220-MICA</t>
  </si>
  <si>
    <t>Mica TO220</t>
  </si>
  <si>
    <t>MONTB</t>
  </si>
  <si>
    <t>PLA-BORGRING-4.2X8X2.5</t>
  </si>
  <si>
    <t>Montage-toebehoren plastiek - borgring 4.2x8x2.5 mm</t>
  </si>
  <si>
    <t>ORING</t>
  </si>
  <si>
    <t>005,0X01,5-NBR70</t>
  </si>
  <si>
    <t>O-ring 5x 1.5 mm NBR70</t>
  </si>
  <si>
    <t>189,0X02,5-NBR70-G</t>
  </si>
  <si>
    <t>O-ring 189x 2.5 mm NBR70 - gelijmd</t>
  </si>
  <si>
    <t>510,0X02,5-NBR70-G</t>
  </si>
  <si>
    <t>O-ring 510x 2.5 mm NBR70 - gelijmd</t>
  </si>
  <si>
    <t>030087_00MST</t>
  </si>
  <si>
    <t>Steun reflector main speedoscope MST</t>
  </si>
  <si>
    <t>FOCEL</t>
  </si>
  <si>
    <t>IND- -PL30ASICK</t>
  </si>
  <si>
    <t>Industriële fotocel  reflector 58x28mm PL30A Sick</t>
  </si>
  <si>
    <t>030089A00MST</t>
  </si>
  <si>
    <t>Steunvoet refectorhouder MST</t>
  </si>
  <si>
    <t>020533_00MST</t>
  </si>
  <si>
    <t>Rubber groot MST</t>
  </si>
  <si>
    <t>020532B00MST</t>
  </si>
  <si>
    <t>Steunvoet refectorhouder MST !!! WIJZIGT 02/09/2015 !!!</t>
  </si>
  <si>
    <t>DRKKN</t>
  </si>
  <si>
    <t>EAO-CON-84-8510.0020</t>
  </si>
  <si>
    <t>Drukknop EAO contactblok mom. 1NO dia.22,5mm</t>
  </si>
  <si>
    <t>EAO-KAP-84-7111.400</t>
  </si>
  <si>
    <t>Lens EAO geel dia.22,5mm</t>
  </si>
  <si>
    <t>EAO-LIC-84-1101.0</t>
  </si>
  <si>
    <t>Drukknop EAO lichaam dia.22,5mm</t>
  </si>
  <si>
    <t>HEAD</t>
  </si>
  <si>
    <t>2.54-V-1-02P-R-KBL</t>
  </si>
  <si>
    <t>Header 2.54 Vrl. 1 rij 02P recht kabel</t>
  </si>
  <si>
    <t>Drukknop EAO contactblok mom. 1NO verlicht dia.22,5mm</t>
  </si>
  <si>
    <t>EAO-CON-84-8512.4620</t>
  </si>
  <si>
    <t>BESTEK</t>
  </si>
  <si>
    <t>aantal</t>
  </si>
  <si>
    <t>optie</t>
  </si>
  <si>
    <t xml:space="preserve">4hwerk per mst </t>
  </si>
  <si>
    <t>kabel herstellen en venster inlijmen incl</t>
  </si>
  <si>
    <t>150310_01MST</t>
  </si>
  <si>
    <t xml:space="preserve">refurbischkit </t>
  </si>
  <si>
    <t>Drukknop Apem piezo 16mm - Led groen/rood</t>
  </si>
  <si>
    <t>APE-PIE-16MM-LED-GR/RD</t>
  </si>
  <si>
    <t>Drukknop Apem piezo 22mm - Led green</t>
  </si>
  <si>
    <t>APE-PIE-22MM-LED-GR</t>
  </si>
  <si>
    <t>Drukknop Apem piezo 22mm - No led</t>
  </si>
  <si>
    <t>APE-PIE-22MM-LED-NO</t>
  </si>
  <si>
    <t>Dekselmodule speedoscope MST2 (Piezo)</t>
  </si>
  <si>
    <t>070159A00MST</t>
  </si>
  <si>
    <t>Knop module ON/C MST2 (Piezo)</t>
  </si>
  <si>
    <t>070235A00MST</t>
  </si>
  <si>
    <t>Knop module Select MST (Piezo)</t>
  </si>
  <si>
    <t>070237A00MST</t>
  </si>
  <si>
    <t>COMP</t>
  </si>
  <si>
    <t>TBH -BLUETOOTH-ANTENNE</t>
  </si>
  <si>
    <t>Bluetooth antenne BT STUBBY ST SMA</t>
  </si>
  <si>
    <t>TBH -BLUETOOTHKABEL-15CM</t>
  </si>
  <si>
    <t>Bluetoothkabel 15 cm</t>
  </si>
  <si>
    <t>070211_00MST</t>
  </si>
  <si>
    <t>Venster display speedoscope MST2</t>
  </si>
  <si>
    <t>070212A00MST</t>
  </si>
  <si>
    <t>Afdichtrubber inkijkvenster speedoscope MST2</t>
  </si>
  <si>
    <t>0912-M03X08-RVS</t>
  </si>
  <si>
    <t>Binnenzeskantbout cylinderkop DIN0912  M 3x08mm A2</t>
  </si>
  <si>
    <t>7991-M08X10-RVS</t>
  </si>
  <si>
    <t>Binnenzeskantbout met verz.kop DIN7991  M 8x10mm A2</t>
  </si>
  <si>
    <t>0965-M03X08-RVS</t>
  </si>
  <si>
    <t>Metaalschroef verz.kop kruis DIN0965 M 3x 08mm A2</t>
  </si>
  <si>
    <t>070174_00MST</t>
  </si>
  <si>
    <t>Deksel behuizing speedoscope MST2 (DSA)</t>
  </si>
  <si>
    <t>070213_00MST</t>
  </si>
  <si>
    <t>Kader display speedoscope MST2</t>
  </si>
  <si>
    <t>070214_00MST</t>
  </si>
  <si>
    <t>Staaf handvat speedoscope MST2</t>
  </si>
  <si>
    <t>070215_00MST</t>
  </si>
  <si>
    <t>Beschermhuls antenne speedoscope MST2</t>
  </si>
  <si>
    <t>070216_00MST</t>
  </si>
  <si>
    <t>Draadbus antenne speedoscope MST2</t>
  </si>
  <si>
    <t>070217_00MST</t>
  </si>
  <si>
    <t>Klemring antennehouder speedoscope MST2</t>
  </si>
  <si>
    <t>HAND-NYLON-KORT</t>
  </si>
  <si>
    <t>Handvat zwart</t>
  </si>
  <si>
    <t>015,0X01,5-NBR70</t>
  </si>
  <si>
    <t>O-ring 15x 1.5 mm NBR70</t>
  </si>
  <si>
    <t>DICHT</t>
  </si>
  <si>
    <t>070238_00MST</t>
  </si>
  <si>
    <t>Sticker speedoscope MST2</t>
  </si>
  <si>
    <t>070239_00MST</t>
  </si>
  <si>
    <t>Sticker ON/SELECT speedoscope MST2</t>
  </si>
  <si>
    <t>NY-D-02,2X04,0</t>
  </si>
  <si>
    <t>Afstandsbus nylon D 2,2 x 4 mm</t>
  </si>
  <si>
    <t>NY-D-02,6X05,0-BD04</t>
  </si>
  <si>
    <t>Afstandsbus nylon D 2.6 x 5 mm - buitendiameter 4</t>
  </si>
  <si>
    <t>NY-D-02,6X07,5</t>
  </si>
  <si>
    <t>Afstandsbus nylon D 2.6 x 7.5 mm - buitendiameter 4</t>
  </si>
  <si>
    <t>NY-D-03,0X04,0</t>
  </si>
  <si>
    <t>Afstandsbus nylon D 3 x 4 mm</t>
  </si>
  <si>
    <t>NIM-01,20V-02,00Ah-AA-ENELOOP</t>
  </si>
  <si>
    <t>Batterijpak NiMh 01,20V 02,00Ah   -AA - Eneloop</t>
  </si>
  <si>
    <t>BOAR-BLUETOOTH</t>
  </si>
  <si>
    <t>Board Bluetooth module Ezurio</t>
  </si>
  <si>
    <t>MET-03P-C-V-LEMO</t>
  </si>
  <si>
    <t>Ronde connector metaal 03P chassis Vrl. -LEMO</t>
  </si>
  <si>
    <t>PLA-03P- - AFDEKKAPJE-LEMO</t>
  </si>
  <si>
    <t>Afdekkapje Lemo 3P</t>
  </si>
  <si>
    <t>DPR-SR-NEOPRENE</t>
  </si>
  <si>
    <t>Sponsrubberprofiel Neoprene</t>
  </si>
  <si>
    <t>DIVKO</t>
  </si>
  <si>
    <t>OMHANGKOORD</t>
  </si>
  <si>
    <t>LanyardSafety omhangkoord donkerblauw</t>
  </si>
  <si>
    <t>080045_00MST</t>
  </si>
  <si>
    <t>Afdichtrubber SD-card opening BRC</t>
  </si>
  <si>
    <t>0912-M02X06-RVS</t>
  </si>
  <si>
    <t>Binnenzeskantbout cylinderkop DIN0912  M 2x06mm A2</t>
  </si>
  <si>
    <t>9999-M02X06-RVS</t>
  </si>
  <si>
    <t>Laagbolkopschroef met flens M2x6 RVS</t>
  </si>
  <si>
    <t>0084-M02X08-RVS</t>
  </si>
  <si>
    <t>Metaalschroef cylinderkop DIN0084 M 2x 08mm A2</t>
  </si>
  <si>
    <t>0916-M02X16-RVS-2.5</t>
  </si>
  <si>
    <t>Stelschroef binnenzesk.kraterp DIN0916 M 2.5 x 16mm A2</t>
  </si>
  <si>
    <t>0963-M02X12-RVS</t>
  </si>
  <si>
    <t>Metaalschroef verzonken kop DIN0963 M 2x 12mm A2</t>
  </si>
  <si>
    <t>0965-M02X10-RVS-2.5</t>
  </si>
  <si>
    <t>Metaalschroef verz.kop kruis DIN0965 M 2.5 x 10mm A2</t>
  </si>
  <si>
    <t>7985-M02X06-RVS2.5</t>
  </si>
  <si>
    <t>Metaalschroef cyl.kop kruisin. DIN7985 M 2.5x 06mm A2</t>
  </si>
  <si>
    <t>7985-M02X10-RVS-2.5</t>
  </si>
  <si>
    <t>Metaalschroef cyl.kop kruisin. DIN7985 M 2.5 x 10mm A2</t>
  </si>
  <si>
    <t>080043_00MST</t>
  </si>
  <si>
    <t>Steun SD-card opening BRC</t>
  </si>
  <si>
    <t>080044_00MST</t>
  </si>
  <si>
    <t>Deksel SD-card opening BRC</t>
  </si>
  <si>
    <t>080051_00MST</t>
  </si>
  <si>
    <t>Voedingsadapter BRC</t>
  </si>
  <si>
    <t>070195_00MST/</t>
  </si>
  <si>
    <t>Processorprint MST PDA</t>
  </si>
  <si>
    <t>070196_00MST/</t>
  </si>
  <si>
    <t>Laderprint MST PDA</t>
  </si>
  <si>
    <t>070197_00MST/</t>
  </si>
  <si>
    <t>Ezurio print MST PDA</t>
  </si>
  <si>
    <t>070290_00MST/</t>
  </si>
  <si>
    <t>SD kaart MST PDA</t>
  </si>
  <si>
    <t>KABFL</t>
  </si>
  <si>
    <t>10P-G-N</t>
  </si>
  <si>
    <t>Flatcable 10P grijs</t>
  </si>
  <si>
    <t>20P-G-N</t>
  </si>
  <si>
    <t>Flatcable 20P grijs</t>
  </si>
  <si>
    <t>KAST</t>
  </si>
  <si>
    <t>BOP-BS600-DICHTING</t>
  </si>
  <si>
    <t>Dichting BOS behuizing blauw</t>
  </si>
  <si>
    <t>BOP-BS603DIS-7024</t>
  </si>
  <si>
    <t>BOS behuizing met display - RAL7024</t>
  </si>
  <si>
    <t>LCD</t>
  </si>
  <si>
    <t>GRA-WG12864E-NYG-V</t>
  </si>
  <si>
    <t>LCD-scherm grafisch WG12864E-NYG-V</t>
  </si>
  <si>
    <t>001,8X01,0-NBR70</t>
  </si>
  <si>
    <t>O-ring 1,8x 1 mm NBR70</t>
  </si>
  <si>
    <t>002,5X01,2-NBR70</t>
  </si>
  <si>
    <t>O-ring 2,5x 1.2 mm NBR70</t>
  </si>
  <si>
    <t>008,0X01,0-NBR70</t>
  </si>
  <si>
    <t>O-ring 8x 1 mm NBR70</t>
  </si>
  <si>
    <t>025,0X01,0-NBR70</t>
  </si>
  <si>
    <t>O-ring 25x 1 mm NBR70</t>
  </si>
  <si>
    <t>PANEL</t>
  </si>
  <si>
    <t>070278_00MST</t>
  </si>
  <si>
    <t>Keypad voor BS603</t>
  </si>
  <si>
    <t>PCB</t>
  </si>
  <si>
    <t>070198_00MST</t>
  </si>
  <si>
    <t>Support voor Ezurio print MST PDA</t>
  </si>
  <si>
    <t>PLTW</t>
  </si>
  <si>
    <t>080046_00MST</t>
  </si>
  <si>
    <t>Steunprofiel ophanghaakje BRC</t>
  </si>
  <si>
    <t>checklijst MST2 engeland refurbisch</t>
  </si>
  <si>
    <t>0912-M04X08-RVS</t>
  </si>
  <si>
    <t>Binnenzeskantbout cylinderkop DIN0912  M 4x08mm A2</t>
  </si>
  <si>
    <t>070218_00MST</t>
  </si>
  <si>
    <t>Geraamte dubbele reflector speedoscope MST2</t>
  </si>
  <si>
    <t>070242_00MST</t>
  </si>
  <si>
    <t>Steunvoet reflectorhouder MST2 grote ronde voetje</t>
  </si>
  <si>
    <t>T:\voor SPARES\REFURBISHMENT SPEEDOSCOPES\DSA overview speedoscope + BRC.xlsx</t>
  </si>
  <si>
    <t>BRC EP080026.028</t>
  </si>
  <si>
    <t>BRC EP080026.060</t>
  </si>
  <si>
    <t>MST R EP080082.023</t>
  </si>
  <si>
    <t>MST EP080082.006</t>
  </si>
  <si>
    <t>MST R EP070097.009</t>
  </si>
  <si>
    <t>MST EP070087.004</t>
  </si>
  <si>
    <t>Handvat zwart ( niet de buis maar hoek)</t>
  </si>
  <si>
    <t>Handvat ELESA oranje (goca)</t>
  </si>
  <si>
    <t>Transformator en laadkabel MST GOCA</t>
  </si>
  <si>
    <t>Staaf handvat speedoscope MST2 zwarte staaf</t>
  </si>
  <si>
    <t>standard calibratie</t>
  </si>
  <si>
    <t>werk</t>
  </si>
  <si>
    <t>calibrtieforfait</t>
  </si>
  <si>
    <t>sn 1032</t>
  </si>
  <si>
    <t>Knop module ON/C MST2 (Piezo) met kabeltje aan</t>
  </si>
  <si>
    <t>Knop module Select MST (Piezo) met kabeltje aan</t>
  </si>
  <si>
    <t>LCD display MST Rev A met weerstand erbij</t>
  </si>
  <si>
    <t>Transformator en laadkabel MST GOCA lader</t>
  </si>
  <si>
    <t>ZZZ</t>
  </si>
  <si>
    <t>O-Speedo</t>
  </si>
  <si>
    <t>besteld via ma</t>
  </si>
  <si>
    <t>sn1009</t>
  </si>
  <si>
    <t>sn1013</t>
  </si>
  <si>
    <t>geenserienummer wel plakker 7090</t>
  </si>
  <si>
    <t>geenlader</t>
  </si>
  <si>
    <t>wellader</t>
  </si>
  <si>
    <t>calibrtieforfait  (+/-224euro)</t>
  </si>
  <si>
    <t>minuten in regie</t>
  </si>
  <si>
    <t>extrawerk buiten forfait in minuten</t>
  </si>
  <si>
    <t>bestek-onderdelen</t>
  </si>
  <si>
    <t xml:space="preserve">BRC  : </t>
  </si>
  <si>
    <t>EP080026.025</t>
  </si>
  <si>
    <t xml:space="preserve">MST R </t>
  </si>
  <si>
    <t>EP070097.014</t>
  </si>
  <si>
    <t>EP080056.004</t>
  </si>
  <si>
    <t>EP070097.003</t>
  </si>
  <si>
    <t xml:space="preserve">MST </t>
  </si>
  <si>
    <t>EP070062.001</t>
  </si>
  <si>
    <t>Steunvoet klein MST - RVS inox voetjes</t>
  </si>
  <si>
    <t>lcd voor BRC</t>
  </si>
  <si>
    <t>lcd voor brc</t>
  </si>
  <si>
    <t>GRA-WG160128B-YYH-T</t>
  </si>
  <si>
    <t>LCD-display 5' voor MST</t>
  </si>
  <si>
    <t>openoffice resutlaten speed</t>
  </si>
  <si>
    <t>klant moet gene hebben</t>
  </si>
  <si>
    <t>Drukknop EAO contactblok mom. 1NO met ledje in dia.22,5mm</t>
  </si>
  <si>
    <t>sn1024</t>
  </si>
  <si>
    <t>90minuten inlijmen venster</t>
  </si>
  <si>
    <t>set voor 5</t>
  </si>
  <si>
    <t>Drukknop EAO contactblok mom. 1NO vmet ledje dia.22,5mm</t>
  </si>
  <si>
    <t>15h werh gedaan voor 5st</t>
  </si>
  <si>
    <t>zonder regiewerk</t>
  </si>
  <si>
    <t>alles perfect waterdicht tijdens test</t>
  </si>
  <si>
    <t>11h werk</t>
  </si>
  <si>
    <t>Steunvoet klein MST - RVS inox</t>
  </si>
  <si>
    <t>besteld ma</t>
  </si>
  <si>
    <t>.</t>
  </si>
  <si>
    <t>2x mst</t>
  </si>
  <si>
    <t>mst = 1029</t>
  </si>
  <si>
    <t>ep070015.005</t>
  </si>
  <si>
    <t>1mst</t>
  </si>
  <si>
    <t>cta haasrode</t>
  </si>
  <si>
    <t>bestek gegeven</t>
  </si>
  <si>
    <t>speedocal</t>
  </si>
  <si>
    <t>en 1 mst</t>
  </si>
  <si>
    <t>ep070015.009</t>
  </si>
  <si>
    <t>ep060069.002</t>
  </si>
  <si>
    <t>ep060069.007</t>
  </si>
  <si>
    <t>calibratie forfait  (+/-224euro)</t>
  </si>
  <si>
    <t>calibratieforfait  (+/-224euro)</t>
  </si>
  <si>
    <t>..</t>
  </si>
  <si>
    <t>okee</t>
  </si>
  <si>
    <t>in mei2018 al onderhoud gehad rgo180010</t>
  </si>
  <si>
    <t>sn1034</t>
  </si>
  <si>
    <t>klaar!</t>
  </si>
  <si>
    <t>klaar</t>
  </si>
  <si>
    <t>klant wil geen</t>
  </si>
  <si>
    <t>neen</t>
  </si>
  <si>
    <t>M12-05P-C-V-KABEL</t>
  </si>
  <si>
    <t>1extra</t>
  </si>
  <si>
    <t>Montage-toebehoren dichting wit rond plastiek - borgring 4.2x8x2.5 mm</t>
  </si>
  <si>
    <t>3e cel komt altijd binnen</t>
  </si>
  <si>
    <t>sn1020</t>
  </si>
  <si>
    <t>sn1008</t>
  </si>
  <si>
    <t>sn1010</t>
  </si>
  <si>
    <t xml:space="preserve"> dichting wit rond plastiek - borgring 4.2x8x2.5 mm</t>
  </si>
  <si>
    <t>subtotaal</t>
  </si>
  <si>
    <t>ICDIG</t>
  </si>
  <si>
    <t>MIC-MB90F543       -S-QFP100</t>
  </si>
  <si>
    <t>Digitale IC microcontroller proc print goca</t>
  </si>
  <si>
    <t>opmerking</t>
  </si>
  <si>
    <t>kabel12m derde cel goca</t>
  </si>
  <si>
    <t>+</t>
  </si>
  <si>
    <t>Aantal</t>
  </si>
  <si>
    <t>Enh</t>
  </si>
  <si>
    <t>Art.groep</t>
  </si>
  <si>
    <t>Artikelsymbool</t>
  </si>
  <si>
    <t>Omschrijving</t>
  </si>
  <si>
    <t>Alternatief Nummer</t>
  </si>
  <si>
    <t>Code hoofdsoort</t>
  </si>
  <si>
    <t>Code soort</t>
  </si>
  <si>
    <t>Totaal variabelekosten</t>
  </si>
  <si>
    <t>Totaal vastekosten</t>
  </si>
  <si>
    <t>2,00</t>
  </si>
  <si>
    <t>ST</t>
  </si>
  <si>
    <t>0CON146005415</t>
  </si>
  <si>
    <t>CON</t>
  </si>
  <si>
    <t>KABEL</t>
  </si>
  <si>
    <t>13,17</t>
  </si>
  <si>
    <t>0,00</t>
  </si>
  <si>
    <t>12,00</t>
  </si>
  <si>
    <t>M</t>
  </si>
  <si>
    <t>0CAB420025005</t>
  </si>
  <si>
    <t>ELCOM</t>
  </si>
  <si>
    <t>9,58</t>
  </si>
  <si>
    <t>5,00</t>
  </si>
  <si>
    <t>0CON750010050</t>
  </si>
  <si>
    <t>0,27</t>
  </si>
  <si>
    <t>1,00</t>
  </si>
  <si>
    <t>0CAB950167509</t>
  </si>
  <si>
    <t>MONT</t>
  </si>
  <si>
    <t>0,47</t>
  </si>
  <si>
    <t>0FAS100025098</t>
  </si>
  <si>
    <t>0,01</t>
  </si>
  <si>
    <t>optie klant wil geen</t>
  </si>
  <si>
    <t>brc3x</t>
  </si>
  <si>
    <t>hercalib</t>
  </si>
  <si>
    <t>lcd zwart+reflector</t>
  </si>
  <si>
    <t>condens</t>
  </si>
  <si>
    <t>refurb</t>
  </si>
  <si>
    <t>her certificeren</t>
  </si>
  <si>
    <t>flatcable los</t>
  </si>
  <si>
    <t>refurb.</t>
  </si>
  <si>
    <t>ep070062.017</t>
  </si>
  <si>
    <t>ep080082.002</t>
  </si>
  <si>
    <t>ep090021-019</t>
  </si>
  <si>
    <t>ep070062.018</t>
  </si>
  <si>
    <t>laad niet geen BT ,gele knop werkt niet</t>
  </si>
  <si>
    <t>zwart scherm -proc.print</t>
  </si>
  <si>
    <t>batch47  07/05/2019</t>
  </si>
  <si>
    <t>candela</t>
  </si>
  <si>
    <t>minical</t>
  </si>
  <si>
    <t>Ronde connector M8 03P chassis Vrl. + 0.5m kabel</t>
  </si>
  <si>
    <t>M08-03P-C-V-KABEL</t>
  </si>
  <si>
    <t>Gemiddeldekostprijs</t>
  </si>
  <si>
    <t>Alternatiefnummer</t>
  </si>
  <si>
    <t>Voorraadbijhouden</t>
  </si>
  <si>
    <t>VbEnh</t>
  </si>
  <si>
    <t>VkEnh</t>
  </si>
  <si>
    <t>AkEnh</t>
  </si>
  <si>
    <t>PrsEnh</t>
  </si>
  <si>
    <t>Verkoopprijs</t>
  </si>
  <si>
    <t>PercVk</t>
  </si>
  <si>
    <t>Basisaankoopwaarde</t>
  </si>
  <si>
    <t>Categorie</t>
  </si>
  <si>
    <t>Basisgewicht</t>
  </si>
  <si>
    <t>VrdEnh</t>
  </si>
  <si>
    <t>UniekVolgnummer</t>
  </si>
  <si>
    <t>MagazijnIN</t>
  </si>
  <si>
    <t>MagazijnlocatieIN</t>
  </si>
  <si>
    <t>MagazijnUIT</t>
  </si>
  <si>
    <t>MagazijnlocatieUIT</t>
  </si>
  <si>
    <t>Soortelijkgewicht</t>
  </si>
  <si>
    <t>Datum vanaanpassing</t>
  </si>
  <si>
    <t>Uur vanaanpassing</t>
  </si>
  <si>
    <t>Aangepastdoor</t>
  </si>
  <si>
    <t>Lotnr.leverancier</t>
  </si>
  <si>
    <t>BOM</t>
  </si>
  <si>
    <t>EAN13-code</t>
  </si>
  <si>
    <t>Externe Omschrijving</t>
  </si>
  <si>
    <t>Werknemer</t>
  </si>
  <si>
    <t>Vervaldatum</t>
  </si>
  <si>
    <t>Vervaldatumherziening</t>
  </si>
  <si>
    <t>Aankoop-code</t>
  </si>
  <si>
    <t>Soortartikel</t>
  </si>
  <si>
    <t>Linkdocumentcenter</t>
  </si>
  <si>
    <t>Laatste bestelprijs</t>
  </si>
  <si>
    <t>Gevaarlijk en/of veiligheidsvoorschriften</t>
  </si>
  <si>
    <t>Allergeen</t>
  </si>
  <si>
    <t>Type artikel</t>
  </si>
  <si>
    <t>Laatste ontvangstprijs</t>
  </si>
  <si>
    <t>Netto gewicht</t>
  </si>
  <si>
    <t>Standaardop voorraad</t>
  </si>
  <si>
    <t>Budgetprijs</t>
  </si>
  <si>
    <t>Afdeling</t>
  </si>
  <si>
    <t>Verkoop-code</t>
  </si>
  <si>
    <t>Halal</t>
  </si>
  <si>
    <t>Bestemming</t>
  </si>
  <si>
    <t>Board Bluetooth BISM II</t>
  </si>
  <si>
    <t>BOAR-BLUETOOTH-EXTANT</t>
  </si>
  <si>
    <t>40,4800</t>
  </si>
  <si>
    <t>70,0000</t>
  </si>
  <si>
    <t>0,0000</t>
  </si>
  <si>
    <t>HMAG</t>
  </si>
  <si>
    <t>EK12</t>
  </si>
  <si>
    <t>08,50</t>
  </si>
  <si>
    <t>VTH</t>
  </si>
  <si>
    <t>?</t>
  </si>
  <si>
    <t>Bestelbaar</t>
  </si>
  <si>
    <t>Grondstof</t>
  </si>
  <si>
    <t>40,48</t>
  </si>
  <si>
    <t>Standaardartikel</t>
  </si>
  <si>
    <t>Verkoopbaar aan klan</t>
  </si>
  <si>
    <t>Niet HALAL</t>
  </si>
  <si>
    <t>0.257mm</t>
  </si>
  <si>
    <t>0.139mm</t>
  </si>
  <si>
    <t>0.636mm</t>
  </si>
  <si>
    <t>0.1mm</t>
  </si>
  <si>
    <t>mst kabel ontbreekt</t>
  </si>
  <si>
    <t>candela knop kapot</t>
  </si>
  <si>
    <t>EP060069.009</t>
  </si>
  <si>
    <t>1995-1025</t>
  </si>
  <si>
    <t>Maxell battery alkaline 4x AAA micro type LR03</t>
  </si>
  <si>
    <t>ALK-01,50V-00,00Ah-AAA</t>
  </si>
  <si>
    <t>1,2900</t>
  </si>
  <si>
    <t>VE</t>
  </si>
  <si>
    <t>GEEN</t>
  </si>
  <si>
    <t>14,40</t>
  </si>
  <si>
    <t>mro</t>
  </si>
  <si>
    <t>1,29</t>
  </si>
  <si>
    <t>Alkaline-batterij 01,50V 02,25Ah  Lijn 14x50mm AA</t>
  </si>
  <si>
    <t>ALK-01,50V-02,25AhLIJN14X50</t>
  </si>
  <si>
    <t>7,7420</t>
  </si>
  <si>
    <t>0BAT015000000</t>
  </si>
  <si>
    <t>6,5000</t>
  </si>
  <si>
    <t>1,8800</t>
  </si>
  <si>
    <t>BBAT</t>
  </si>
  <si>
    <t>EK69</t>
  </si>
  <si>
    <t>12,33</t>
  </si>
  <si>
    <t>7,742</t>
  </si>
  <si>
    <t>Kabel drukknop CAM 30</t>
  </si>
  <si>
    <t>960033A00CAM</t>
  </si>
  <si>
    <t>15,6390</t>
  </si>
  <si>
    <t>60,0000</t>
  </si>
  <si>
    <t>10,31</t>
  </si>
  <si>
    <t>Halffabrikaat</t>
  </si>
  <si>
    <t xml:space="preserve">minical </t>
  </si>
  <si>
    <t>calibratieforfait  minical</t>
  </si>
  <si>
    <t>…</t>
  </si>
  <si>
    <t>calibratieforfait  candelameter</t>
  </si>
  <si>
    <t>calib+cert</t>
  </si>
  <si>
    <t>calib forfait</t>
  </si>
  <si>
    <t>kabel ligt nog bij klant</t>
  </si>
  <si>
    <t>aanraag v klant</t>
  </si>
  <si>
    <t>laser635nm</t>
  </si>
  <si>
    <t>laser 1mw 635nm</t>
  </si>
  <si>
    <t>laser minical</t>
  </si>
  <si>
    <t>statief 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</si>
</sst>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1">
    <xf numFmtId="0" fontId="0" fillId="0" borderId="0" xfId="0"/>
    <xf numFmtId="0" fontId="1" fillId="0" borderId="1" xfId="0" applyFont="1" applyBorder="1"/>
    <xf numFmtId="0" fontId="0" fillId="0" borderId="1" xfId="0" applyBorder="1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2" fillId="0" borderId="0" xfId="1"/>
    <xf numFmtId="0" fontId="3" fillId="2" borderId="0" xfId="0" applyFont="1" applyFill="1"/>
    <xf numFmtId="0" fontId="1" fillId="0" borderId="0" xfId="0" applyFont="1"/>
    <xf numFmtId="0" fontId="4" fillId="0" borderId="0" xfId="0" applyFont="1" applyAlignment="1">
      <alignment horizontal="center" vertical="center"/>
    </xf>
    <xf numFmtId="0" fontId="0" fillId="4" borderId="0" xfId="0" applyFill="1"/>
    <xf numFmtId="0" fontId="3" fillId="4" borderId="0" xfId="0" applyFont="1" applyFill="1"/>
    <xf numFmtId="0" fontId="5" fillId="0" borderId="0" xfId="0" applyFont="1"/>
    <xf numFmtId="0" fontId="5" fillId="0" borderId="0" xfId="0" applyFont="1" applyAlignment="1">
      <alignment horizontal="center" vertical="center"/>
    </xf>
    <xf numFmtId="0" fontId="0" fillId="5" borderId="0" xfId="0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Fill="1"/>
    <xf numFmtId="0" fontId="1" fillId="2" borderId="0" xfId="0" applyFont="1" applyFill="1"/>
    <xf numFmtId="0" fontId="3" fillId="3" borderId="5" xfId="0" applyFont="1" applyFill="1" applyBorder="1" applyAlignment="1">
      <alignment horizontal="left"/>
    </xf>
    <xf numFmtId="0" fontId="3" fillId="3" borderId="6" xfId="0" applyFont="1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3" fillId="6" borderId="0" xfId="0" applyFont="1" applyFill="1" applyAlignment="1">
      <alignment horizontal="left"/>
    </xf>
    <xf numFmtId="0" fontId="3" fillId="2" borderId="1" xfId="0" applyFont="1" applyFill="1" applyBorder="1"/>
    <xf numFmtId="0" fontId="3" fillId="6" borderId="1" xfId="0" applyFont="1" applyFill="1" applyBorder="1" applyAlignment="1">
      <alignment horizontal="left"/>
    </xf>
    <xf numFmtId="0" fontId="3" fillId="3" borderId="1" xfId="0" applyFont="1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3" fillId="4" borderId="1" xfId="0" applyFont="1" applyFill="1" applyBorder="1"/>
    <xf numFmtId="0" fontId="0" fillId="4" borderId="1" xfId="0" applyFill="1" applyBorder="1"/>
    <xf numFmtId="0" fontId="0" fillId="2" borderId="1" xfId="0" applyFill="1" applyBorder="1"/>
    <xf numFmtId="0" fontId="0" fillId="7" borderId="1" xfId="0" applyFill="1" applyBorder="1"/>
    <xf numFmtId="0" fontId="3" fillId="3" borderId="7" xfId="0" applyFont="1" applyFill="1" applyBorder="1" applyAlignment="1">
      <alignment horizontal="left"/>
    </xf>
    <xf numFmtId="0" fontId="3" fillId="2" borderId="1" xfId="0" applyFont="1" applyFill="1" applyBorder="1" applyAlignment="1">
      <alignment textRotation="90"/>
    </xf>
    <xf numFmtId="0" fontId="3" fillId="6" borderId="1" xfId="0" applyFont="1" applyFill="1" applyBorder="1" applyAlignment="1">
      <alignment horizontal="left" textRotation="90"/>
    </xf>
    <xf numFmtId="0" fontId="0" fillId="3" borderId="7" xfId="0" applyFill="1" applyBorder="1" applyAlignment="1">
      <alignment horizontal="left" textRotation="90"/>
    </xf>
    <xf numFmtId="0" fontId="0" fillId="0" borderId="0" xfId="0" applyAlignment="1">
      <alignment textRotation="90"/>
    </xf>
    <xf numFmtId="0" fontId="3" fillId="3" borderId="8" xfId="0" applyFont="1" applyFill="1" applyBorder="1" applyAlignment="1">
      <alignment horizontal="left" textRotation="90"/>
    </xf>
    <xf numFmtId="0" fontId="0" fillId="3" borderId="8" xfId="0" applyFill="1" applyBorder="1" applyAlignment="1">
      <alignment horizontal="left" textRotation="90"/>
    </xf>
    <xf numFmtId="0" fontId="0" fillId="0" borderId="1" xfId="0" applyBorder="1" applyAlignment="1">
      <alignment textRotation="90"/>
    </xf>
    <xf numFmtId="14" fontId="0" fillId="0" borderId="0" xfId="0" applyNumberFormat="1" applyAlignment="1">
      <alignment textRotation="90"/>
    </xf>
    <xf numFmtId="0" fontId="0" fillId="4" borderId="9" xfId="0" applyFill="1" applyBorder="1"/>
    <xf numFmtId="0" fontId="3" fillId="6" borderId="9" xfId="0" applyFont="1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0" fillId="2" borderId="9" xfId="0" applyFill="1" applyBorder="1"/>
    <xf numFmtId="0" fontId="0" fillId="4" borderId="5" xfId="0" applyFill="1" applyBorder="1"/>
    <xf numFmtId="0" fontId="3" fillId="6" borderId="5" xfId="0" applyFont="1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4" borderId="8" xfId="0" applyFill="1" applyBorder="1"/>
    <xf numFmtId="0" fontId="3" fillId="6" borderId="8" xfId="0" applyFont="1" applyFill="1" applyBorder="1" applyAlignment="1">
      <alignment horizontal="left"/>
    </xf>
    <xf numFmtId="0" fontId="0" fillId="3" borderId="8" xfId="0" applyFill="1" applyBorder="1" applyAlignment="1">
      <alignment horizontal="left"/>
    </xf>
    <xf numFmtId="0" fontId="0" fillId="8" borderId="1" xfId="0" applyFill="1" applyBorder="1"/>
    <xf numFmtId="0" fontId="3" fillId="8" borderId="1" xfId="0" applyFont="1" applyFill="1" applyBorder="1"/>
    <xf numFmtId="0" fontId="3" fillId="3" borderId="9" xfId="0" applyFont="1" applyFill="1" applyBorder="1" applyAlignment="1">
      <alignment horizontal="left"/>
    </xf>
    <xf numFmtId="0" fontId="0" fillId="2" borderId="8" xfId="0" applyFill="1" applyBorder="1"/>
    <xf numFmtId="0" fontId="3" fillId="3" borderId="1" xfId="0" applyFont="1" applyFill="1" applyBorder="1" applyAlignment="1">
      <alignment textRotation="90"/>
    </xf>
    <xf numFmtId="0" fontId="3" fillId="3" borderId="1" xfId="0" applyFont="1" applyFill="1" applyBorder="1" applyAlignment="1">
      <alignment horizontal="center" vertical="center" textRotation="90"/>
    </xf>
    <xf numFmtId="0" fontId="3" fillId="3" borderId="1" xfId="0" applyFont="1" applyFill="1" applyBorder="1" applyAlignment="1">
      <alignment horizontal="left" textRotation="90"/>
    </xf>
    <xf numFmtId="0" fontId="3" fillId="3" borderId="9" xfId="0" applyFont="1" applyFill="1" applyBorder="1"/>
    <xf numFmtId="0" fontId="3" fillId="3" borderId="1" xfId="0" applyFont="1" applyFill="1" applyBorder="1"/>
    <xf numFmtId="0" fontId="0" fillId="3" borderId="1" xfId="0" applyFill="1" applyBorder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3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1</xdr:row>
          <xdr:rowOff>47625</xdr:rowOff>
        </xdr:from>
        <xdr:to>
          <xdr:col>15</xdr:col>
          <xdr:colOff>180975</xdr:colOff>
          <xdr:row>2</xdr:row>
          <xdr:rowOff>171450</xdr:rowOff>
        </xdr:to>
        <xdr:sp macro="" textlink="">
          <xdr:nvSpPr>
            <xdr:cNvPr id="105473" name="CommandButton1" hidden="1">
              <a:extLst>
                <a:ext uri="{63B3BB69-23CF-44E3-9099-C40C66FF867C}">
                  <a14:compatExt spid="_x0000_s105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0</xdr:row>
          <xdr:rowOff>104775</xdr:rowOff>
        </xdr:from>
        <xdr:to>
          <xdr:col>14</xdr:col>
          <xdr:colOff>0</xdr:colOff>
          <xdr:row>2</xdr:row>
          <xdr:rowOff>28575</xdr:rowOff>
        </xdr:to>
        <xdr:sp macro="" textlink="">
          <xdr:nvSpPr>
            <xdr:cNvPr id="105474" name="CommandButton2" hidden="1">
              <a:extLst>
                <a:ext uri="{63B3BB69-23CF-44E3-9099-C40C66FF867C}">
                  <a14:compatExt spid="_x0000_s105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8</xdr:col>
          <xdr:colOff>9525</xdr:colOff>
          <xdr:row>2</xdr:row>
          <xdr:rowOff>19050</xdr:rowOff>
        </xdr:to>
        <xdr:sp macro="" textlink="">
          <xdr:nvSpPr>
            <xdr:cNvPr id="105475" name="CommandButton3" hidden="1">
              <a:extLst>
                <a:ext uri="{63B3BB69-23CF-44E3-9099-C40C66FF867C}">
                  <a14:compatExt spid="_x0000_s105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1</xdr:row>
          <xdr:rowOff>47625</xdr:rowOff>
        </xdr:from>
        <xdr:to>
          <xdr:col>15</xdr:col>
          <xdr:colOff>180975</xdr:colOff>
          <xdr:row>2</xdr:row>
          <xdr:rowOff>171450</xdr:rowOff>
        </xdr:to>
        <xdr:sp macro="" textlink="">
          <xdr:nvSpPr>
            <xdr:cNvPr id="88065" name="CommandButton1" hidden="1">
              <a:extLst>
                <a:ext uri="{63B3BB69-23CF-44E3-9099-C40C66FF867C}">
                  <a14:compatExt spid="_x0000_s88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0</xdr:row>
          <xdr:rowOff>104775</xdr:rowOff>
        </xdr:from>
        <xdr:to>
          <xdr:col>14</xdr:col>
          <xdr:colOff>0</xdr:colOff>
          <xdr:row>2</xdr:row>
          <xdr:rowOff>28575</xdr:rowOff>
        </xdr:to>
        <xdr:sp macro="" textlink="">
          <xdr:nvSpPr>
            <xdr:cNvPr id="88066" name="CommandButton2" hidden="1">
              <a:extLst>
                <a:ext uri="{63B3BB69-23CF-44E3-9099-C40C66FF867C}">
                  <a14:compatExt spid="_x0000_s88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7</xdr:col>
          <xdr:colOff>342900</xdr:colOff>
          <xdr:row>2</xdr:row>
          <xdr:rowOff>19050</xdr:rowOff>
        </xdr:to>
        <xdr:sp macro="" textlink="">
          <xdr:nvSpPr>
            <xdr:cNvPr id="88067" name="CommandButton3" hidden="1">
              <a:extLst>
                <a:ext uri="{63B3BB69-23CF-44E3-9099-C40C66FF867C}">
                  <a14:compatExt spid="_x0000_s88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1</xdr:row>
          <xdr:rowOff>47625</xdr:rowOff>
        </xdr:from>
        <xdr:to>
          <xdr:col>15</xdr:col>
          <xdr:colOff>180975</xdr:colOff>
          <xdr:row>2</xdr:row>
          <xdr:rowOff>171450</xdr:rowOff>
        </xdr:to>
        <xdr:sp macro="" textlink="">
          <xdr:nvSpPr>
            <xdr:cNvPr id="73729" name="CommandButton1" hidden="1">
              <a:extLst>
                <a:ext uri="{63B3BB69-23CF-44E3-9099-C40C66FF867C}">
                  <a14:compatExt spid="_x0000_s73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0</xdr:row>
          <xdr:rowOff>104775</xdr:rowOff>
        </xdr:from>
        <xdr:to>
          <xdr:col>14</xdr:col>
          <xdr:colOff>0</xdr:colOff>
          <xdr:row>2</xdr:row>
          <xdr:rowOff>28575</xdr:rowOff>
        </xdr:to>
        <xdr:sp macro="" textlink="">
          <xdr:nvSpPr>
            <xdr:cNvPr id="73730" name="CommandButton2" hidden="1">
              <a:extLst>
                <a:ext uri="{63B3BB69-23CF-44E3-9099-C40C66FF867C}">
                  <a14:compatExt spid="_x0000_s73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73731" name="CommandButton3" hidden="1">
              <a:extLst>
                <a:ext uri="{63B3BB69-23CF-44E3-9099-C40C66FF867C}">
                  <a14:compatExt spid="_x0000_s73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1</xdr:row>
          <xdr:rowOff>47625</xdr:rowOff>
        </xdr:from>
        <xdr:to>
          <xdr:col>15</xdr:col>
          <xdr:colOff>180975</xdr:colOff>
          <xdr:row>2</xdr:row>
          <xdr:rowOff>171450</xdr:rowOff>
        </xdr:to>
        <xdr:sp macro="" textlink="">
          <xdr:nvSpPr>
            <xdr:cNvPr id="60417" name="CommandButton1" hidden="1">
              <a:extLst>
                <a:ext uri="{63B3BB69-23CF-44E3-9099-C40C66FF867C}">
                  <a14:compatExt spid="_x0000_s60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0</xdr:row>
          <xdr:rowOff>104775</xdr:rowOff>
        </xdr:from>
        <xdr:to>
          <xdr:col>14</xdr:col>
          <xdr:colOff>0</xdr:colOff>
          <xdr:row>2</xdr:row>
          <xdr:rowOff>28575</xdr:rowOff>
        </xdr:to>
        <xdr:sp macro="" textlink="">
          <xdr:nvSpPr>
            <xdr:cNvPr id="60418" name="CommandButton2" hidden="1">
              <a:extLst>
                <a:ext uri="{63B3BB69-23CF-44E3-9099-C40C66FF867C}">
                  <a14:compatExt spid="_x0000_s60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8</xdr:col>
          <xdr:colOff>9525</xdr:colOff>
          <xdr:row>2</xdr:row>
          <xdr:rowOff>19050</xdr:rowOff>
        </xdr:to>
        <xdr:sp macro="" textlink="">
          <xdr:nvSpPr>
            <xdr:cNvPr id="60419" name="CommandButton3" hidden="1">
              <a:extLst>
                <a:ext uri="{63B3BB69-23CF-44E3-9099-C40C66FF867C}">
                  <a14:compatExt spid="_x0000_s60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57345" name="CommandButton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57346" name="CommandButton2" hidden="1">
              <a:extLst>
                <a:ext uri="{63B3BB69-23CF-44E3-9099-C40C66FF867C}">
                  <a14:compatExt spid="_x0000_s57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2</xdr:row>
          <xdr:rowOff>200025</xdr:rowOff>
        </xdr:from>
        <xdr:to>
          <xdr:col>6</xdr:col>
          <xdr:colOff>19050</xdr:colOff>
          <xdr:row>4</xdr:row>
          <xdr:rowOff>47625</xdr:rowOff>
        </xdr:to>
        <xdr:sp macro="" textlink="">
          <xdr:nvSpPr>
            <xdr:cNvPr id="57347" name="CommandButton3" hidden="1">
              <a:extLst>
                <a:ext uri="{63B3BB69-23CF-44E3-9099-C40C66FF867C}">
                  <a14:compatExt spid="_x0000_s57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1</xdr:row>
          <xdr:rowOff>47625</xdr:rowOff>
        </xdr:from>
        <xdr:to>
          <xdr:col>9</xdr:col>
          <xdr:colOff>104775</xdr:colOff>
          <xdr:row>2</xdr:row>
          <xdr:rowOff>171450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104775</xdr:rowOff>
        </xdr:from>
        <xdr:to>
          <xdr:col>7</xdr:col>
          <xdr:colOff>323850</xdr:colOff>
          <xdr:row>2</xdr:row>
          <xdr:rowOff>28575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0</xdr:row>
          <xdr:rowOff>95250</xdr:rowOff>
        </xdr:from>
        <xdr:to>
          <xdr:col>6</xdr:col>
          <xdr:colOff>19050</xdr:colOff>
          <xdr:row>2</xdr:row>
          <xdr:rowOff>19050</xdr:rowOff>
        </xdr:to>
        <xdr:sp macro="" textlink="">
          <xdr:nvSpPr>
            <xdr:cNvPr id="34819" name="CommandButton3" hidden="1">
              <a:extLst>
                <a:ext uri="{63B3BB69-23CF-44E3-9099-C40C66FF867C}">
                  <a14:compatExt spid="_x0000_s3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24577" name="CommandButton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24578" name="CommandButton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5</xdr:col>
          <xdr:colOff>657225</xdr:colOff>
          <xdr:row>0</xdr:row>
          <xdr:rowOff>428625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5</xdr:col>
          <xdr:colOff>504825</xdr:colOff>
          <xdr:row>0</xdr:row>
          <xdr:rowOff>428625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133350</xdr:rowOff>
        </xdr:from>
        <xdr:to>
          <xdr:col>8</xdr:col>
          <xdr:colOff>276225</xdr:colOff>
          <xdr:row>0</xdr:row>
          <xdr:rowOff>438150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4</xdr:col>
          <xdr:colOff>114300</xdr:colOff>
          <xdr:row>0</xdr:row>
          <xdr:rowOff>428625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47625</xdr:colOff>
      <xdr:row>1</xdr:row>
      <xdr:rowOff>85726</xdr:rowOff>
    </xdr:from>
    <xdr:to>
      <xdr:col>14</xdr:col>
      <xdr:colOff>428625</xdr:colOff>
      <xdr:row>159</xdr:row>
      <xdr:rowOff>67709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77350" y="771526"/>
          <a:ext cx="5867400" cy="622085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4.xml"/><Relationship Id="rId12" Type="http://schemas.openxmlformats.org/officeDocument/2006/relationships/image" Target="../media/image6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2.vml"/><Relationship Id="rId11" Type="http://schemas.openxmlformats.org/officeDocument/2006/relationships/control" Target="../activeX/activeX6.xml"/><Relationship Id="rId5" Type="http://schemas.openxmlformats.org/officeDocument/2006/relationships/drawing" Target="../drawings/drawing2.xml"/><Relationship Id="rId10" Type="http://schemas.openxmlformats.org/officeDocument/2006/relationships/image" Target="../media/image5.emf"/><Relationship Id="rId4" Type="http://schemas.openxmlformats.org/officeDocument/2006/relationships/printerSettings" Target="../printerSettings/printerSettings2.bin"/><Relationship Id="rId9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7.xml"/><Relationship Id="rId12" Type="http://schemas.openxmlformats.org/officeDocument/2006/relationships/image" Target="../media/image9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3.vml"/><Relationship Id="rId11" Type="http://schemas.openxmlformats.org/officeDocument/2006/relationships/control" Target="../activeX/activeX9.xml"/><Relationship Id="rId5" Type="http://schemas.openxmlformats.org/officeDocument/2006/relationships/drawing" Target="../drawings/drawing3.xml"/><Relationship Id="rId10" Type="http://schemas.openxmlformats.org/officeDocument/2006/relationships/image" Target="../media/image8.emf"/><Relationship Id="rId4" Type="http://schemas.openxmlformats.org/officeDocument/2006/relationships/printerSettings" Target="../printerSettings/printerSettings3.bin"/><Relationship Id="rId9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0.xml"/><Relationship Id="rId12" Type="http://schemas.openxmlformats.org/officeDocument/2006/relationships/image" Target="../media/image12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4.vml"/><Relationship Id="rId11" Type="http://schemas.openxmlformats.org/officeDocument/2006/relationships/control" Target="../activeX/activeX12.xml"/><Relationship Id="rId5" Type="http://schemas.openxmlformats.org/officeDocument/2006/relationships/drawing" Target="../drawings/drawing4.xml"/><Relationship Id="rId10" Type="http://schemas.openxmlformats.org/officeDocument/2006/relationships/image" Target="../media/image11.emf"/><Relationship Id="rId4" Type="http://schemas.openxmlformats.org/officeDocument/2006/relationships/printerSettings" Target="../printerSettings/printerSettings4.bin"/><Relationship Id="rId9" Type="http://schemas.openxmlformats.org/officeDocument/2006/relationships/control" Target="../activeX/activeX1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3.xml"/><Relationship Id="rId12" Type="http://schemas.openxmlformats.org/officeDocument/2006/relationships/image" Target="../media/image15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5.vml"/><Relationship Id="rId11" Type="http://schemas.openxmlformats.org/officeDocument/2006/relationships/control" Target="../activeX/activeX15.xml"/><Relationship Id="rId5" Type="http://schemas.openxmlformats.org/officeDocument/2006/relationships/drawing" Target="../drawings/drawing5.xml"/><Relationship Id="rId10" Type="http://schemas.openxmlformats.org/officeDocument/2006/relationships/image" Target="../media/image14.emf"/><Relationship Id="rId4" Type="http://schemas.openxmlformats.org/officeDocument/2006/relationships/printerSettings" Target="../printerSettings/printerSettings5.bin"/><Relationship Id="rId9" Type="http://schemas.openxmlformats.org/officeDocument/2006/relationships/control" Target="../activeX/activeX1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6.xml"/><Relationship Id="rId12" Type="http://schemas.openxmlformats.org/officeDocument/2006/relationships/image" Target="../media/image18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6.vml"/><Relationship Id="rId11" Type="http://schemas.openxmlformats.org/officeDocument/2006/relationships/control" Target="../activeX/activeX18.xml"/><Relationship Id="rId5" Type="http://schemas.openxmlformats.org/officeDocument/2006/relationships/drawing" Target="../drawings/drawing6.xml"/><Relationship Id="rId10" Type="http://schemas.openxmlformats.org/officeDocument/2006/relationships/image" Target="../media/image17.emf"/><Relationship Id="rId4" Type="http://schemas.openxmlformats.org/officeDocument/2006/relationships/printerSettings" Target="../printerSettings/printerSettings6.bin"/><Relationship Id="rId9" Type="http://schemas.openxmlformats.org/officeDocument/2006/relationships/control" Target="../activeX/activeX1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9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7.vml"/><Relationship Id="rId5" Type="http://schemas.openxmlformats.org/officeDocument/2006/relationships/drawing" Target="../drawings/drawing7.xml"/><Relationship Id="rId10" Type="http://schemas.openxmlformats.org/officeDocument/2006/relationships/image" Target="../media/image20.emf"/><Relationship Id="rId4" Type="http://schemas.openxmlformats.org/officeDocument/2006/relationships/printerSettings" Target="../printerSettings/printerSettings7.bin"/><Relationship Id="rId9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21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8.vml"/><Relationship Id="rId5" Type="http://schemas.openxmlformats.org/officeDocument/2006/relationships/drawing" Target="../drawings/drawing8.xml"/><Relationship Id="rId10" Type="http://schemas.openxmlformats.org/officeDocument/2006/relationships/image" Target="../media/image22.emf"/><Relationship Id="rId4" Type="http://schemas.openxmlformats.org/officeDocument/2006/relationships/printerSettings" Target="../printerSettings/printerSettings8.bin"/><Relationship Id="rId9" Type="http://schemas.openxmlformats.org/officeDocument/2006/relationships/control" Target="../activeX/activeX2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hyperlink" Target="file:///\\file01.letdeinze.lan\company\Letdata\data\06\0392A00\G3\060392A00-G3N01_.ods" TargetMode="External"/><Relationship Id="rId7" Type="http://schemas.openxmlformats.org/officeDocument/2006/relationships/vmlDrawing" Target="../drawings/vmlDrawing9.v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drawing" Target="../drawings/drawing9.xml"/><Relationship Id="rId11" Type="http://schemas.openxmlformats.org/officeDocument/2006/relationships/image" Target="../media/image24.emf"/><Relationship Id="rId5" Type="http://schemas.openxmlformats.org/officeDocument/2006/relationships/printerSettings" Target="../printerSettings/printerSettings10.bin"/><Relationship Id="rId10" Type="http://schemas.openxmlformats.org/officeDocument/2006/relationships/control" Target="../activeX/activeX24.xml"/><Relationship Id="rId4" Type="http://schemas.openxmlformats.org/officeDocument/2006/relationships/hyperlink" Target="file:///\\QNAP01\Temporary\voor%20SPARES\REFURBISHMENT%20SPEEDOSCOPES\DSA%20overview%20speedoscope%20+%20BRC.xlsx" TargetMode="External"/><Relationship Id="rId9" Type="http://schemas.openxmlformats.org/officeDocument/2006/relationships/image" Target="../media/image2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printerSettings" Target="../printerSettings/printerSettings11.bin"/><Relationship Id="rId7" Type="http://schemas.openxmlformats.org/officeDocument/2006/relationships/image" Target="../media/image25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control" Target="../activeX/activeX25.xml"/><Relationship Id="rId5" Type="http://schemas.openxmlformats.org/officeDocument/2006/relationships/vmlDrawing" Target="../drawings/vmlDrawing10.vml"/><Relationship Id="rId4" Type="http://schemas.openxmlformats.org/officeDocument/2006/relationships/drawing" Target="../drawings/drawing10.xml"/><Relationship Id="rId9" Type="http://schemas.openxmlformats.org/officeDocument/2006/relationships/image" Target="../media/image26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27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1.vml"/><Relationship Id="rId5" Type="http://schemas.openxmlformats.org/officeDocument/2006/relationships/drawing" Target="../drawings/drawing11.xml"/><Relationship Id="rId10" Type="http://schemas.openxmlformats.org/officeDocument/2006/relationships/image" Target="../media/image28.emf"/><Relationship Id="rId4" Type="http://schemas.openxmlformats.org/officeDocument/2006/relationships/printerSettings" Target="../printerSettings/printerSettings12.bin"/><Relationship Id="rId9" Type="http://schemas.openxmlformats.org/officeDocument/2006/relationships/control" Target="../activeX/activeX2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29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2.vml"/><Relationship Id="rId5" Type="http://schemas.openxmlformats.org/officeDocument/2006/relationships/drawing" Target="../drawings/drawing12.xml"/><Relationship Id="rId10" Type="http://schemas.openxmlformats.org/officeDocument/2006/relationships/image" Target="../media/image30.emf"/><Relationship Id="rId4" Type="http://schemas.openxmlformats.org/officeDocument/2006/relationships/printerSettings" Target="../printerSettings/printerSettings13.bin"/><Relationship Id="rId9" Type="http://schemas.openxmlformats.org/officeDocument/2006/relationships/control" Target="../activeX/activeX3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31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3.vml"/><Relationship Id="rId5" Type="http://schemas.openxmlformats.org/officeDocument/2006/relationships/drawing" Target="../drawings/drawing13.xml"/><Relationship Id="rId10" Type="http://schemas.openxmlformats.org/officeDocument/2006/relationships/image" Target="../media/image33.emf"/><Relationship Id="rId4" Type="http://schemas.openxmlformats.org/officeDocument/2006/relationships/printerSettings" Target="../printerSettings/printerSettings14.bin"/><Relationship Id="rId9" Type="http://schemas.openxmlformats.org/officeDocument/2006/relationships/control" Target="../activeX/activeX32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33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4.vml"/><Relationship Id="rId5" Type="http://schemas.openxmlformats.org/officeDocument/2006/relationships/drawing" Target="../drawings/drawing14.xml"/><Relationship Id="rId10" Type="http://schemas.openxmlformats.org/officeDocument/2006/relationships/image" Target="../media/image35.emf"/><Relationship Id="rId4" Type="http://schemas.openxmlformats.org/officeDocument/2006/relationships/printerSettings" Target="../printerSettings/printerSettings15.bin"/><Relationship Id="rId9" Type="http://schemas.openxmlformats.org/officeDocument/2006/relationships/control" Target="../activeX/activeX34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35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5.vml"/><Relationship Id="rId5" Type="http://schemas.openxmlformats.org/officeDocument/2006/relationships/drawing" Target="../drawings/drawing15.xml"/><Relationship Id="rId10" Type="http://schemas.openxmlformats.org/officeDocument/2006/relationships/image" Target="../media/image37.emf"/><Relationship Id="rId4" Type="http://schemas.openxmlformats.org/officeDocument/2006/relationships/printerSettings" Target="../printerSettings/printerSettings16.bin"/><Relationship Id="rId9" Type="http://schemas.openxmlformats.org/officeDocument/2006/relationships/control" Target="../activeX/activeX3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37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6.vml"/><Relationship Id="rId5" Type="http://schemas.openxmlformats.org/officeDocument/2006/relationships/drawing" Target="../drawings/drawing16.xml"/><Relationship Id="rId10" Type="http://schemas.openxmlformats.org/officeDocument/2006/relationships/image" Target="../media/image39.emf"/><Relationship Id="rId4" Type="http://schemas.openxmlformats.org/officeDocument/2006/relationships/printerSettings" Target="../printerSettings/printerSettings17.bin"/><Relationship Id="rId9" Type="http://schemas.openxmlformats.org/officeDocument/2006/relationships/control" Target="../activeX/activeX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2" filterMode="1">
    <tabColor rgb="FFFFC000"/>
  </sheetPr>
  <dimension ref="A1:BK165"/>
  <sheetViews>
    <sheetView topLeftCell="B1" zoomScale="87" zoomScaleNormal="87" zoomScaleSheetLayoutView="70" workbookViewId="0">
      <selection activeCell="D173" sqref="D173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29" style="23" bestFit="1" customWidth="1"/>
    <col min="5" max="5" width="6" style="21" bestFit="1" customWidth="1"/>
    <col min="6" max="6" width="6" style="20" bestFit="1" customWidth="1"/>
    <col min="7" max="11" width="6" style="32" bestFit="1" customWidth="1"/>
    <col min="12" max="13" width="6" style="22" bestFit="1" customWidth="1"/>
  </cols>
  <sheetData>
    <row r="1" spans="1:63" x14ac:dyDescent="0.25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63" x14ac:dyDescent="0.25">
      <c r="A2"/>
      <c r="B2"/>
      <c r="C2"/>
      <c r="D2"/>
      <c r="E2"/>
      <c r="F2"/>
      <c r="G2"/>
      <c r="H2"/>
      <c r="I2"/>
      <c r="J2"/>
      <c r="K2"/>
      <c r="L2"/>
      <c r="M2"/>
    </row>
    <row r="3" spans="1:63" x14ac:dyDescent="0.25">
      <c r="A3"/>
      <c r="B3"/>
      <c r="C3"/>
      <c r="D3"/>
      <c r="E3"/>
      <c r="F3"/>
      <c r="G3"/>
      <c r="H3"/>
      <c r="I3"/>
      <c r="J3"/>
      <c r="K3"/>
      <c r="L3"/>
      <c r="M3"/>
    </row>
    <row r="4" spans="1:63" s="36" customFormat="1" ht="51" x14ac:dyDescent="0.25">
      <c r="C4" s="40">
        <v>43592</v>
      </c>
      <c r="E4" s="39"/>
      <c r="F4" s="39"/>
      <c r="G4" s="39" t="s">
        <v>437</v>
      </c>
      <c r="H4" s="39"/>
      <c r="I4" s="39"/>
      <c r="J4" s="39"/>
      <c r="K4" s="39"/>
      <c r="L4" s="39"/>
      <c r="M4" s="39"/>
    </row>
    <row r="5" spans="1:63" s="36" customFormat="1" ht="98.25" customHeight="1" x14ac:dyDescent="0.25">
      <c r="A5" s="55"/>
      <c r="B5" s="55" t="s">
        <v>325</v>
      </c>
      <c r="C5" s="56" t="str">
        <f ca="1">MID(CELL("filename",A5),FIND("]",CELL("filename",A5))+1,256)</f>
        <v>rgo190016</v>
      </c>
      <c r="D5" s="57" t="s">
        <v>382</v>
      </c>
      <c r="E5" s="37"/>
      <c r="F5" s="37"/>
      <c r="G5" s="37">
        <v>1158</v>
      </c>
      <c r="H5" s="37"/>
      <c r="I5" s="37"/>
      <c r="J5" s="37"/>
      <c r="K5" s="38"/>
      <c r="L5" s="35"/>
      <c r="M5" s="38" t="s">
        <v>386</v>
      </c>
    </row>
    <row r="6" spans="1:63" ht="17.25" customHeight="1" x14ac:dyDescent="0.25">
      <c r="A6" s="58" t="s">
        <v>307</v>
      </c>
      <c r="B6" s="58" t="s">
        <v>324</v>
      </c>
      <c r="C6" s="58" t="s">
        <v>323</v>
      </c>
      <c r="D6" s="53" t="str">
        <f t="shared" ref="D6:D37" si="0">(E6+F6+L6+G6+H6+I6+J6+K6) &amp;M6</f>
        <v>0</v>
      </c>
      <c r="E6" s="53"/>
      <c r="F6" s="53"/>
      <c r="G6" s="53"/>
      <c r="H6" s="53"/>
      <c r="I6" s="53"/>
      <c r="J6" s="53"/>
      <c r="K6" s="53"/>
      <c r="L6" s="43"/>
      <c r="M6" s="43"/>
    </row>
    <row r="7" spans="1:63" ht="17.25" customHeight="1" x14ac:dyDescent="0.25">
      <c r="A7" s="59" t="s">
        <v>534</v>
      </c>
      <c r="B7" s="59" t="s">
        <v>532</v>
      </c>
      <c r="C7" s="59" t="s">
        <v>533</v>
      </c>
      <c r="D7" s="53" t="str">
        <f t="shared" si="0"/>
        <v>1</v>
      </c>
      <c r="E7" s="53"/>
      <c r="F7" s="53"/>
      <c r="G7" s="53">
        <v>1</v>
      </c>
      <c r="H7" s="53"/>
      <c r="I7" s="53"/>
      <c r="J7" s="53"/>
      <c r="K7" s="53"/>
      <c r="L7" s="43"/>
      <c r="M7" s="43"/>
    </row>
    <row r="8" spans="1:63" ht="19.5" customHeight="1" x14ac:dyDescent="0.25">
      <c r="A8" s="59" t="s">
        <v>534</v>
      </c>
      <c r="B8" s="59" t="s">
        <v>436</v>
      </c>
      <c r="C8" s="59" t="s">
        <v>535</v>
      </c>
      <c r="D8" s="53" t="str">
        <f t="shared" si="0"/>
        <v>0</v>
      </c>
      <c r="E8" s="53"/>
      <c r="F8" s="53"/>
      <c r="G8" s="53"/>
      <c r="H8" s="53"/>
      <c r="I8" s="53"/>
      <c r="J8" s="53"/>
      <c r="K8" s="53"/>
      <c r="L8" s="43"/>
      <c r="M8" s="43"/>
    </row>
    <row r="9" spans="1:63" ht="18" customHeight="1" x14ac:dyDescent="0.25">
      <c r="A9" s="59" t="s">
        <v>314</v>
      </c>
      <c r="B9" s="59" t="s">
        <v>315</v>
      </c>
      <c r="C9" s="59" t="s">
        <v>365</v>
      </c>
      <c r="D9" s="26" t="str">
        <f t="shared" si="0"/>
        <v>0</v>
      </c>
      <c r="E9" s="26"/>
      <c r="F9" s="26"/>
      <c r="G9" s="26"/>
      <c r="H9" s="26"/>
      <c r="I9" s="26"/>
      <c r="J9" s="26"/>
      <c r="K9" s="26"/>
      <c r="L9" s="27"/>
      <c r="M9" s="27"/>
    </row>
    <row r="10" spans="1:63" ht="18" hidden="1" customHeight="1" x14ac:dyDescent="0.25">
      <c r="A10" s="48" t="s">
        <v>169</v>
      </c>
      <c r="B10" s="48" t="s">
        <v>215</v>
      </c>
      <c r="C10" s="48" t="s">
        <v>216</v>
      </c>
      <c r="D10" s="49" t="str">
        <f t="shared" si="0"/>
        <v>0</v>
      </c>
      <c r="E10" s="50"/>
      <c r="F10" s="50"/>
      <c r="G10" s="50"/>
      <c r="H10" s="50"/>
      <c r="I10" s="50"/>
      <c r="J10" s="50"/>
      <c r="K10" s="50"/>
      <c r="L10" s="50"/>
      <c r="M10" s="50"/>
    </row>
    <row r="11" spans="1:63" ht="18" hidden="1" customHeight="1" x14ac:dyDescent="0.25">
      <c r="A11" s="29" t="s">
        <v>169</v>
      </c>
      <c r="B11" s="29" t="s">
        <v>170</v>
      </c>
      <c r="C11" s="29" t="s">
        <v>171</v>
      </c>
      <c r="D11" s="25" t="str">
        <f t="shared" si="0"/>
        <v>0</v>
      </c>
      <c r="E11" s="27"/>
      <c r="F11" s="27"/>
      <c r="G11" s="27"/>
      <c r="H11" s="27"/>
      <c r="I11" s="27"/>
      <c r="J11" s="27"/>
      <c r="K11" s="27"/>
      <c r="L11" s="27"/>
      <c r="M11" s="27"/>
    </row>
    <row r="12" spans="1:63" ht="18" hidden="1" customHeight="1" x14ac:dyDescent="0.25">
      <c r="A12" s="41" t="s">
        <v>169</v>
      </c>
      <c r="B12" s="41" t="s">
        <v>172</v>
      </c>
      <c r="C12" s="41" t="s">
        <v>173</v>
      </c>
      <c r="D12" s="42" t="str">
        <f t="shared" si="0"/>
        <v>0</v>
      </c>
      <c r="E12" s="43"/>
      <c r="F12" s="43"/>
      <c r="G12" s="43"/>
      <c r="H12" s="43"/>
      <c r="I12" s="43"/>
      <c r="J12" s="43"/>
      <c r="K12" s="43"/>
      <c r="L12" s="43"/>
      <c r="M12" s="43"/>
    </row>
    <row r="13" spans="1:63" ht="18" customHeight="1" x14ac:dyDescent="0.25">
      <c r="A13" s="60" t="s">
        <v>52</v>
      </c>
      <c r="B13" s="60" t="s">
        <v>53</v>
      </c>
      <c r="C13" s="60" t="s">
        <v>54</v>
      </c>
      <c r="D13" s="26" t="str">
        <f t="shared" si="0"/>
        <v>0</v>
      </c>
      <c r="E13" s="27"/>
      <c r="F13" s="27"/>
      <c r="G13" s="27"/>
      <c r="H13" s="27"/>
      <c r="I13" s="27"/>
      <c r="J13" s="27"/>
      <c r="K13" s="27"/>
      <c r="L13" s="27"/>
      <c r="M13" s="27"/>
      <c r="Q13" t="s">
        <v>393</v>
      </c>
      <c r="R13" t="s">
        <v>391</v>
      </c>
      <c r="S13" t="s">
        <v>392</v>
      </c>
      <c r="T13" t="s">
        <v>440</v>
      </c>
      <c r="U13" t="s">
        <v>441</v>
      </c>
      <c r="V13" t="s">
        <v>442</v>
      </c>
      <c r="W13" t="s">
        <v>443</v>
      </c>
      <c r="X13" t="s">
        <v>444</v>
      </c>
      <c r="Y13" t="s">
        <v>445</v>
      </c>
      <c r="Z13" t="s">
        <v>446</v>
      </c>
      <c r="AA13" t="s">
        <v>447</v>
      </c>
      <c r="AB13" t="s">
        <v>448</v>
      </c>
      <c r="AC13" t="s">
        <v>449</v>
      </c>
      <c r="AD13" t="s">
        <v>450</v>
      </c>
      <c r="AE13" t="s">
        <v>451</v>
      </c>
      <c r="AF13" t="s">
        <v>452</v>
      </c>
      <c r="AG13" t="s">
        <v>453</v>
      </c>
      <c r="AH13" t="s">
        <v>454</v>
      </c>
      <c r="AI13" t="s">
        <v>455</v>
      </c>
      <c r="AJ13" t="s">
        <v>456</v>
      </c>
      <c r="AK13" t="s">
        <v>457</v>
      </c>
      <c r="AL13" t="s">
        <v>458</v>
      </c>
      <c r="AM13" t="s">
        <v>459</v>
      </c>
      <c r="AN13" t="s">
        <v>460</v>
      </c>
      <c r="AO13" t="s">
        <v>461</v>
      </c>
      <c r="AP13" t="s">
        <v>462</v>
      </c>
      <c r="AQ13" t="s">
        <v>463</v>
      </c>
      <c r="AR13" t="s">
        <v>464</v>
      </c>
      <c r="AS13" t="s">
        <v>465</v>
      </c>
      <c r="AT13" t="s">
        <v>466</v>
      </c>
      <c r="AU13" t="s">
        <v>467</v>
      </c>
      <c r="AV13" t="s">
        <v>468</v>
      </c>
      <c r="AW13" t="s">
        <v>469</v>
      </c>
      <c r="AX13" t="s">
        <v>470</v>
      </c>
      <c r="AY13" t="s">
        <v>471</v>
      </c>
      <c r="AZ13" t="s">
        <v>472</v>
      </c>
      <c r="BA13" t="s">
        <v>473</v>
      </c>
      <c r="BB13" t="s">
        <v>474</v>
      </c>
      <c r="BC13" t="s">
        <v>475</v>
      </c>
      <c r="BD13" t="s">
        <v>476</v>
      </c>
      <c r="BE13" t="s">
        <v>477</v>
      </c>
      <c r="BF13" t="s">
        <v>478</v>
      </c>
      <c r="BG13" t="s">
        <v>479</v>
      </c>
      <c r="BH13" t="s">
        <v>480</v>
      </c>
      <c r="BI13" t="s">
        <v>481</v>
      </c>
      <c r="BJ13" t="s">
        <v>482</v>
      </c>
      <c r="BK13" t="s">
        <v>483</v>
      </c>
    </row>
    <row r="14" spans="1:63" ht="18" hidden="1" customHeight="1" x14ac:dyDescent="0.25">
      <c r="A14" s="48" t="s">
        <v>138</v>
      </c>
      <c r="B14" s="48" t="s">
        <v>160</v>
      </c>
      <c r="C14" s="48" t="s">
        <v>159</v>
      </c>
      <c r="D14" s="49" t="str">
        <f t="shared" si="0"/>
        <v>0</v>
      </c>
      <c r="E14" s="50"/>
      <c r="F14" s="50"/>
      <c r="G14" s="50"/>
      <c r="H14" s="50"/>
      <c r="I14" s="50"/>
      <c r="J14" s="50"/>
      <c r="K14" s="50"/>
      <c r="L14" s="50"/>
      <c r="M14" s="50"/>
      <c r="Q14" t="s">
        <v>508</v>
      </c>
      <c r="R14" t="s">
        <v>52</v>
      </c>
      <c r="S14" t="s">
        <v>509</v>
      </c>
      <c r="T14" t="s">
        <v>510</v>
      </c>
      <c r="U14" t="str">
        <f>"0000000410168"</f>
        <v>0000000410168</v>
      </c>
      <c r="V14">
        <v>1</v>
      </c>
      <c r="W14" t="s">
        <v>400</v>
      </c>
      <c r="X14" t="s">
        <v>511</v>
      </c>
      <c r="Y14" t="s">
        <v>511</v>
      </c>
      <c r="Z14" t="s">
        <v>511</v>
      </c>
      <c r="AA14" t="s">
        <v>488</v>
      </c>
      <c r="AB14" t="s">
        <v>405</v>
      </c>
      <c r="AC14" t="s">
        <v>488</v>
      </c>
      <c r="AE14" t="s">
        <v>405</v>
      </c>
      <c r="AF14" t="s">
        <v>400</v>
      </c>
      <c r="AG14">
        <v>42605</v>
      </c>
      <c r="AH14" t="s">
        <v>489</v>
      </c>
      <c r="AI14" t="s">
        <v>512</v>
      </c>
      <c r="AJ14" t="s">
        <v>489</v>
      </c>
      <c r="AK14" t="s">
        <v>512</v>
      </c>
      <c r="AL14" t="s">
        <v>405</v>
      </c>
      <c r="AM14" s="3">
        <v>43522</v>
      </c>
      <c r="AN14" t="s">
        <v>513</v>
      </c>
      <c r="AO14" t="s">
        <v>514</v>
      </c>
      <c r="AQ14">
        <v>0</v>
      </c>
      <c r="AR14" t="str">
        <f>"0000000410168"</f>
        <v>0000000410168</v>
      </c>
      <c r="AS14" t="s">
        <v>493</v>
      </c>
      <c r="AU14" s="3">
        <v>73050</v>
      </c>
      <c r="AV14" s="3">
        <v>73050</v>
      </c>
      <c r="AW14" t="s">
        <v>494</v>
      </c>
      <c r="AX14" t="s">
        <v>495</v>
      </c>
      <c r="AY14">
        <v>0</v>
      </c>
      <c r="AZ14" t="s">
        <v>515</v>
      </c>
      <c r="BA14">
        <v>0</v>
      </c>
      <c r="BB14">
        <v>0</v>
      </c>
      <c r="BC14" t="s">
        <v>497</v>
      </c>
      <c r="BD14" t="s">
        <v>515</v>
      </c>
      <c r="BE14" t="s">
        <v>405</v>
      </c>
      <c r="BF14">
        <v>0</v>
      </c>
      <c r="BG14" t="s">
        <v>405</v>
      </c>
      <c r="BI14" t="s">
        <v>498</v>
      </c>
      <c r="BJ14" t="s">
        <v>499</v>
      </c>
    </row>
    <row r="15" spans="1:63" ht="18" hidden="1" customHeight="1" x14ac:dyDescent="0.25">
      <c r="A15" s="29" t="s">
        <v>138</v>
      </c>
      <c r="B15" s="29" t="s">
        <v>162</v>
      </c>
      <c r="C15" s="29" t="s">
        <v>161</v>
      </c>
      <c r="D15" s="25" t="str">
        <f t="shared" si="0"/>
        <v>0</v>
      </c>
      <c r="E15" s="27"/>
      <c r="F15" s="27"/>
      <c r="G15" s="27"/>
      <c r="H15" s="27"/>
      <c r="I15" s="27"/>
      <c r="J15" s="27"/>
      <c r="K15" s="27"/>
      <c r="L15" s="27"/>
      <c r="M15" s="27"/>
      <c r="Q15" t="s">
        <v>516</v>
      </c>
      <c r="R15" t="s">
        <v>52</v>
      </c>
      <c r="S15" t="s">
        <v>517</v>
      </c>
      <c r="T15" t="s">
        <v>518</v>
      </c>
      <c r="U15" t="s">
        <v>519</v>
      </c>
      <c r="V15">
        <v>1</v>
      </c>
      <c r="W15" t="s">
        <v>400</v>
      </c>
      <c r="X15" t="s">
        <v>511</v>
      </c>
      <c r="Y15" t="s">
        <v>511</v>
      </c>
      <c r="Z15" t="s">
        <v>511</v>
      </c>
      <c r="AA15" t="s">
        <v>520</v>
      </c>
      <c r="AB15" t="s">
        <v>405</v>
      </c>
      <c r="AC15" t="s">
        <v>521</v>
      </c>
      <c r="AD15" t="s">
        <v>522</v>
      </c>
      <c r="AE15" t="s">
        <v>405</v>
      </c>
      <c r="AF15" t="s">
        <v>400</v>
      </c>
      <c r="AG15">
        <v>1917</v>
      </c>
      <c r="AH15" t="s">
        <v>489</v>
      </c>
      <c r="AI15" t="s">
        <v>523</v>
      </c>
      <c r="AJ15" t="s">
        <v>489</v>
      </c>
      <c r="AK15" t="s">
        <v>523</v>
      </c>
      <c r="AL15" t="s">
        <v>405</v>
      </c>
      <c r="AM15" s="3">
        <v>43444</v>
      </c>
      <c r="AN15" t="s">
        <v>524</v>
      </c>
      <c r="AO15" t="s">
        <v>514</v>
      </c>
      <c r="AQ15">
        <v>0</v>
      </c>
      <c r="AR15" t="str">
        <f>"0000000011037"</f>
        <v>0000000011037</v>
      </c>
      <c r="AS15" t="s">
        <v>493</v>
      </c>
      <c r="AU15" s="3">
        <v>73050</v>
      </c>
      <c r="AV15" s="3">
        <v>73050</v>
      </c>
      <c r="AW15" t="s">
        <v>494</v>
      </c>
      <c r="AX15" t="s">
        <v>495</v>
      </c>
      <c r="AY15">
        <v>0</v>
      </c>
      <c r="AZ15" t="s">
        <v>405</v>
      </c>
      <c r="BA15">
        <v>0</v>
      </c>
      <c r="BB15">
        <v>0</v>
      </c>
      <c r="BC15" t="s">
        <v>497</v>
      </c>
      <c r="BD15" t="s">
        <v>525</v>
      </c>
      <c r="BE15" t="s">
        <v>405</v>
      </c>
      <c r="BF15">
        <v>0</v>
      </c>
      <c r="BG15" t="s">
        <v>405</v>
      </c>
      <c r="BI15" t="s">
        <v>498</v>
      </c>
      <c r="BJ15" t="s">
        <v>499</v>
      </c>
    </row>
    <row r="16" spans="1:63" ht="18" hidden="1" customHeight="1" x14ac:dyDescent="0.25">
      <c r="A16" s="29" t="s">
        <v>138</v>
      </c>
      <c r="B16" s="29" t="s">
        <v>139</v>
      </c>
      <c r="C16" s="29" t="s">
        <v>140</v>
      </c>
      <c r="D16" s="25" t="str">
        <f t="shared" si="0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63" ht="18" hidden="1" customHeight="1" x14ac:dyDescent="0.25">
      <c r="A17" s="29" t="s">
        <v>120</v>
      </c>
      <c r="B17" s="29" t="s">
        <v>123</v>
      </c>
      <c r="C17" s="29" t="s">
        <v>124</v>
      </c>
      <c r="D17" s="25" t="str">
        <f t="shared" si="0"/>
        <v>0</v>
      </c>
      <c r="E17" s="27"/>
      <c r="F17" s="27"/>
      <c r="G17" s="27"/>
      <c r="H17" s="27"/>
      <c r="I17" s="27"/>
      <c r="J17" s="27"/>
      <c r="K17" s="27"/>
      <c r="L17" s="27"/>
      <c r="M17" s="27"/>
    </row>
    <row r="18" spans="1:63" ht="18" hidden="1" customHeight="1" x14ac:dyDescent="0.25">
      <c r="A18" s="29" t="s">
        <v>120</v>
      </c>
      <c r="B18" s="29" t="s">
        <v>125</v>
      </c>
      <c r="C18" s="29" t="s">
        <v>126</v>
      </c>
      <c r="D18" s="25" t="str">
        <f t="shared" si="0"/>
        <v>0</v>
      </c>
      <c r="E18" s="27"/>
      <c r="F18" s="27"/>
      <c r="G18" s="27"/>
      <c r="H18" s="27"/>
      <c r="I18" s="27"/>
      <c r="J18" s="27"/>
      <c r="K18" s="27"/>
      <c r="L18" s="27"/>
      <c r="M18" s="27"/>
    </row>
    <row r="19" spans="1:63" ht="18" hidden="1" customHeight="1" x14ac:dyDescent="0.25">
      <c r="A19" s="29" t="s">
        <v>268</v>
      </c>
      <c r="B19" s="29" t="s">
        <v>337</v>
      </c>
      <c r="C19" s="29" t="s">
        <v>338</v>
      </c>
      <c r="D19" s="25" t="str">
        <f t="shared" si="0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63" ht="18" hidden="1" customHeight="1" x14ac:dyDescent="0.25">
      <c r="A20" s="29" t="s">
        <v>268</v>
      </c>
      <c r="B20" s="29" t="s">
        <v>269</v>
      </c>
      <c r="C20" s="29" t="s">
        <v>336</v>
      </c>
      <c r="D20" s="25" t="str">
        <f t="shared" si="0"/>
        <v>0</v>
      </c>
      <c r="E20" s="27"/>
      <c r="F20" s="27"/>
      <c r="G20" s="27"/>
      <c r="H20" s="27"/>
      <c r="I20" s="27"/>
      <c r="J20" s="27"/>
      <c r="K20" s="27"/>
      <c r="L20" s="27"/>
      <c r="M20" s="27"/>
      <c r="Q20" t="s">
        <v>393</v>
      </c>
      <c r="R20" t="s">
        <v>391</v>
      </c>
      <c r="S20" t="s">
        <v>392</v>
      </c>
      <c r="T20" t="s">
        <v>440</v>
      </c>
      <c r="U20" t="s">
        <v>441</v>
      </c>
      <c r="V20" t="s">
        <v>442</v>
      </c>
      <c r="W20" t="s">
        <v>443</v>
      </c>
      <c r="X20" t="s">
        <v>444</v>
      </c>
      <c r="Y20" t="s">
        <v>445</v>
      </c>
      <c r="Z20" t="s">
        <v>446</v>
      </c>
      <c r="AA20" t="s">
        <v>447</v>
      </c>
      <c r="AB20" t="s">
        <v>448</v>
      </c>
      <c r="AC20" t="s">
        <v>449</v>
      </c>
      <c r="AD20" t="s">
        <v>450</v>
      </c>
      <c r="AE20" t="s">
        <v>451</v>
      </c>
      <c r="AF20" t="s">
        <v>452</v>
      </c>
      <c r="AG20" t="s">
        <v>453</v>
      </c>
      <c r="AH20" t="s">
        <v>454</v>
      </c>
      <c r="AI20" t="s">
        <v>455</v>
      </c>
      <c r="AJ20" t="s">
        <v>456</v>
      </c>
      <c r="AK20" t="s">
        <v>457</v>
      </c>
      <c r="AL20" t="s">
        <v>458</v>
      </c>
      <c r="AM20" t="s">
        <v>459</v>
      </c>
      <c r="AN20" t="s">
        <v>460</v>
      </c>
      <c r="AO20" t="s">
        <v>461</v>
      </c>
      <c r="AP20" t="s">
        <v>462</v>
      </c>
      <c r="AQ20" t="s">
        <v>463</v>
      </c>
      <c r="AR20" t="s">
        <v>464</v>
      </c>
      <c r="AS20" t="s">
        <v>465</v>
      </c>
      <c r="AT20" t="s">
        <v>466</v>
      </c>
      <c r="AU20" t="s">
        <v>467</v>
      </c>
      <c r="AV20" t="s">
        <v>468</v>
      </c>
      <c r="AW20" t="s">
        <v>469</v>
      </c>
      <c r="AX20" t="s">
        <v>470</v>
      </c>
      <c r="AY20" t="s">
        <v>471</v>
      </c>
      <c r="AZ20" t="s">
        <v>472</v>
      </c>
      <c r="BA20" t="s">
        <v>473</v>
      </c>
      <c r="BB20" t="s">
        <v>474</v>
      </c>
      <c r="BC20" t="s">
        <v>475</v>
      </c>
      <c r="BD20" t="s">
        <v>476</v>
      </c>
      <c r="BE20" t="s">
        <v>477</v>
      </c>
      <c r="BF20" t="s">
        <v>478</v>
      </c>
      <c r="BG20" t="s">
        <v>479</v>
      </c>
      <c r="BH20" t="s">
        <v>480</v>
      </c>
      <c r="BI20" t="s">
        <v>481</v>
      </c>
      <c r="BJ20" t="s">
        <v>482</v>
      </c>
      <c r="BK20" t="s">
        <v>483</v>
      </c>
    </row>
    <row r="21" spans="1:63" ht="18" hidden="1" customHeight="1" x14ac:dyDescent="0.25">
      <c r="A21" s="29" t="s">
        <v>117</v>
      </c>
      <c r="B21" s="29" t="s">
        <v>118</v>
      </c>
      <c r="C21" s="29" t="s">
        <v>381</v>
      </c>
      <c r="D21" s="25" t="str">
        <f t="shared" si="0"/>
        <v>0</v>
      </c>
      <c r="E21" s="27"/>
      <c r="F21" s="27"/>
      <c r="G21" s="27"/>
      <c r="H21" s="27"/>
      <c r="I21" s="27"/>
      <c r="J21" s="27"/>
      <c r="K21" s="27"/>
      <c r="L21" s="27"/>
      <c r="M21" s="27"/>
      <c r="Q21" t="s">
        <v>526</v>
      </c>
      <c r="R21" t="s">
        <v>27</v>
      </c>
      <c r="S21" t="s">
        <v>527</v>
      </c>
      <c r="T21" t="s">
        <v>528</v>
      </c>
      <c r="U21" t="str">
        <f>"0000000317160"</f>
        <v>0000000317160</v>
      </c>
      <c r="V21">
        <v>1</v>
      </c>
      <c r="W21" t="s">
        <v>400</v>
      </c>
      <c r="X21" t="s">
        <v>400</v>
      </c>
      <c r="Y21" t="s">
        <v>400</v>
      </c>
      <c r="Z21" t="s">
        <v>400</v>
      </c>
      <c r="AA21" t="s">
        <v>529</v>
      </c>
      <c r="AB21" t="s">
        <v>405</v>
      </c>
      <c r="AC21" t="s">
        <v>488</v>
      </c>
      <c r="AE21" t="s">
        <v>405</v>
      </c>
      <c r="AF21" t="s">
        <v>400</v>
      </c>
      <c r="AG21">
        <v>31622</v>
      </c>
      <c r="AH21" t="s">
        <v>489</v>
      </c>
      <c r="AI21" t="s">
        <v>512</v>
      </c>
      <c r="AJ21" t="s">
        <v>489</v>
      </c>
      <c r="AK21" t="s">
        <v>512</v>
      </c>
      <c r="AL21" t="s">
        <v>405</v>
      </c>
      <c r="AM21" s="3">
        <v>43574</v>
      </c>
      <c r="AN21" t="s">
        <v>530</v>
      </c>
      <c r="AO21" t="s">
        <v>492</v>
      </c>
      <c r="AQ21">
        <v>1</v>
      </c>
      <c r="AR21" t="str">
        <f>"0000000317160"</f>
        <v>0000000317160</v>
      </c>
      <c r="AS21" t="s">
        <v>493</v>
      </c>
      <c r="AU21" s="3">
        <v>73050</v>
      </c>
      <c r="AV21" s="3">
        <v>73050</v>
      </c>
      <c r="AW21" t="s">
        <v>494</v>
      </c>
      <c r="AX21" t="s">
        <v>531</v>
      </c>
      <c r="AY21">
        <v>0</v>
      </c>
      <c r="AZ21" t="s">
        <v>405</v>
      </c>
      <c r="BA21">
        <v>0</v>
      </c>
      <c r="BB21">
        <v>0</v>
      </c>
      <c r="BC21" t="s">
        <v>497</v>
      </c>
      <c r="BD21" t="s">
        <v>405</v>
      </c>
      <c r="BE21" t="s">
        <v>405</v>
      </c>
      <c r="BF21">
        <v>0</v>
      </c>
      <c r="BG21" t="s">
        <v>405</v>
      </c>
      <c r="BI21" t="s">
        <v>498</v>
      </c>
      <c r="BJ21" t="s">
        <v>499</v>
      </c>
    </row>
    <row r="22" spans="1:63" ht="18" hidden="1" customHeight="1" x14ac:dyDescent="0.25">
      <c r="A22" s="29" t="s">
        <v>107</v>
      </c>
      <c r="B22" s="29" t="s">
        <v>112</v>
      </c>
      <c r="C22" s="29" t="s">
        <v>312</v>
      </c>
      <c r="D22" s="25" t="str">
        <f t="shared" si="0"/>
        <v>0</v>
      </c>
      <c r="E22" s="27"/>
      <c r="F22" s="27"/>
      <c r="G22" s="27"/>
      <c r="H22" s="27"/>
      <c r="I22" s="27"/>
      <c r="J22" s="27"/>
      <c r="K22" s="27"/>
      <c r="L22" s="27"/>
      <c r="M22" s="27"/>
    </row>
    <row r="23" spans="1:63" ht="18" hidden="1" customHeight="1" x14ac:dyDescent="0.25">
      <c r="A23" s="29" t="s">
        <v>9</v>
      </c>
      <c r="B23" s="29" t="s">
        <v>166</v>
      </c>
      <c r="C23" s="29" t="s">
        <v>310</v>
      </c>
      <c r="D23" s="25" t="str">
        <f t="shared" si="0"/>
        <v>0</v>
      </c>
      <c r="E23" s="27"/>
      <c r="F23" s="27"/>
      <c r="G23" s="27"/>
      <c r="H23" s="27"/>
      <c r="I23" s="27"/>
      <c r="J23" s="27"/>
      <c r="K23" s="27"/>
      <c r="L23" s="27"/>
      <c r="M23" s="27"/>
    </row>
    <row r="24" spans="1:63" ht="18" hidden="1" customHeight="1" x14ac:dyDescent="0.25">
      <c r="A24" s="29" t="s">
        <v>9</v>
      </c>
      <c r="B24" s="29" t="s">
        <v>168</v>
      </c>
      <c r="C24" s="29" t="s">
        <v>311</v>
      </c>
      <c r="D24" s="25" t="str">
        <f t="shared" si="0"/>
        <v>0</v>
      </c>
      <c r="E24" s="27"/>
      <c r="F24" s="27"/>
      <c r="G24" s="27"/>
      <c r="H24" s="27"/>
      <c r="I24" s="27"/>
      <c r="J24" s="27"/>
      <c r="K24" s="27"/>
      <c r="L24" s="27"/>
      <c r="M24" s="27"/>
    </row>
    <row r="25" spans="1:63" ht="18" hidden="1" customHeight="1" x14ac:dyDescent="0.25">
      <c r="A25" s="29" t="s">
        <v>9</v>
      </c>
      <c r="B25" s="29" t="s">
        <v>155</v>
      </c>
      <c r="C25" s="29" t="s">
        <v>156</v>
      </c>
      <c r="D25" s="25" t="str">
        <f t="shared" si="0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63" ht="18" hidden="1" customHeight="1" x14ac:dyDescent="0.25">
      <c r="A26" s="29" t="s">
        <v>138</v>
      </c>
      <c r="B26" s="29" t="s">
        <v>149</v>
      </c>
      <c r="C26" s="29" t="s">
        <v>345</v>
      </c>
      <c r="D26" s="25" t="str">
        <f t="shared" si="0"/>
        <v>0</v>
      </c>
      <c r="E26" s="27"/>
      <c r="F26" s="27"/>
      <c r="G26" s="27"/>
      <c r="H26" s="27"/>
      <c r="I26" s="27"/>
      <c r="J26" s="27"/>
      <c r="K26" s="27"/>
      <c r="L26" s="27"/>
      <c r="M26" s="27"/>
    </row>
    <row r="27" spans="1:63" ht="18" hidden="1" customHeight="1" x14ac:dyDescent="0.25">
      <c r="A27" s="29" t="s">
        <v>352</v>
      </c>
      <c r="B27" s="29" t="s">
        <v>352</v>
      </c>
      <c r="C27" s="29" t="s">
        <v>366</v>
      </c>
      <c r="D27" s="25" t="str">
        <f t="shared" si="0"/>
        <v>0</v>
      </c>
      <c r="E27" s="27"/>
      <c r="F27" s="27"/>
      <c r="G27" s="27"/>
      <c r="H27" s="27"/>
      <c r="I27" s="27"/>
      <c r="J27" s="27"/>
      <c r="K27" s="27"/>
      <c r="L27" s="27"/>
      <c r="M27" s="27"/>
    </row>
    <row r="28" spans="1:63" ht="18" hidden="1" customHeight="1" x14ac:dyDescent="0.25">
      <c r="A28" s="29" t="s">
        <v>4</v>
      </c>
      <c r="B28" s="29" t="s">
        <v>188</v>
      </c>
      <c r="C28" s="29" t="s">
        <v>189</v>
      </c>
      <c r="D28" s="25" t="str">
        <f t="shared" si="0"/>
        <v>0</v>
      </c>
      <c r="E28" s="27"/>
      <c r="F28" s="27"/>
      <c r="G28" s="27"/>
      <c r="H28" s="27"/>
      <c r="I28" s="27"/>
      <c r="J28" s="27"/>
      <c r="K28" s="27"/>
      <c r="L28" s="27"/>
      <c r="M28" s="27"/>
    </row>
    <row r="29" spans="1:63" ht="18" hidden="1" customHeight="1" x14ac:dyDescent="0.25">
      <c r="A29" s="41" t="s">
        <v>129</v>
      </c>
      <c r="B29" s="41" t="s">
        <v>130</v>
      </c>
      <c r="C29" s="41" t="s">
        <v>131</v>
      </c>
      <c r="D29" s="42" t="str">
        <f t="shared" si="0"/>
        <v>0</v>
      </c>
      <c r="E29" s="43"/>
      <c r="F29" s="43"/>
      <c r="G29" s="43"/>
      <c r="H29" s="43"/>
      <c r="I29" s="43"/>
      <c r="J29" s="43"/>
      <c r="K29" s="43"/>
      <c r="L29" s="43"/>
      <c r="M29" s="43"/>
    </row>
    <row r="30" spans="1:63" ht="18" customHeight="1" x14ac:dyDescent="0.25">
      <c r="A30" s="60" t="s">
        <v>138</v>
      </c>
      <c r="B30" s="60" t="s">
        <v>143</v>
      </c>
      <c r="C30" s="60" t="s">
        <v>144</v>
      </c>
      <c r="D30" s="26" t="str">
        <f t="shared" si="0"/>
        <v>0</v>
      </c>
      <c r="E30" s="27"/>
      <c r="F30" s="27"/>
      <c r="G30" s="27"/>
      <c r="H30" s="27"/>
      <c r="I30" s="27"/>
      <c r="J30" s="27"/>
      <c r="K30" s="27"/>
      <c r="L30" s="27"/>
      <c r="M30" s="27"/>
    </row>
    <row r="31" spans="1:63" ht="18" hidden="1" customHeight="1" x14ac:dyDescent="0.25">
      <c r="A31" s="48" t="s">
        <v>4</v>
      </c>
      <c r="B31" s="48" t="s">
        <v>85</v>
      </c>
      <c r="C31" s="48" t="s">
        <v>86</v>
      </c>
      <c r="D31" s="49" t="str">
        <f t="shared" si="0"/>
        <v>0</v>
      </c>
      <c r="E31" s="50"/>
      <c r="F31" s="50"/>
      <c r="G31" s="50"/>
      <c r="H31" s="50"/>
      <c r="I31" s="50"/>
      <c r="J31" s="50"/>
      <c r="K31" s="50"/>
      <c r="L31" s="50"/>
      <c r="M31" s="50"/>
    </row>
    <row r="32" spans="1:63" ht="18" hidden="1" customHeight="1" x14ac:dyDescent="0.25">
      <c r="A32" s="29" t="s">
        <v>9</v>
      </c>
      <c r="B32" s="29" t="s">
        <v>25</v>
      </c>
      <c r="C32" s="29" t="s">
        <v>313</v>
      </c>
      <c r="D32" s="25" t="str">
        <f t="shared" si="0"/>
        <v>0</v>
      </c>
      <c r="E32" s="27"/>
      <c r="F32" s="27"/>
      <c r="G32" s="27"/>
      <c r="H32" s="27"/>
      <c r="I32" s="27"/>
      <c r="J32" s="27"/>
      <c r="K32" s="27"/>
      <c r="L32" s="27"/>
      <c r="M32" s="27"/>
    </row>
    <row r="33" spans="1:13" ht="18" hidden="1" customHeight="1" x14ac:dyDescent="0.25">
      <c r="A33" s="30" t="s">
        <v>52</v>
      </c>
      <c r="B33" s="30" t="s">
        <v>213</v>
      </c>
      <c r="C33" s="30" t="s">
        <v>214</v>
      </c>
      <c r="D33" s="25" t="str">
        <f t="shared" si="0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hidden="1" customHeight="1" x14ac:dyDescent="0.25">
      <c r="A34" s="30" t="s">
        <v>138</v>
      </c>
      <c r="B34" s="30" t="s">
        <v>141</v>
      </c>
      <c r="C34" s="30" t="s">
        <v>142</v>
      </c>
      <c r="D34" s="25" t="str">
        <f t="shared" si="0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ht="18" hidden="1" customHeight="1" x14ac:dyDescent="0.25">
      <c r="A35" s="30" t="s">
        <v>7</v>
      </c>
      <c r="B35" s="30" t="s">
        <v>8</v>
      </c>
      <c r="C35" s="30" t="s">
        <v>303</v>
      </c>
      <c r="D35" s="25" t="str">
        <f t="shared" si="0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ht="18" hidden="1" customHeight="1" x14ac:dyDescent="0.25">
      <c r="A36" s="30" t="s">
        <v>7</v>
      </c>
      <c r="B36" s="30" t="s">
        <v>196</v>
      </c>
      <c r="C36" s="30" t="s">
        <v>302</v>
      </c>
      <c r="D36" s="25" t="str">
        <f t="shared" si="0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hidden="1" x14ac:dyDescent="0.25">
      <c r="A37" s="30" t="s">
        <v>47</v>
      </c>
      <c r="B37" s="30" t="s">
        <v>205</v>
      </c>
      <c r="C37" s="30" t="s">
        <v>206</v>
      </c>
      <c r="D37" s="25" t="str">
        <f t="shared" si="0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hidden="1" x14ac:dyDescent="0.25">
      <c r="A38" s="30" t="s">
        <v>47</v>
      </c>
      <c r="B38" s="30" t="s">
        <v>207</v>
      </c>
      <c r="C38" s="30" t="s">
        <v>208</v>
      </c>
      <c r="D38" s="25" t="str">
        <f t="shared" ref="D38:D69" si="1">(E38+F38+L38+G38+H38+I38+J38+K38) &amp;M38</f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hidden="1" x14ac:dyDescent="0.25">
      <c r="A39" s="30" t="s">
        <v>47</v>
      </c>
      <c r="B39" s="30" t="s">
        <v>209</v>
      </c>
      <c r="C39" s="30" t="s">
        <v>210</v>
      </c>
      <c r="D39" s="25" t="str">
        <f t="shared" si="1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hidden="1" x14ac:dyDescent="0.25">
      <c r="A40" s="30" t="s">
        <v>47</v>
      </c>
      <c r="B40" s="30" t="s">
        <v>211</v>
      </c>
      <c r="C40" s="30" t="s">
        <v>212</v>
      </c>
      <c r="D40" s="25" t="str">
        <f t="shared" si="1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hidden="1" x14ac:dyDescent="0.25">
      <c r="A41" s="30" t="s">
        <v>47</v>
      </c>
      <c r="B41" s="30" t="s">
        <v>48</v>
      </c>
      <c r="C41" s="30" t="s">
        <v>49</v>
      </c>
      <c r="D41" s="25" t="str">
        <f t="shared" si="1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hidden="1" x14ac:dyDescent="0.25">
      <c r="A42" s="30" t="s">
        <v>47</v>
      </c>
      <c r="B42" s="30" t="s">
        <v>50</v>
      </c>
      <c r="C42" s="30" t="s">
        <v>51</v>
      </c>
      <c r="D42" s="25" t="str">
        <f t="shared" si="1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hidden="1" x14ac:dyDescent="0.25">
      <c r="A43" s="30" t="s">
        <v>55</v>
      </c>
      <c r="B43" s="30" t="s">
        <v>56</v>
      </c>
      <c r="C43" s="30" t="s">
        <v>57</v>
      </c>
      <c r="D43" s="25" t="str">
        <f t="shared" si="1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hidden="1" x14ac:dyDescent="0.25">
      <c r="A44" s="30" t="s">
        <v>30</v>
      </c>
      <c r="B44" s="30" t="s">
        <v>58</v>
      </c>
      <c r="C44" s="30" t="s">
        <v>59</v>
      </c>
      <c r="D44" s="25" t="str">
        <f t="shared" si="1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hidden="1" x14ac:dyDescent="0.25">
      <c r="A45" s="30" t="s">
        <v>30</v>
      </c>
      <c r="B45" s="30" t="s">
        <v>60</v>
      </c>
      <c r="C45" s="30" t="s">
        <v>61</v>
      </c>
      <c r="D45" s="25" t="str">
        <f t="shared" si="1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hidden="1" x14ac:dyDescent="0.25">
      <c r="A46" s="30" t="s">
        <v>30</v>
      </c>
      <c r="B46" s="30" t="s">
        <v>62</v>
      </c>
      <c r="C46" s="30" t="s">
        <v>63</v>
      </c>
      <c r="D46" s="25" t="str">
        <f t="shared" si="1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hidden="1" x14ac:dyDescent="0.25">
      <c r="A47" s="30" t="s">
        <v>30</v>
      </c>
      <c r="B47" s="30" t="s">
        <v>31</v>
      </c>
      <c r="C47" s="30" t="s">
        <v>32</v>
      </c>
      <c r="D47" s="25" t="str">
        <f t="shared" si="1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hidden="1" x14ac:dyDescent="0.25">
      <c r="A48" s="30" t="s">
        <v>30</v>
      </c>
      <c r="B48" s="30" t="s">
        <v>39</v>
      </c>
      <c r="C48" s="30" t="s">
        <v>40</v>
      </c>
      <c r="D48" s="25" t="str">
        <f t="shared" si="1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hidden="1" x14ac:dyDescent="0.25">
      <c r="A49" s="30" t="s">
        <v>30</v>
      </c>
      <c r="B49" s="30" t="s">
        <v>217</v>
      </c>
      <c r="C49" s="30" t="s">
        <v>218</v>
      </c>
      <c r="D49" s="25" t="str">
        <f t="shared" si="1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hidden="1" x14ac:dyDescent="0.25">
      <c r="A50" s="30" t="s">
        <v>30</v>
      </c>
      <c r="B50" s="30" t="s">
        <v>219</v>
      </c>
      <c r="C50" s="30" t="s">
        <v>220</v>
      </c>
      <c r="D50" s="25" t="str">
        <f t="shared" si="1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hidden="1" x14ac:dyDescent="0.25">
      <c r="A51" s="30" t="s">
        <v>200</v>
      </c>
      <c r="B51" s="30" t="s">
        <v>221</v>
      </c>
      <c r="C51" s="30" t="s">
        <v>222</v>
      </c>
      <c r="D51" s="25" t="str">
        <f t="shared" si="1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hidden="1" x14ac:dyDescent="0.25">
      <c r="A52" s="30" t="s">
        <v>223</v>
      </c>
      <c r="B52" s="30" t="s">
        <v>224</v>
      </c>
      <c r="C52" s="30" t="s">
        <v>225</v>
      </c>
      <c r="D52" s="25" t="str">
        <f t="shared" si="1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hidden="1" x14ac:dyDescent="0.25">
      <c r="A53" s="30" t="s">
        <v>0</v>
      </c>
      <c r="B53" s="30" t="s">
        <v>134</v>
      </c>
      <c r="C53" s="30" t="s">
        <v>135</v>
      </c>
      <c r="D53" s="25" t="str">
        <f t="shared" si="1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hidden="1" x14ac:dyDescent="0.25">
      <c r="A54" s="30" t="s">
        <v>0</v>
      </c>
      <c r="B54" s="30" t="s">
        <v>1</v>
      </c>
      <c r="C54" s="30" t="s">
        <v>2</v>
      </c>
      <c r="D54" s="25" t="str">
        <f t="shared" si="1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hidden="1" x14ac:dyDescent="0.25">
      <c r="A55" s="30" t="s">
        <v>0</v>
      </c>
      <c r="B55" s="30" t="s">
        <v>174</v>
      </c>
      <c r="C55" s="30" t="s">
        <v>175</v>
      </c>
      <c r="D55" s="25" t="str">
        <f t="shared" si="1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hidden="1" x14ac:dyDescent="0.25">
      <c r="A56" s="30" t="s">
        <v>0</v>
      </c>
      <c r="B56" s="30" t="s">
        <v>176</v>
      </c>
      <c r="C56" s="30" t="s">
        <v>177</v>
      </c>
      <c r="D56" s="25" t="str">
        <f t="shared" si="1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hidden="1" x14ac:dyDescent="0.25">
      <c r="A57" s="30" t="s">
        <v>0</v>
      </c>
      <c r="B57" s="30" t="s">
        <v>226</v>
      </c>
      <c r="C57" s="30" t="s">
        <v>227</v>
      </c>
      <c r="D57" s="25" t="str">
        <f t="shared" si="1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hidden="1" x14ac:dyDescent="0.25">
      <c r="A58" s="30" t="s">
        <v>3</v>
      </c>
      <c r="B58" s="30" t="s">
        <v>228</v>
      </c>
      <c r="C58" s="30" t="s">
        <v>229</v>
      </c>
      <c r="D58" s="25" t="str">
        <f t="shared" si="1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hidden="1" x14ac:dyDescent="0.25">
      <c r="A59" s="30" t="s">
        <v>3</v>
      </c>
      <c r="B59" s="30" t="s">
        <v>178</v>
      </c>
      <c r="C59" s="30" t="s">
        <v>179</v>
      </c>
      <c r="D59" s="25" t="str">
        <f t="shared" si="1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hidden="1" x14ac:dyDescent="0.25">
      <c r="A60" s="30" t="s">
        <v>3</v>
      </c>
      <c r="B60" s="30" t="s">
        <v>289</v>
      </c>
      <c r="C60" s="30" t="s">
        <v>290</v>
      </c>
      <c r="D60" s="25" t="str">
        <f t="shared" si="1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hidden="1" x14ac:dyDescent="0.25">
      <c r="A61" s="30" t="s">
        <v>3</v>
      </c>
      <c r="B61" s="30" t="s">
        <v>64</v>
      </c>
      <c r="C61" s="30" t="s">
        <v>65</v>
      </c>
      <c r="D61" s="25" t="str">
        <f t="shared" si="1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hidden="1" x14ac:dyDescent="0.25">
      <c r="A62" s="30" t="s">
        <v>3</v>
      </c>
      <c r="B62" s="30" t="s">
        <v>180</v>
      </c>
      <c r="C62" s="30" t="s">
        <v>181</v>
      </c>
      <c r="D62" s="25" t="str">
        <f t="shared" si="1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hidden="1" x14ac:dyDescent="0.25">
      <c r="A63" s="30" t="s">
        <v>3</v>
      </c>
      <c r="B63" s="30" t="s">
        <v>230</v>
      </c>
      <c r="C63" s="30" t="s">
        <v>231</v>
      </c>
      <c r="D63" s="25" t="str">
        <f t="shared" si="1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hidden="1" x14ac:dyDescent="0.25">
      <c r="A64" s="30" t="s">
        <v>66</v>
      </c>
      <c r="B64" s="30" t="s">
        <v>232</v>
      </c>
      <c r="C64" s="30" t="s">
        <v>233</v>
      </c>
      <c r="D64" s="25" t="str">
        <f t="shared" si="1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hidden="1" x14ac:dyDescent="0.25">
      <c r="A65" s="30" t="s">
        <v>66</v>
      </c>
      <c r="B65" s="30" t="s">
        <v>234</v>
      </c>
      <c r="C65" s="30" t="s">
        <v>235</v>
      </c>
      <c r="D65" s="25" t="str">
        <f t="shared" si="1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hidden="1" x14ac:dyDescent="0.25">
      <c r="A66" s="30" t="s">
        <v>66</v>
      </c>
      <c r="B66" s="30" t="s">
        <v>67</v>
      </c>
      <c r="C66" s="30" t="s">
        <v>68</v>
      </c>
      <c r="D66" s="25" t="str">
        <f t="shared" si="1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hidden="1" x14ac:dyDescent="0.25">
      <c r="A67" s="30" t="s">
        <v>66</v>
      </c>
      <c r="B67" s="30" t="s">
        <v>236</v>
      </c>
      <c r="C67" s="30" t="s">
        <v>237</v>
      </c>
      <c r="D67" s="25" t="str">
        <f t="shared" si="1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hidden="1" x14ac:dyDescent="0.25">
      <c r="A68" s="30" t="s">
        <v>66</v>
      </c>
      <c r="B68" s="30" t="s">
        <v>238</v>
      </c>
      <c r="C68" s="30" t="s">
        <v>239</v>
      </c>
      <c r="D68" s="25" t="str">
        <f t="shared" si="1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hidden="1" x14ac:dyDescent="0.25">
      <c r="A69" s="30" t="s">
        <v>66</v>
      </c>
      <c r="B69" s="30" t="s">
        <v>182</v>
      </c>
      <c r="C69" s="30" t="s">
        <v>183</v>
      </c>
      <c r="D69" s="25" t="str">
        <f t="shared" si="1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hidden="1" x14ac:dyDescent="0.25">
      <c r="A70" s="30" t="s">
        <v>66</v>
      </c>
      <c r="B70" s="30" t="s">
        <v>69</v>
      </c>
      <c r="C70" s="30" t="s">
        <v>70</v>
      </c>
      <c r="D70" s="25" t="str">
        <f t="shared" ref="D70:D101" si="2">(E70+F70+L70+G70+H70+I70+J70+K70) &amp;M70</f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hidden="1" x14ac:dyDescent="0.25">
      <c r="A71" s="30" t="s">
        <v>66</v>
      </c>
      <c r="B71" s="30" t="s">
        <v>240</v>
      </c>
      <c r="C71" s="30" t="s">
        <v>241</v>
      </c>
      <c r="D71" s="25" t="str">
        <f t="shared" si="2"/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hidden="1" x14ac:dyDescent="0.25">
      <c r="A72" s="30" t="s">
        <v>66</v>
      </c>
      <c r="B72" s="30" t="s">
        <v>242</v>
      </c>
      <c r="C72" s="30" t="s">
        <v>243</v>
      </c>
      <c r="D72" s="25" t="str">
        <f t="shared" si="2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hidden="1" x14ac:dyDescent="0.25">
      <c r="A73" s="30" t="s">
        <v>66</v>
      </c>
      <c r="B73" s="30" t="s">
        <v>71</v>
      </c>
      <c r="C73" s="30" t="s">
        <v>72</v>
      </c>
      <c r="D73" s="25" t="str">
        <f t="shared" si="2"/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hidden="1" x14ac:dyDescent="0.25">
      <c r="A74" s="30" t="s">
        <v>66</v>
      </c>
      <c r="B74" s="30" t="s">
        <v>73</v>
      </c>
      <c r="C74" s="30" t="s">
        <v>74</v>
      </c>
      <c r="D74" s="25" t="str">
        <f t="shared" si="2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hidden="1" x14ac:dyDescent="0.25">
      <c r="A75" s="30" t="s">
        <v>4</v>
      </c>
      <c r="B75" s="30" t="s">
        <v>75</v>
      </c>
      <c r="C75" s="30" t="s">
        <v>76</v>
      </c>
      <c r="D75" s="25" t="str">
        <f t="shared" si="2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hidden="1" x14ac:dyDescent="0.25">
      <c r="A76" s="30" t="s">
        <v>4</v>
      </c>
      <c r="B76" s="30" t="s">
        <v>77</v>
      </c>
      <c r="C76" s="30" t="s">
        <v>78</v>
      </c>
      <c r="D76" s="25" t="str">
        <f t="shared" si="2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hidden="1" x14ac:dyDescent="0.25">
      <c r="A77" s="30" t="s">
        <v>4</v>
      </c>
      <c r="B77" s="30" t="s">
        <v>79</v>
      </c>
      <c r="C77" s="30" t="s">
        <v>80</v>
      </c>
      <c r="D77" s="25" t="str">
        <f t="shared" si="2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hidden="1" x14ac:dyDescent="0.25">
      <c r="A78" s="30" t="s">
        <v>4</v>
      </c>
      <c r="B78" s="30" t="s">
        <v>136</v>
      </c>
      <c r="C78" s="30" t="s">
        <v>137</v>
      </c>
      <c r="D78" s="25" t="str">
        <f t="shared" si="2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hidden="1" x14ac:dyDescent="0.25">
      <c r="A79" s="30" t="s">
        <v>4</v>
      </c>
      <c r="B79" s="30" t="s">
        <v>81</v>
      </c>
      <c r="C79" s="30" t="s">
        <v>82</v>
      </c>
      <c r="D79" s="25" t="str">
        <f t="shared" si="2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hidden="1" x14ac:dyDescent="0.25">
      <c r="A80" s="30" t="s">
        <v>4</v>
      </c>
      <c r="B80" s="30" t="s">
        <v>83</v>
      </c>
      <c r="C80" s="30" t="s">
        <v>84</v>
      </c>
      <c r="D80" s="25" t="str">
        <f t="shared" si="2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hidden="1" x14ac:dyDescent="0.25">
      <c r="A81" s="30" t="s">
        <v>4</v>
      </c>
      <c r="B81" s="30" t="s">
        <v>5</v>
      </c>
      <c r="C81" s="30" t="s">
        <v>6</v>
      </c>
      <c r="D81" s="25" t="str">
        <f t="shared" si="2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hidden="1" x14ac:dyDescent="0.25">
      <c r="A82" s="30" t="s">
        <v>4</v>
      </c>
      <c r="B82" s="30" t="s">
        <v>127</v>
      </c>
      <c r="C82" s="30" t="s">
        <v>128</v>
      </c>
      <c r="D82" s="25" t="str">
        <f t="shared" si="2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hidden="1" x14ac:dyDescent="0.25">
      <c r="A83" s="30" t="s">
        <v>4</v>
      </c>
      <c r="B83" s="30" t="s">
        <v>184</v>
      </c>
      <c r="C83" s="30" t="s">
        <v>185</v>
      </c>
      <c r="D83" s="25" t="str">
        <f t="shared" si="2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hidden="1" x14ac:dyDescent="0.25">
      <c r="A84" s="30" t="s">
        <v>4</v>
      </c>
      <c r="B84" s="30" t="s">
        <v>186</v>
      </c>
      <c r="C84" s="30" t="s">
        <v>187</v>
      </c>
      <c r="D84" s="25" t="str">
        <f t="shared" si="2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hidden="1" x14ac:dyDescent="0.25">
      <c r="A85" s="30" t="s">
        <v>4</v>
      </c>
      <c r="B85" s="30" t="s">
        <v>190</v>
      </c>
      <c r="C85" s="30" t="s">
        <v>191</v>
      </c>
      <c r="D85" s="25" t="str">
        <f t="shared" si="2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hidden="1" x14ac:dyDescent="0.25">
      <c r="A86" s="30" t="s">
        <v>4</v>
      </c>
      <c r="B86" s="30" t="s">
        <v>192</v>
      </c>
      <c r="C86" s="30" t="s">
        <v>193</v>
      </c>
      <c r="D86" s="25" t="str">
        <f t="shared" si="2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hidden="1" x14ac:dyDescent="0.25">
      <c r="A87" s="30" t="s">
        <v>4</v>
      </c>
      <c r="B87" s="30" t="s">
        <v>194</v>
      </c>
      <c r="C87" s="30" t="s">
        <v>195</v>
      </c>
      <c r="D87" s="25" t="str">
        <f t="shared" si="2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hidden="1" x14ac:dyDescent="0.25">
      <c r="A88" s="30" t="s">
        <v>4</v>
      </c>
      <c r="B88" s="30" t="s">
        <v>291</v>
      </c>
      <c r="C88" s="30" t="s">
        <v>292</v>
      </c>
      <c r="D88" s="25" t="str">
        <f t="shared" si="2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hidden="1" x14ac:dyDescent="0.25">
      <c r="A89" s="30" t="s">
        <v>4</v>
      </c>
      <c r="B89" s="30" t="s">
        <v>244</v>
      </c>
      <c r="C89" s="30" t="s">
        <v>245</v>
      </c>
      <c r="D89" s="25" t="str">
        <f t="shared" si="2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hidden="1" x14ac:dyDescent="0.25">
      <c r="A90" s="30" t="s">
        <v>4</v>
      </c>
      <c r="B90" s="30" t="s">
        <v>246</v>
      </c>
      <c r="C90" s="30" t="s">
        <v>247</v>
      </c>
      <c r="D90" s="25" t="str">
        <f t="shared" si="2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hidden="1" x14ac:dyDescent="0.25">
      <c r="A91" s="30" t="s">
        <v>138</v>
      </c>
      <c r="B91" s="30" t="s">
        <v>158</v>
      </c>
      <c r="C91" s="30" t="s">
        <v>157</v>
      </c>
      <c r="D91" s="25" t="str">
        <f t="shared" si="2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hidden="1" x14ac:dyDescent="0.25">
      <c r="A92" s="30" t="s">
        <v>145</v>
      </c>
      <c r="B92" s="30" t="s">
        <v>146</v>
      </c>
      <c r="C92" s="30" t="s">
        <v>147</v>
      </c>
      <c r="D92" s="25" t="str">
        <f t="shared" si="2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hidden="1" x14ac:dyDescent="0.25">
      <c r="A93" s="30" t="s">
        <v>9</v>
      </c>
      <c r="B93" s="30" t="s">
        <v>87</v>
      </c>
      <c r="C93" s="30" t="s">
        <v>88</v>
      </c>
      <c r="D93" s="25" t="str">
        <f t="shared" si="2"/>
        <v>0</v>
      </c>
      <c r="E93" s="27"/>
      <c r="F93" s="27"/>
      <c r="G93" s="27"/>
      <c r="H93" s="27"/>
      <c r="I93" s="27"/>
      <c r="J93" s="27"/>
      <c r="K93" s="27"/>
      <c r="L93" s="27"/>
      <c r="M93" s="27"/>
    </row>
    <row r="94" spans="1:37" hidden="1" x14ac:dyDescent="0.25">
      <c r="A94" s="30" t="s">
        <v>9</v>
      </c>
      <c r="B94" s="30" t="s">
        <v>89</v>
      </c>
      <c r="C94" s="30" t="s">
        <v>90</v>
      </c>
      <c r="D94" s="25" t="str">
        <f t="shared" si="2"/>
        <v>0</v>
      </c>
      <c r="E94" s="27"/>
      <c r="F94" s="27"/>
      <c r="G94" s="27"/>
      <c r="H94" s="27"/>
      <c r="I94" s="27"/>
      <c r="J94" s="27"/>
      <c r="K94" s="27"/>
      <c r="L94" s="27"/>
      <c r="M94" s="27"/>
    </row>
    <row r="95" spans="1:37" hidden="1" x14ac:dyDescent="0.25">
      <c r="A95" s="30" t="s">
        <v>9</v>
      </c>
      <c r="B95" s="30" t="s">
        <v>10</v>
      </c>
      <c r="C95" s="30" t="s">
        <v>11</v>
      </c>
      <c r="D95" s="25" t="str">
        <f t="shared" si="2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hidden="1" x14ac:dyDescent="0.25">
      <c r="A96" s="30" t="s">
        <v>9</v>
      </c>
      <c r="B96" s="30" t="s">
        <v>12</v>
      </c>
      <c r="C96" s="30" t="s">
        <v>13</v>
      </c>
      <c r="D96" s="25" t="str">
        <f t="shared" si="2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hidden="1" x14ac:dyDescent="0.25">
      <c r="A97" s="30" t="s">
        <v>9</v>
      </c>
      <c r="B97" s="30" t="s">
        <v>19</v>
      </c>
      <c r="C97" s="30" t="s">
        <v>20</v>
      </c>
      <c r="D97" s="25" t="str">
        <f t="shared" si="2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hidden="1" x14ac:dyDescent="0.25">
      <c r="A98" s="30" t="s">
        <v>9</v>
      </c>
      <c r="B98" s="30" t="s">
        <v>21</v>
      </c>
      <c r="C98" s="30" t="s">
        <v>22</v>
      </c>
      <c r="D98" s="25" t="str">
        <f t="shared" si="2"/>
        <v>0</v>
      </c>
      <c r="E98" s="27"/>
      <c r="F98" s="27"/>
      <c r="G98" s="27"/>
      <c r="H98" s="27"/>
      <c r="I98" s="27"/>
      <c r="J98" s="27"/>
      <c r="K98" s="27"/>
      <c r="L98" s="27"/>
      <c r="M98" s="27"/>
      <c r="AB98" s="3"/>
      <c r="AJ98" s="3"/>
      <c r="AK98" s="3"/>
    </row>
    <row r="99" spans="1:37" hidden="1" x14ac:dyDescent="0.25">
      <c r="A99" s="30" t="s">
        <v>9</v>
      </c>
      <c r="B99" s="30" t="s">
        <v>132</v>
      </c>
      <c r="C99" s="30" t="s">
        <v>133</v>
      </c>
      <c r="D99" s="25" t="str">
        <f t="shared" si="2"/>
        <v>0</v>
      </c>
      <c r="E99" s="27"/>
      <c r="F99" s="27"/>
      <c r="G99" s="27"/>
      <c r="H99" s="27"/>
      <c r="I99" s="27"/>
      <c r="J99" s="27"/>
      <c r="K99" s="27"/>
      <c r="L99" s="27"/>
      <c r="M99" s="27"/>
      <c r="AB99" s="3"/>
      <c r="AJ99" s="3"/>
      <c r="AK99" s="3"/>
    </row>
    <row r="100" spans="1:37" hidden="1" x14ac:dyDescent="0.25">
      <c r="A100" s="30" t="s">
        <v>9</v>
      </c>
      <c r="B100" s="30" t="s">
        <v>23</v>
      </c>
      <c r="C100" s="30" t="s">
        <v>24</v>
      </c>
      <c r="D100" s="25" t="str">
        <f t="shared" si="2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hidden="1" x14ac:dyDescent="0.25">
      <c r="A101" s="30" t="s">
        <v>9</v>
      </c>
      <c r="B101" s="30" t="s">
        <v>91</v>
      </c>
      <c r="C101" s="30" t="s">
        <v>92</v>
      </c>
      <c r="D101" s="25" t="str">
        <f t="shared" si="2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hidden="1" x14ac:dyDescent="0.25">
      <c r="A102" s="30" t="s">
        <v>9</v>
      </c>
      <c r="B102" s="30" t="s">
        <v>93</v>
      </c>
      <c r="C102" s="30" t="s">
        <v>94</v>
      </c>
      <c r="D102" s="25" t="str">
        <f t="shared" ref="D102:D133" si="3">(E102+F102+L102+G102+H102+I102+J102+K102) &amp;M102</f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hidden="1" x14ac:dyDescent="0.25">
      <c r="A103" s="30" t="s">
        <v>9</v>
      </c>
      <c r="B103" s="30" t="s">
        <v>164</v>
      </c>
      <c r="C103" s="30" t="s">
        <v>163</v>
      </c>
      <c r="D103" s="25" t="str">
        <f t="shared" si="3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hidden="1" x14ac:dyDescent="0.25">
      <c r="A104" s="30" t="s">
        <v>9</v>
      </c>
      <c r="B104" s="30" t="s">
        <v>293</v>
      </c>
      <c r="C104" s="30" t="s">
        <v>294</v>
      </c>
      <c r="D104" s="25" t="str">
        <f t="shared" si="3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hidden="1" x14ac:dyDescent="0.25">
      <c r="A105" s="30" t="s">
        <v>9</v>
      </c>
      <c r="B105" s="30" t="s">
        <v>248</v>
      </c>
      <c r="C105" s="30" t="s">
        <v>249</v>
      </c>
      <c r="D105" s="25" t="str">
        <f t="shared" si="3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hidden="1" x14ac:dyDescent="0.25">
      <c r="A106" s="30" t="s">
        <v>27</v>
      </c>
      <c r="B106" s="30" t="s">
        <v>95</v>
      </c>
      <c r="C106" s="30" t="s">
        <v>96</v>
      </c>
      <c r="D106" s="25" t="str">
        <f t="shared" si="3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hidden="1" x14ac:dyDescent="0.25">
      <c r="A107" s="30" t="s">
        <v>27</v>
      </c>
      <c r="B107" s="30" t="s">
        <v>97</v>
      </c>
      <c r="C107" s="30" t="s">
        <v>98</v>
      </c>
      <c r="D107" s="25" t="str">
        <f t="shared" si="3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hidden="1" x14ac:dyDescent="0.25">
      <c r="A108" s="30" t="s">
        <v>27</v>
      </c>
      <c r="B108" s="30" t="s">
        <v>99</v>
      </c>
      <c r="C108" s="30" t="s">
        <v>100</v>
      </c>
      <c r="D108" s="25" t="str">
        <f t="shared" si="3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hidden="1" x14ac:dyDescent="0.25">
      <c r="A109" s="30" t="s">
        <v>27</v>
      </c>
      <c r="B109" s="30" t="s">
        <v>101</v>
      </c>
      <c r="C109" s="30" t="s">
        <v>102</v>
      </c>
      <c r="D109" s="25" t="str">
        <f t="shared" si="3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hidden="1" x14ac:dyDescent="0.25">
      <c r="A110" s="30" t="s">
        <v>27</v>
      </c>
      <c r="B110" s="30" t="s">
        <v>103</v>
      </c>
      <c r="C110" s="30" t="s">
        <v>104</v>
      </c>
      <c r="D110" s="25" t="str">
        <f t="shared" si="3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hidden="1" x14ac:dyDescent="0.25">
      <c r="A111" s="44" t="s">
        <v>27</v>
      </c>
      <c r="B111" s="44" t="s">
        <v>105</v>
      </c>
      <c r="C111" s="44" t="s">
        <v>106</v>
      </c>
      <c r="D111" s="42" t="str">
        <f t="shared" si="3"/>
        <v>0</v>
      </c>
      <c r="E111" s="43"/>
      <c r="F111" s="43"/>
      <c r="G111" s="43"/>
      <c r="H111" s="43"/>
      <c r="I111" s="43"/>
      <c r="J111" s="43"/>
      <c r="K111" s="43"/>
      <c r="L111" s="43"/>
      <c r="M111" s="43"/>
    </row>
    <row r="112" spans="1:37" x14ac:dyDescent="0.25">
      <c r="A112" s="60" t="s">
        <v>27</v>
      </c>
      <c r="B112" s="60" t="s">
        <v>28</v>
      </c>
      <c r="C112" s="60" t="s">
        <v>387</v>
      </c>
      <c r="D112" s="26" t="str">
        <f t="shared" si="3"/>
        <v>0</v>
      </c>
      <c r="E112" s="27"/>
      <c r="F112" s="27"/>
      <c r="G112" s="27"/>
      <c r="H112" s="27"/>
      <c r="I112" s="27"/>
      <c r="J112" s="27"/>
      <c r="K112" s="27"/>
      <c r="L112" s="27"/>
      <c r="M112" s="27"/>
    </row>
    <row r="113" spans="1:13" hidden="1" x14ac:dyDescent="0.25">
      <c r="A113" s="54" t="s">
        <v>107</v>
      </c>
      <c r="B113" s="54" t="s">
        <v>108</v>
      </c>
      <c r="C113" s="54" t="s">
        <v>109</v>
      </c>
      <c r="D113" s="49" t="str">
        <f t="shared" si="3"/>
        <v>0</v>
      </c>
      <c r="E113" s="50"/>
      <c r="F113" s="50"/>
      <c r="G113" s="50"/>
      <c r="H113" s="50"/>
      <c r="I113" s="50"/>
      <c r="J113" s="50"/>
      <c r="K113" s="50"/>
      <c r="L113" s="50"/>
      <c r="M113" s="50"/>
    </row>
    <row r="114" spans="1:13" hidden="1" x14ac:dyDescent="0.25">
      <c r="A114" s="30" t="s">
        <v>107</v>
      </c>
      <c r="B114" s="30" t="s">
        <v>110</v>
      </c>
      <c r="C114" s="30" t="s">
        <v>111</v>
      </c>
      <c r="D114" s="25" t="str">
        <f t="shared" si="3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hidden="1" x14ac:dyDescent="0.25">
      <c r="A115" s="30" t="s">
        <v>107</v>
      </c>
      <c r="B115" s="30" t="s">
        <v>250</v>
      </c>
      <c r="C115" s="30" t="s">
        <v>251</v>
      </c>
      <c r="D115" s="25" t="str">
        <f t="shared" si="3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hidden="1" x14ac:dyDescent="0.25">
      <c r="A116" s="30" t="s">
        <v>107</v>
      </c>
      <c r="B116" s="30" t="s">
        <v>252</v>
      </c>
      <c r="C116" s="30" t="s">
        <v>253</v>
      </c>
      <c r="D116" s="25" t="str">
        <f t="shared" si="3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hidden="1" x14ac:dyDescent="0.25">
      <c r="A117" s="30" t="s">
        <v>107</v>
      </c>
      <c r="B117" s="30" t="s">
        <v>254</v>
      </c>
      <c r="C117" s="30" t="s">
        <v>255</v>
      </c>
      <c r="D117" s="25" t="str">
        <f t="shared" si="3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hidden="1" x14ac:dyDescent="0.25">
      <c r="A118" s="30" t="s">
        <v>107</v>
      </c>
      <c r="B118" s="30" t="s">
        <v>256</v>
      </c>
      <c r="C118" s="30" t="s">
        <v>257</v>
      </c>
      <c r="D118" s="25" t="str">
        <f t="shared" si="3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hidden="1" x14ac:dyDescent="0.25">
      <c r="A119" s="30" t="s">
        <v>33</v>
      </c>
      <c r="B119" s="30" t="s">
        <v>34</v>
      </c>
      <c r="C119" s="30" t="s">
        <v>35</v>
      </c>
      <c r="D119" s="25" t="str">
        <f t="shared" si="3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hidden="1" x14ac:dyDescent="0.25">
      <c r="A120" s="30" t="s">
        <v>258</v>
      </c>
      <c r="B120" s="30" t="s">
        <v>259</v>
      </c>
      <c r="C120" s="30" t="s">
        <v>260</v>
      </c>
      <c r="D120" s="25" t="str">
        <f t="shared" si="3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hidden="1" x14ac:dyDescent="0.25">
      <c r="A121" s="30" t="s">
        <v>258</v>
      </c>
      <c r="B121" s="30" t="s">
        <v>261</v>
      </c>
      <c r="C121" s="30" t="s">
        <v>262</v>
      </c>
      <c r="D121" s="25" t="str">
        <f t="shared" si="3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hidden="1" x14ac:dyDescent="0.25">
      <c r="A122" s="30" t="s">
        <v>41</v>
      </c>
      <c r="B122" s="30" t="s">
        <v>42</v>
      </c>
      <c r="C122" s="30" t="s">
        <v>43</v>
      </c>
      <c r="D122" s="25" t="str">
        <f t="shared" si="3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hidden="1" x14ac:dyDescent="0.25">
      <c r="A123" s="30" t="s">
        <v>263</v>
      </c>
      <c r="B123" s="30" t="s">
        <v>264</v>
      </c>
      <c r="C123" s="30" t="s">
        <v>265</v>
      </c>
      <c r="D123" s="25" t="str">
        <f t="shared" si="3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hidden="1" x14ac:dyDescent="0.25">
      <c r="A124" s="30" t="s">
        <v>263</v>
      </c>
      <c r="B124" s="30" t="s">
        <v>266</v>
      </c>
      <c r="C124" s="30" t="s">
        <v>267</v>
      </c>
      <c r="D124" s="25" t="str">
        <f t="shared" si="3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hidden="1" x14ac:dyDescent="0.25">
      <c r="A125" s="30" t="s">
        <v>114</v>
      </c>
      <c r="B125" s="30" t="s">
        <v>115</v>
      </c>
      <c r="C125" s="30" t="s">
        <v>116</v>
      </c>
      <c r="D125" s="25" t="str">
        <f t="shared" si="3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hidden="1" x14ac:dyDescent="0.25">
      <c r="A126" s="30" t="s">
        <v>44</v>
      </c>
      <c r="B126" s="30" t="s">
        <v>45</v>
      </c>
      <c r="C126" s="30" t="s">
        <v>46</v>
      </c>
      <c r="D126" s="25" t="str">
        <f t="shared" si="3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hidden="1" x14ac:dyDescent="0.25">
      <c r="A127" s="30" t="s">
        <v>120</v>
      </c>
      <c r="B127" s="30" t="s">
        <v>271</v>
      </c>
      <c r="C127" s="30" t="s">
        <v>272</v>
      </c>
      <c r="D127" s="25" t="str">
        <f t="shared" si="3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hidden="1" x14ac:dyDescent="0.25">
      <c r="A128" s="30" t="s">
        <v>120</v>
      </c>
      <c r="B128" s="30" t="s">
        <v>273</v>
      </c>
      <c r="C128" s="30" t="s">
        <v>274</v>
      </c>
      <c r="D128" s="25" t="str">
        <f t="shared" si="3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63" hidden="1" x14ac:dyDescent="0.25">
      <c r="A129" s="30" t="s">
        <v>120</v>
      </c>
      <c r="B129" s="30" t="s">
        <v>121</v>
      </c>
      <c r="C129" s="30" t="s">
        <v>122</v>
      </c>
      <c r="D129" s="25" t="str">
        <f t="shared" si="3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63" hidden="1" x14ac:dyDescent="0.25">
      <c r="A130" s="30" t="s">
        <v>120</v>
      </c>
      <c r="B130" s="30" t="s">
        <v>275</v>
      </c>
      <c r="C130" s="30" t="s">
        <v>276</v>
      </c>
      <c r="D130" s="25" t="str">
        <f t="shared" si="3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63" hidden="1" x14ac:dyDescent="0.25">
      <c r="A131" s="30" t="s">
        <v>120</v>
      </c>
      <c r="B131" s="30" t="s">
        <v>198</v>
      </c>
      <c r="C131" s="30" t="s">
        <v>199</v>
      </c>
      <c r="D131" s="25" t="str">
        <f t="shared" si="3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63" hidden="1" x14ac:dyDescent="0.25">
      <c r="A132" s="30" t="s">
        <v>120</v>
      </c>
      <c r="B132" s="30" t="s">
        <v>277</v>
      </c>
      <c r="C132" s="30" t="s">
        <v>278</v>
      </c>
      <c r="D132" s="25" t="str">
        <f t="shared" si="3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63" hidden="1" x14ac:dyDescent="0.25">
      <c r="A133" s="30" t="s">
        <v>279</v>
      </c>
      <c r="B133" s="30" t="s">
        <v>280</v>
      </c>
      <c r="C133" s="30" t="s">
        <v>281</v>
      </c>
      <c r="D133" s="25" t="str">
        <f t="shared" si="3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63" hidden="1" x14ac:dyDescent="0.25">
      <c r="A134" s="30" t="s">
        <v>282</v>
      </c>
      <c r="B134" s="30" t="s">
        <v>283</v>
      </c>
      <c r="C134" s="30" t="s">
        <v>284</v>
      </c>
      <c r="D134" s="25" t="str">
        <f t="shared" ref="D134:D165" si="4">(E134+F134+L134+G134+H134+I134+J134+K134) &amp;M134</f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63" hidden="1" x14ac:dyDescent="0.25">
      <c r="A135" s="30" t="s">
        <v>285</v>
      </c>
      <c r="B135" s="30" t="s">
        <v>286</v>
      </c>
      <c r="C135" s="30" t="s">
        <v>287</v>
      </c>
      <c r="D135" s="25" t="str">
        <f t="shared" si="4"/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63" hidden="1" x14ac:dyDescent="0.25">
      <c r="A136" s="30" t="s">
        <v>14</v>
      </c>
      <c r="B136" s="30" t="s">
        <v>15</v>
      </c>
      <c r="C136" s="30" t="s">
        <v>16</v>
      </c>
      <c r="D136" s="25" t="str">
        <f t="shared" si="4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63" hidden="1" x14ac:dyDescent="0.25">
      <c r="A137" s="30" t="s">
        <v>14</v>
      </c>
      <c r="B137" s="30" t="s">
        <v>17</v>
      </c>
      <c r="C137" s="30" t="s">
        <v>18</v>
      </c>
      <c r="D137" s="25" t="str">
        <f t="shared" si="4"/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63" hidden="1" x14ac:dyDescent="0.25">
      <c r="A138" s="30" t="s">
        <v>14</v>
      </c>
      <c r="B138" s="30" t="s">
        <v>201</v>
      </c>
      <c r="C138" s="30" t="s">
        <v>202</v>
      </c>
      <c r="D138" s="25" t="str">
        <f t="shared" si="4"/>
        <v>0</v>
      </c>
      <c r="E138" s="27"/>
      <c r="F138" s="27"/>
      <c r="G138" s="27"/>
      <c r="H138" s="27"/>
      <c r="I138" s="27"/>
      <c r="J138" s="27"/>
      <c r="K138" s="27"/>
      <c r="L138" s="27"/>
      <c r="M138" s="27"/>
    </row>
    <row r="139" spans="1:63" hidden="1" x14ac:dyDescent="0.25">
      <c r="A139" s="30" t="s">
        <v>14</v>
      </c>
      <c r="B139" s="30" t="s">
        <v>203</v>
      </c>
      <c r="C139" s="30" t="s">
        <v>204</v>
      </c>
      <c r="D139" s="25" t="str">
        <f t="shared" si="4"/>
        <v>0</v>
      </c>
      <c r="E139" s="27"/>
      <c r="F139" s="27"/>
      <c r="G139" s="27"/>
      <c r="H139" s="27"/>
      <c r="I139" s="27"/>
      <c r="J139" s="27"/>
      <c r="K139" s="27"/>
      <c r="L139" s="27"/>
      <c r="M139" s="27"/>
    </row>
    <row r="140" spans="1:63" hidden="1" x14ac:dyDescent="0.25">
      <c r="A140" s="30" t="s">
        <v>36</v>
      </c>
      <c r="B140" s="30" t="s">
        <v>37</v>
      </c>
      <c r="C140" s="30" t="s">
        <v>38</v>
      </c>
      <c r="D140" s="25" t="str">
        <f t="shared" si="4"/>
        <v>0</v>
      </c>
      <c r="E140" s="27"/>
      <c r="F140" s="27"/>
      <c r="G140" s="27"/>
      <c r="H140" s="27"/>
      <c r="I140" s="27"/>
      <c r="J140" s="27"/>
      <c r="K140" s="27"/>
      <c r="L140" s="27"/>
      <c r="M140" s="27"/>
      <c r="AF140" s="3"/>
      <c r="AN140" s="3"/>
      <c r="AO140" s="3"/>
    </row>
    <row r="141" spans="1:63" hidden="1" x14ac:dyDescent="0.25">
      <c r="A141" s="30" t="s">
        <v>383</v>
      </c>
      <c r="B141" s="30" t="s">
        <v>384</v>
      </c>
      <c r="C141" s="30" t="s">
        <v>385</v>
      </c>
      <c r="D141" s="25" t="str">
        <f t="shared" si="4"/>
        <v>0</v>
      </c>
      <c r="E141" s="27"/>
      <c r="F141" s="27"/>
      <c r="G141" s="27"/>
      <c r="H141" s="27"/>
      <c r="I141" s="27"/>
      <c r="J141" s="27"/>
      <c r="K141" s="27"/>
      <c r="L141" s="27"/>
      <c r="M141" s="27"/>
      <c r="AF141" s="3"/>
      <c r="AN141" s="3"/>
      <c r="AO141" s="3"/>
    </row>
    <row r="142" spans="1:63" hidden="1" x14ac:dyDescent="0.25">
      <c r="A142" t="s">
        <v>30</v>
      </c>
      <c r="B142" t="s">
        <v>39</v>
      </c>
      <c r="C142" t="s">
        <v>40</v>
      </c>
      <c r="D142" s="25" t="str">
        <f t="shared" si="4"/>
        <v>0</v>
      </c>
      <c r="AF142" s="3"/>
      <c r="AN142" s="3"/>
      <c r="AO142" s="3"/>
    </row>
    <row r="143" spans="1:63" hidden="1" x14ac:dyDescent="0.25">
      <c r="A143" t="s">
        <v>41</v>
      </c>
      <c r="B143" t="s">
        <v>42</v>
      </c>
      <c r="C143" t="s">
        <v>43</v>
      </c>
      <c r="D143" s="25" t="str">
        <f t="shared" si="4"/>
        <v>0</v>
      </c>
    </row>
    <row r="144" spans="1:63" hidden="1" x14ac:dyDescent="0.25">
      <c r="A144" t="s">
        <v>52</v>
      </c>
      <c r="B144" t="s">
        <v>509</v>
      </c>
      <c r="C144" t="s">
        <v>508</v>
      </c>
      <c r="D144" s="42" t="str">
        <f t="shared" si="4"/>
        <v>0</v>
      </c>
      <c r="Q144" t="s">
        <v>393</v>
      </c>
      <c r="R144" t="s">
        <v>391</v>
      </c>
      <c r="S144" t="s">
        <v>392</v>
      </c>
      <c r="T144" t="s">
        <v>440</v>
      </c>
      <c r="U144" t="s">
        <v>441</v>
      </c>
      <c r="V144" t="s">
        <v>442</v>
      </c>
      <c r="W144" t="s">
        <v>443</v>
      </c>
      <c r="X144" t="s">
        <v>444</v>
      </c>
      <c r="Y144" t="s">
        <v>445</v>
      </c>
      <c r="Z144" t="s">
        <v>446</v>
      </c>
      <c r="AA144" t="s">
        <v>447</v>
      </c>
      <c r="AB144" t="s">
        <v>448</v>
      </c>
      <c r="AC144" t="s">
        <v>449</v>
      </c>
      <c r="AD144" t="s">
        <v>450</v>
      </c>
      <c r="AE144" t="s">
        <v>451</v>
      </c>
      <c r="AF144" t="s">
        <v>452</v>
      </c>
      <c r="AG144" t="s">
        <v>453</v>
      </c>
      <c r="AH144" t="s">
        <v>454</v>
      </c>
      <c r="AI144" t="s">
        <v>455</v>
      </c>
      <c r="AJ144" t="s">
        <v>456</v>
      </c>
      <c r="AK144" t="s">
        <v>457</v>
      </c>
      <c r="AL144" t="s">
        <v>458</v>
      </c>
      <c r="AM144" t="s">
        <v>459</v>
      </c>
      <c r="AN144" t="s">
        <v>460</v>
      </c>
      <c r="AO144" t="s">
        <v>461</v>
      </c>
      <c r="AP144" t="s">
        <v>462</v>
      </c>
      <c r="AQ144" t="s">
        <v>463</v>
      </c>
      <c r="AR144" t="s">
        <v>464</v>
      </c>
      <c r="AS144" t="s">
        <v>465</v>
      </c>
      <c r="AT144" t="s">
        <v>466</v>
      </c>
      <c r="AU144" t="s">
        <v>467</v>
      </c>
      <c r="AV144" t="s">
        <v>468</v>
      </c>
      <c r="AW144" t="s">
        <v>469</v>
      </c>
      <c r="AX144" t="s">
        <v>470</v>
      </c>
      <c r="AY144" t="s">
        <v>471</v>
      </c>
      <c r="AZ144" t="s">
        <v>472</v>
      </c>
      <c r="BA144" t="s">
        <v>473</v>
      </c>
      <c r="BB144" t="s">
        <v>474</v>
      </c>
      <c r="BC144" t="s">
        <v>475</v>
      </c>
      <c r="BD144" t="s">
        <v>476</v>
      </c>
      <c r="BE144" t="s">
        <v>477</v>
      </c>
      <c r="BF144" t="s">
        <v>478</v>
      </c>
      <c r="BG144" t="s">
        <v>479</v>
      </c>
      <c r="BH144" t="s">
        <v>480</v>
      </c>
      <c r="BI144" t="s">
        <v>481</v>
      </c>
      <c r="BJ144" t="s">
        <v>482</v>
      </c>
      <c r="BK144" t="s">
        <v>483</v>
      </c>
    </row>
    <row r="145" spans="1:62" x14ac:dyDescent="0.25">
      <c r="A145" s="60" t="s">
        <v>52</v>
      </c>
      <c r="B145" s="60" t="s">
        <v>517</v>
      </c>
      <c r="C145" s="60" t="s">
        <v>516</v>
      </c>
      <c r="D145" s="26" t="str">
        <f t="shared" si="4"/>
        <v>0</v>
      </c>
      <c r="E145" s="26"/>
      <c r="F145" s="26"/>
      <c r="G145" s="26"/>
      <c r="H145" s="26"/>
      <c r="I145" s="26"/>
      <c r="J145" s="26"/>
      <c r="K145" s="26"/>
      <c r="L145" s="27"/>
      <c r="M145" s="27"/>
      <c r="T145" t="s">
        <v>510</v>
      </c>
      <c r="U145" t="str">
        <f>"0000000410168"</f>
        <v>0000000410168</v>
      </c>
      <c r="V145">
        <v>1</v>
      </c>
      <c r="W145" t="s">
        <v>400</v>
      </c>
      <c r="X145" t="s">
        <v>511</v>
      </c>
      <c r="Y145" t="s">
        <v>511</v>
      </c>
      <c r="Z145" t="s">
        <v>511</v>
      </c>
      <c r="AA145" t="s">
        <v>488</v>
      </c>
      <c r="AB145" t="s">
        <v>405</v>
      </c>
      <c r="AC145" t="s">
        <v>488</v>
      </c>
      <c r="AE145" t="s">
        <v>405</v>
      </c>
      <c r="AF145" t="s">
        <v>400</v>
      </c>
      <c r="AG145">
        <v>42605</v>
      </c>
      <c r="AH145" t="s">
        <v>489</v>
      </c>
      <c r="AI145" t="s">
        <v>512</v>
      </c>
      <c r="AJ145" t="s">
        <v>489</v>
      </c>
      <c r="AK145" t="s">
        <v>512</v>
      </c>
      <c r="AL145" t="s">
        <v>405</v>
      </c>
      <c r="AM145" s="3">
        <v>43522</v>
      </c>
      <c r="AN145" t="s">
        <v>513</v>
      </c>
      <c r="AO145" t="s">
        <v>514</v>
      </c>
      <c r="AQ145">
        <v>0</v>
      </c>
      <c r="AR145" t="str">
        <f>"0000000410168"</f>
        <v>0000000410168</v>
      </c>
      <c r="AS145" t="s">
        <v>493</v>
      </c>
      <c r="AU145" s="3">
        <v>73050</v>
      </c>
      <c r="AV145" s="3">
        <v>73050</v>
      </c>
      <c r="AW145" t="s">
        <v>494</v>
      </c>
      <c r="AX145" t="s">
        <v>495</v>
      </c>
      <c r="AY145">
        <v>0</v>
      </c>
      <c r="AZ145" t="s">
        <v>515</v>
      </c>
      <c r="BA145">
        <v>0</v>
      </c>
      <c r="BB145">
        <v>0</v>
      </c>
      <c r="BC145" t="s">
        <v>497</v>
      </c>
      <c r="BD145" t="s">
        <v>515</v>
      </c>
      <c r="BE145" t="s">
        <v>405</v>
      </c>
      <c r="BF145">
        <v>0</v>
      </c>
      <c r="BG145" t="s">
        <v>405</v>
      </c>
      <c r="BI145" t="s">
        <v>498</v>
      </c>
      <c r="BJ145" t="s">
        <v>499</v>
      </c>
    </row>
    <row r="146" spans="1:62" x14ac:dyDescent="0.25">
      <c r="A146" s="60" t="s">
        <v>27</v>
      </c>
      <c r="B146" s="60" t="s">
        <v>527</v>
      </c>
      <c r="C146" s="60" t="s">
        <v>526</v>
      </c>
      <c r="D146" s="26" t="str">
        <f t="shared" si="4"/>
        <v>0</v>
      </c>
      <c r="E146" s="26"/>
      <c r="F146" s="26"/>
      <c r="G146" s="26"/>
      <c r="H146" s="26"/>
      <c r="I146" s="26"/>
      <c r="J146" s="26"/>
      <c r="K146" s="26"/>
      <c r="L146" s="27"/>
      <c r="M146" s="27"/>
      <c r="T146" t="s">
        <v>518</v>
      </c>
      <c r="U146" t="s">
        <v>519</v>
      </c>
      <c r="V146">
        <v>1</v>
      </c>
      <c r="W146" t="s">
        <v>400</v>
      </c>
      <c r="X146" t="s">
        <v>511</v>
      </c>
      <c r="Y146" t="s">
        <v>511</v>
      </c>
      <c r="Z146" t="s">
        <v>511</v>
      </c>
      <c r="AA146" t="s">
        <v>520</v>
      </c>
      <c r="AB146" t="s">
        <v>405</v>
      </c>
      <c r="AC146" t="s">
        <v>521</v>
      </c>
      <c r="AD146" t="s">
        <v>522</v>
      </c>
      <c r="AE146" t="s">
        <v>405</v>
      </c>
      <c r="AF146" t="s">
        <v>400</v>
      </c>
      <c r="AG146">
        <v>1917</v>
      </c>
      <c r="AH146" t="s">
        <v>489</v>
      </c>
      <c r="AI146" t="s">
        <v>523</v>
      </c>
      <c r="AJ146" t="s">
        <v>489</v>
      </c>
      <c r="AK146" t="s">
        <v>523</v>
      </c>
      <c r="AL146" t="s">
        <v>405</v>
      </c>
      <c r="AM146" s="3">
        <v>43444</v>
      </c>
      <c r="AN146" t="s">
        <v>524</v>
      </c>
      <c r="AO146" t="s">
        <v>514</v>
      </c>
      <c r="AQ146">
        <v>0</v>
      </c>
      <c r="AR146" t="str">
        <f>"0000000011037"</f>
        <v>0000000011037</v>
      </c>
      <c r="AS146" t="s">
        <v>493</v>
      </c>
      <c r="AU146" s="3">
        <v>73050</v>
      </c>
      <c r="AV146" s="3">
        <v>73050</v>
      </c>
      <c r="AW146" t="s">
        <v>494</v>
      </c>
      <c r="AX146" t="s">
        <v>495</v>
      </c>
      <c r="AY146">
        <v>0</v>
      </c>
      <c r="AZ146" t="s">
        <v>405</v>
      </c>
      <c r="BA146">
        <v>0</v>
      </c>
      <c r="BB146">
        <v>0</v>
      </c>
      <c r="BC146" t="s">
        <v>497</v>
      </c>
      <c r="BD146" t="s">
        <v>525</v>
      </c>
      <c r="BE146" t="s">
        <v>405</v>
      </c>
      <c r="BF146">
        <v>0</v>
      </c>
      <c r="BG146" t="s">
        <v>405</v>
      </c>
      <c r="BI146" t="s">
        <v>498</v>
      </c>
      <c r="BJ146" t="s">
        <v>499</v>
      </c>
    </row>
    <row r="147" spans="1:62" hidden="1" x14ac:dyDescent="0.25">
      <c r="D147" s="49" t="str">
        <f t="shared" si="4"/>
        <v>0</v>
      </c>
    </row>
    <row r="148" spans="1:62" hidden="1" x14ac:dyDescent="0.25">
      <c r="D148" s="25" t="str">
        <f t="shared" si="4"/>
        <v>0</v>
      </c>
    </row>
    <row r="149" spans="1:62" hidden="1" x14ac:dyDescent="0.25">
      <c r="D149" s="25" t="str">
        <f t="shared" si="4"/>
        <v>0</v>
      </c>
    </row>
    <row r="150" spans="1:62" hidden="1" x14ac:dyDescent="0.25">
      <c r="D150" s="25" t="str">
        <f t="shared" si="4"/>
        <v>0</v>
      </c>
    </row>
    <row r="151" spans="1:62" hidden="1" x14ac:dyDescent="0.25">
      <c r="D151" s="25" t="str">
        <f t="shared" si="4"/>
        <v>0</v>
      </c>
      <c r="P151" t="s">
        <v>393</v>
      </c>
      <c r="Q151" t="s">
        <v>391</v>
      </c>
      <c r="R151" t="s">
        <v>392</v>
      </c>
      <c r="S151" t="s">
        <v>440</v>
      </c>
      <c r="T151" t="s">
        <v>441</v>
      </c>
      <c r="U151" t="s">
        <v>442</v>
      </c>
      <c r="V151" t="s">
        <v>443</v>
      </c>
      <c r="W151" t="s">
        <v>444</v>
      </c>
      <c r="X151" t="s">
        <v>445</v>
      </c>
      <c r="Y151" t="s">
        <v>446</v>
      </c>
      <c r="Z151" t="s">
        <v>447</v>
      </c>
      <c r="AA151" t="s">
        <v>448</v>
      </c>
      <c r="AB151" t="s">
        <v>449</v>
      </c>
      <c r="AC151" t="s">
        <v>450</v>
      </c>
      <c r="AD151" t="s">
        <v>451</v>
      </c>
      <c r="AE151" t="s">
        <v>452</v>
      </c>
      <c r="AF151" t="s">
        <v>453</v>
      </c>
      <c r="AG151" t="s">
        <v>454</v>
      </c>
      <c r="AH151" t="s">
        <v>455</v>
      </c>
      <c r="AI151" t="s">
        <v>456</v>
      </c>
      <c r="AJ151" t="s">
        <v>457</v>
      </c>
      <c r="AK151" t="s">
        <v>458</v>
      </c>
      <c r="AL151" t="s">
        <v>459</v>
      </c>
      <c r="AM151" t="s">
        <v>460</v>
      </c>
      <c r="AN151" t="s">
        <v>461</v>
      </c>
      <c r="AO151" t="s">
        <v>462</v>
      </c>
      <c r="AP151" t="s">
        <v>463</v>
      </c>
      <c r="AQ151" t="s">
        <v>464</v>
      </c>
      <c r="AR151" t="s">
        <v>465</v>
      </c>
      <c r="AS151" t="s">
        <v>466</v>
      </c>
      <c r="AT151" t="s">
        <v>467</v>
      </c>
      <c r="AU151" t="s">
        <v>468</v>
      </c>
      <c r="AV151" t="s">
        <v>469</v>
      </c>
      <c r="AW151" t="s">
        <v>470</v>
      </c>
      <c r="AX151" t="s">
        <v>471</v>
      </c>
      <c r="AY151" t="s">
        <v>472</v>
      </c>
      <c r="AZ151" t="s">
        <v>473</v>
      </c>
      <c r="BA151" t="s">
        <v>474</v>
      </c>
      <c r="BB151" t="s">
        <v>475</v>
      </c>
      <c r="BC151" t="s">
        <v>476</v>
      </c>
      <c r="BD151" t="s">
        <v>477</v>
      </c>
      <c r="BE151" t="s">
        <v>478</v>
      </c>
      <c r="BF151" t="s">
        <v>479</v>
      </c>
      <c r="BG151" t="s">
        <v>480</v>
      </c>
      <c r="BH151" t="s">
        <v>481</v>
      </c>
      <c r="BI151" t="s">
        <v>482</v>
      </c>
      <c r="BJ151" t="s">
        <v>483</v>
      </c>
    </row>
    <row r="152" spans="1:62" hidden="1" x14ac:dyDescent="0.25">
      <c r="D152" s="25" t="str">
        <f t="shared" si="4"/>
        <v>0</v>
      </c>
      <c r="S152" t="s">
        <v>528</v>
      </c>
      <c r="T152" t="str">
        <f>"0000000317160"</f>
        <v>0000000317160</v>
      </c>
      <c r="U152">
        <v>1</v>
      </c>
      <c r="V152" t="s">
        <v>400</v>
      </c>
      <c r="W152" t="s">
        <v>400</v>
      </c>
      <c r="X152" t="s">
        <v>400</v>
      </c>
      <c r="Y152" t="s">
        <v>400</v>
      </c>
      <c r="Z152" t="s">
        <v>529</v>
      </c>
      <c r="AA152" t="s">
        <v>405</v>
      </c>
      <c r="AB152" t="s">
        <v>488</v>
      </c>
      <c r="AD152" t="s">
        <v>405</v>
      </c>
      <c r="AE152" t="s">
        <v>400</v>
      </c>
      <c r="AF152">
        <v>31622</v>
      </c>
      <c r="AG152" t="s">
        <v>489</v>
      </c>
      <c r="AH152" t="s">
        <v>512</v>
      </c>
      <c r="AI152" t="s">
        <v>489</v>
      </c>
      <c r="AJ152" t="s">
        <v>512</v>
      </c>
      <c r="AK152" t="s">
        <v>405</v>
      </c>
      <c r="AL152" s="3">
        <v>43574</v>
      </c>
      <c r="AM152" t="s">
        <v>530</v>
      </c>
      <c r="AN152" t="s">
        <v>492</v>
      </c>
      <c r="AP152">
        <v>1</v>
      </c>
      <c r="AQ152" t="str">
        <f>"0000000317160"</f>
        <v>0000000317160</v>
      </c>
      <c r="AR152" t="s">
        <v>493</v>
      </c>
      <c r="AT152" s="3">
        <v>73050</v>
      </c>
      <c r="AU152" s="3">
        <v>73050</v>
      </c>
      <c r="AV152" t="s">
        <v>494</v>
      </c>
      <c r="AW152" t="s">
        <v>531</v>
      </c>
      <c r="AX152">
        <v>0</v>
      </c>
      <c r="AY152" t="s">
        <v>405</v>
      </c>
      <c r="AZ152">
        <v>0</v>
      </c>
      <c r="BA152">
        <v>0</v>
      </c>
      <c r="BB152" t="s">
        <v>497</v>
      </c>
      <c r="BC152" t="s">
        <v>405</v>
      </c>
      <c r="BD152" t="s">
        <v>405</v>
      </c>
      <c r="BE152">
        <v>0</v>
      </c>
      <c r="BF152" t="s">
        <v>405</v>
      </c>
      <c r="BH152" t="s">
        <v>498</v>
      </c>
      <c r="BI152" t="s">
        <v>499</v>
      </c>
    </row>
    <row r="153" spans="1:62" hidden="1" x14ac:dyDescent="0.25">
      <c r="D153" s="25" t="str">
        <f t="shared" si="4"/>
        <v>0</v>
      </c>
    </row>
    <row r="154" spans="1:62" hidden="1" x14ac:dyDescent="0.25">
      <c r="D154" s="25" t="str">
        <f t="shared" si="4"/>
        <v>0</v>
      </c>
    </row>
    <row r="155" spans="1:62" hidden="1" x14ac:dyDescent="0.25">
      <c r="D155" s="25" t="str">
        <f t="shared" si="4"/>
        <v>0</v>
      </c>
    </row>
    <row r="156" spans="1:62" hidden="1" x14ac:dyDescent="0.25">
      <c r="D156" s="25" t="str">
        <f t="shared" si="4"/>
        <v>0</v>
      </c>
    </row>
    <row r="157" spans="1:62" hidden="1" x14ac:dyDescent="0.25">
      <c r="D157" s="25" t="str">
        <f t="shared" si="4"/>
        <v>0</v>
      </c>
    </row>
    <row r="158" spans="1:62" hidden="1" x14ac:dyDescent="0.25">
      <c r="D158" s="25" t="str">
        <f t="shared" si="4"/>
        <v>0</v>
      </c>
    </row>
    <row r="159" spans="1:62" hidden="1" x14ac:dyDescent="0.25">
      <c r="D159" s="25" t="str">
        <f t="shared" si="4"/>
        <v>0</v>
      </c>
    </row>
    <row r="160" spans="1:62" hidden="1" x14ac:dyDescent="0.25">
      <c r="D160" s="25" t="str">
        <f t="shared" si="4"/>
        <v>0</v>
      </c>
    </row>
    <row r="161" spans="4:4" hidden="1" x14ac:dyDescent="0.25">
      <c r="D161" s="25" t="str">
        <f t="shared" si="4"/>
        <v>0</v>
      </c>
    </row>
    <row r="162" spans="4:4" hidden="1" x14ac:dyDescent="0.25">
      <c r="D162" s="25" t="str">
        <f t="shared" si="4"/>
        <v>0</v>
      </c>
    </row>
    <row r="163" spans="4:4" hidden="1" x14ac:dyDescent="0.25">
      <c r="D163" s="25" t="str">
        <f t="shared" si="4"/>
        <v>0</v>
      </c>
    </row>
    <row r="164" spans="4:4" hidden="1" x14ac:dyDescent="0.25">
      <c r="D164" s="25" t="str">
        <f t="shared" si="4"/>
        <v>0</v>
      </c>
    </row>
    <row r="165" spans="4:4" hidden="1" x14ac:dyDescent="0.25">
      <c r="D165" s="25" t="str">
        <f t="shared" si="4"/>
        <v>0</v>
      </c>
    </row>
  </sheetData>
  <autoFilter ref="A5:M165">
    <filterColumn colId="3">
      <filters>
        <filter val="1"/>
        <filter val="1calib+cert"/>
        <filter val="1optie ( ligt nog bij de klant ? )"/>
        <filter val="1toestel is nog geldig , wat is advies van geert &amp; valerie in kader van hier een hercalibratie te doen ?"/>
        <filter val="2"/>
        <filter val="30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96" orientation="landscape" r:id="rId4"/>
  <colBreaks count="1" manualBreakCount="1">
    <brk id="7" max="1048575" man="1"/>
  </colBreaks>
  <drawing r:id="rId5"/>
  <legacyDrawing r:id="rId6"/>
  <controls>
    <mc:AlternateContent xmlns:mc="http://schemas.openxmlformats.org/markup-compatibility/2006">
      <mc:Choice Requires="x14">
        <control shapeId="105475" r:id="rId7" name="CommandButton3">
          <controlPr autoLine="0" autoPict="0" r:id="rId8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8</xdr:col>
                <xdr:colOff>9525</xdr:colOff>
                <xdr:row>2</xdr:row>
                <xdr:rowOff>19050</xdr:rowOff>
              </to>
            </anchor>
          </controlPr>
        </control>
      </mc:Choice>
      <mc:Fallback>
        <control shapeId="105475" r:id="rId7" name="CommandButton3"/>
      </mc:Fallback>
    </mc:AlternateContent>
    <mc:AlternateContent xmlns:mc="http://schemas.openxmlformats.org/markup-compatibility/2006">
      <mc:Choice Requires="x14">
        <control shapeId="105474" r:id="rId9" name="CommandButton2">
          <controlPr autoLine="0" r:id="rId10">
            <anchor moveWithCells="1">
              <from>
                <xdr:col>11</xdr:col>
                <xdr:colOff>123825</xdr:colOff>
                <xdr:row>0</xdr:row>
                <xdr:rowOff>104775</xdr:rowOff>
              </from>
              <to>
                <xdr:col>14</xdr:col>
                <xdr:colOff>0</xdr:colOff>
                <xdr:row>2</xdr:row>
                <xdr:rowOff>28575</xdr:rowOff>
              </to>
            </anchor>
          </controlPr>
        </control>
      </mc:Choice>
      <mc:Fallback>
        <control shapeId="105474" r:id="rId9" name="CommandButton2"/>
      </mc:Fallback>
    </mc:AlternateContent>
    <mc:AlternateContent xmlns:mc="http://schemas.openxmlformats.org/markup-compatibility/2006">
      <mc:Choice Requires="x14">
        <control shapeId="105473" r:id="rId11" name="CommandButton1">
          <controlPr autoLine="0" r:id="rId12">
            <anchor moveWithCells="1">
              <from>
                <xdr:col>12</xdr:col>
                <xdr:colOff>371475</xdr:colOff>
                <xdr:row>1</xdr:row>
                <xdr:rowOff>47625</xdr:rowOff>
              </from>
              <to>
                <xdr:col>15</xdr:col>
                <xdr:colOff>180975</xdr:colOff>
                <xdr:row>2</xdr:row>
                <xdr:rowOff>171450</xdr:rowOff>
              </to>
            </anchor>
          </controlPr>
        </control>
      </mc:Choice>
      <mc:Fallback>
        <control shapeId="105473" r:id="rId11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1" filterMode="1">
    <tabColor rgb="FFFFC000"/>
  </sheetPr>
  <dimension ref="A1:BK167"/>
  <sheetViews>
    <sheetView tabSelected="1" zoomScale="87" zoomScaleNormal="87" workbookViewId="0">
      <selection activeCell="D1" sqref="D1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29" style="23" bestFit="1" customWidth="1"/>
    <col min="5" max="5" width="6.140625" style="21" bestFit="1" customWidth="1"/>
    <col min="6" max="6" width="6.140625" style="20" bestFit="1" customWidth="1"/>
    <col min="7" max="7" width="6.85546875" style="32" bestFit="1" customWidth="1"/>
    <col min="8" max="11" width="6" style="32" bestFit="1" customWidth="1"/>
    <col min="12" max="13" width="6" style="22" bestFit="1" customWidth="1"/>
    <col min="21" max="22" width="9.28515625" bestFit="1" customWidth="1"/>
    <col min="32" max="33" width="9.28515625" bestFit="1" customWidth="1"/>
    <col min="38" max="39" width="12" bestFit="1" customWidth="1"/>
    <col min="42" max="43" width="9.28515625" bestFit="1" customWidth="1"/>
  </cols>
  <sheetData>
    <row r="1" spans="1:63" x14ac:dyDescent="0.25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63" x14ac:dyDescent="0.25">
      <c r="A2"/>
      <c r="B2"/>
      <c r="C2"/>
      <c r="D2"/>
      <c r="E2"/>
      <c r="F2"/>
      <c r="G2"/>
      <c r="H2"/>
      <c r="I2"/>
      <c r="J2"/>
      <c r="K2"/>
      <c r="L2"/>
      <c r="M2"/>
    </row>
    <row r="3" spans="1:63" x14ac:dyDescent="0.25">
      <c r="A3"/>
      <c r="B3"/>
      <c r="C3"/>
      <c r="D3"/>
      <c r="E3"/>
      <c r="F3"/>
      <c r="G3"/>
      <c r="H3"/>
      <c r="I3"/>
      <c r="J3"/>
      <c r="K3"/>
      <c r="L3"/>
      <c r="M3"/>
    </row>
    <row r="4" spans="1:63" s="36" customFormat="1" ht="100.5" x14ac:dyDescent="0.25">
      <c r="C4" s="40">
        <v>43592</v>
      </c>
      <c r="E4" s="39" t="s">
        <v>504</v>
      </c>
      <c r="F4" s="39" t="s">
        <v>505</v>
      </c>
      <c r="G4" s="39" t="s">
        <v>437</v>
      </c>
      <c r="H4" s="39"/>
      <c r="I4" s="39"/>
      <c r="J4" s="39"/>
      <c r="K4" s="39"/>
      <c r="L4" s="39"/>
      <c r="M4" s="39"/>
    </row>
    <row r="5" spans="1:63" s="36" customFormat="1" ht="98.25" customHeight="1" x14ac:dyDescent="0.25">
      <c r="A5" s="55"/>
      <c r="B5" s="55" t="s">
        <v>325</v>
      </c>
      <c r="C5" s="56" t="str">
        <f ca="1">MID(CELL("filename",A5),FIND("]",CELL("filename",A5))+1,256)</f>
        <v>rgo190015</v>
      </c>
      <c r="D5" s="57" t="s">
        <v>382</v>
      </c>
      <c r="E5" s="37" t="s">
        <v>506</v>
      </c>
      <c r="F5" s="37" t="s">
        <v>507</v>
      </c>
      <c r="G5" s="37">
        <v>1156</v>
      </c>
      <c r="H5" s="37"/>
      <c r="I5" s="37"/>
      <c r="J5" s="37"/>
      <c r="K5" s="38"/>
      <c r="L5" s="35"/>
      <c r="M5" s="38" t="s">
        <v>386</v>
      </c>
    </row>
    <row r="6" spans="1:63" ht="17.25" customHeight="1" x14ac:dyDescent="0.25">
      <c r="A6" s="58" t="s">
        <v>307</v>
      </c>
      <c r="B6" s="58" t="s">
        <v>324</v>
      </c>
      <c r="C6" s="58" t="s">
        <v>323</v>
      </c>
      <c r="D6" s="53" t="str">
        <f>(E6+F6+L6+G6+H6+I6+J6+K6) &amp;M6</f>
        <v>30</v>
      </c>
      <c r="E6" s="53"/>
      <c r="F6" s="53">
        <v>30</v>
      </c>
      <c r="G6" s="53"/>
      <c r="H6" s="53"/>
      <c r="I6" s="53"/>
      <c r="J6" s="53"/>
      <c r="K6" s="53"/>
      <c r="L6" s="43"/>
      <c r="M6" s="43"/>
    </row>
    <row r="7" spans="1:63" ht="17.25" customHeight="1" x14ac:dyDescent="0.25">
      <c r="A7" s="59" t="s">
        <v>534</v>
      </c>
      <c r="B7" s="59" t="s">
        <v>532</v>
      </c>
      <c r="C7" s="59" t="s">
        <v>533</v>
      </c>
      <c r="D7" s="53" t="str">
        <f t="shared" ref="D7" si="0">(E7+F7+L7+G7+H7+I7+J7+K7) &amp;M7</f>
        <v>1calib+cert</v>
      </c>
      <c r="E7" s="53"/>
      <c r="F7" s="53"/>
      <c r="G7" s="53">
        <v>1</v>
      </c>
      <c r="H7" s="53"/>
      <c r="I7" s="53"/>
      <c r="J7" s="53"/>
      <c r="K7" s="53"/>
      <c r="L7" s="43"/>
      <c r="M7" s="43" t="s">
        <v>536</v>
      </c>
    </row>
    <row r="8" spans="1:63" ht="19.5" customHeight="1" x14ac:dyDescent="0.25">
      <c r="A8" s="59" t="s">
        <v>534</v>
      </c>
      <c r="B8" s="59" t="s">
        <v>436</v>
      </c>
      <c r="C8" s="59" t="s">
        <v>535</v>
      </c>
      <c r="D8" s="53" t="str">
        <f>(E8+F8+L8+G8+H8+I8+J8+K8) &amp;M8</f>
        <v>1calib+cert</v>
      </c>
      <c r="E8" s="53"/>
      <c r="F8" s="53">
        <v>1</v>
      </c>
      <c r="G8" s="53"/>
      <c r="H8" s="53"/>
      <c r="I8" s="53"/>
      <c r="J8" s="53"/>
      <c r="K8" s="53"/>
      <c r="L8" s="43"/>
      <c r="M8" s="43" t="s">
        <v>536</v>
      </c>
    </row>
    <row r="9" spans="1:63" ht="18" customHeight="1" x14ac:dyDescent="0.25">
      <c r="A9" s="59" t="s">
        <v>314</v>
      </c>
      <c r="B9" s="59" t="s">
        <v>315</v>
      </c>
      <c r="C9" s="59" t="s">
        <v>365</v>
      </c>
      <c r="D9" s="26" t="str">
        <f t="shared" ref="D9:D72" si="1">(E9+F9+L9+G9+H9+I9+J9+K9) &amp;M9</f>
        <v>1calib forfait</v>
      </c>
      <c r="E9" s="26">
        <v>1</v>
      </c>
      <c r="F9" s="26"/>
      <c r="G9" s="26"/>
      <c r="H9" s="26"/>
      <c r="I9" s="26"/>
      <c r="J9" s="26"/>
      <c r="K9" s="26"/>
      <c r="L9" s="27"/>
      <c r="M9" s="27" t="s">
        <v>537</v>
      </c>
    </row>
    <row r="10" spans="1:63" ht="18" hidden="1" customHeight="1" x14ac:dyDescent="0.25">
      <c r="A10" s="48" t="s">
        <v>169</v>
      </c>
      <c r="B10" s="48" t="s">
        <v>215</v>
      </c>
      <c r="C10" s="48" t="s">
        <v>216</v>
      </c>
      <c r="D10" s="49" t="str">
        <f t="shared" si="1"/>
        <v>0</v>
      </c>
      <c r="E10" s="50"/>
      <c r="F10" s="50"/>
      <c r="G10" s="50"/>
      <c r="H10" s="50"/>
      <c r="I10" s="50"/>
      <c r="J10" s="50"/>
      <c r="K10" s="50"/>
      <c r="L10" s="50"/>
      <c r="M10" s="50"/>
    </row>
    <row r="11" spans="1:63" ht="18" hidden="1" customHeight="1" x14ac:dyDescent="0.25">
      <c r="A11" s="29" t="s">
        <v>169</v>
      </c>
      <c r="B11" s="29" t="s">
        <v>170</v>
      </c>
      <c r="C11" s="29" t="s">
        <v>171</v>
      </c>
      <c r="D11" s="25" t="str">
        <f t="shared" si="1"/>
        <v>0</v>
      </c>
      <c r="E11" s="27"/>
      <c r="F11" s="27"/>
      <c r="G11" s="27"/>
      <c r="H11" s="27"/>
      <c r="I11" s="27"/>
      <c r="J11" s="27"/>
      <c r="K11" s="27"/>
      <c r="L11" s="27"/>
      <c r="M11" s="27"/>
    </row>
    <row r="12" spans="1:63" ht="18" hidden="1" customHeight="1" x14ac:dyDescent="0.25">
      <c r="A12" s="41" t="s">
        <v>169</v>
      </c>
      <c r="B12" s="41" t="s">
        <v>172</v>
      </c>
      <c r="C12" s="41" t="s">
        <v>173</v>
      </c>
      <c r="D12" s="42" t="str">
        <f t="shared" si="1"/>
        <v>0</v>
      </c>
      <c r="E12" s="43"/>
      <c r="F12" s="43"/>
      <c r="G12" s="43"/>
      <c r="H12" s="43"/>
      <c r="I12" s="43"/>
      <c r="J12" s="43"/>
      <c r="K12" s="43"/>
      <c r="L12" s="43"/>
      <c r="M12" s="43"/>
    </row>
    <row r="13" spans="1:63" ht="18" customHeight="1" x14ac:dyDescent="0.25">
      <c r="A13" s="60" t="s">
        <v>52</v>
      </c>
      <c r="B13" s="60" t="s">
        <v>53</v>
      </c>
      <c r="C13" s="60" t="s">
        <v>54</v>
      </c>
      <c r="D13" s="26" t="str">
        <f t="shared" si="1"/>
        <v>1</v>
      </c>
      <c r="E13" s="27">
        <v>1</v>
      </c>
      <c r="F13" s="27"/>
      <c r="G13" s="27"/>
      <c r="H13" s="27"/>
      <c r="I13" s="27"/>
      <c r="J13" s="27"/>
      <c r="K13" s="27"/>
      <c r="L13" s="27"/>
      <c r="M13" s="27"/>
      <c r="Q13" t="s">
        <v>393</v>
      </c>
      <c r="R13" t="s">
        <v>391</v>
      </c>
      <c r="S13" t="s">
        <v>392</v>
      </c>
      <c r="T13" t="s">
        <v>440</v>
      </c>
      <c r="U13" t="s">
        <v>441</v>
      </c>
      <c r="V13" t="s">
        <v>442</v>
      </c>
      <c r="W13" t="s">
        <v>443</v>
      </c>
      <c r="X13" t="s">
        <v>444</v>
      </c>
      <c r="Y13" t="s">
        <v>445</v>
      </c>
      <c r="Z13" t="s">
        <v>446</v>
      </c>
      <c r="AA13" t="s">
        <v>447</v>
      </c>
      <c r="AB13" t="s">
        <v>448</v>
      </c>
      <c r="AC13" t="s">
        <v>449</v>
      </c>
      <c r="AD13" t="s">
        <v>450</v>
      </c>
      <c r="AE13" t="s">
        <v>451</v>
      </c>
      <c r="AF13" t="s">
        <v>452</v>
      </c>
      <c r="AG13" t="s">
        <v>453</v>
      </c>
      <c r="AH13" t="s">
        <v>454</v>
      </c>
      <c r="AI13" t="s">
        <v>455</v>
      </c>
      <c r="AJ13" t="s">
        <v>456</v>
      </c>
      <c r="AK13" t="s">
        <v>457</v>
      </c>
      <c r="AL13" t="s">
        <v>458</v>
      </c>
      <c r="AM13" t="s">
        <v>459</v>
      </c>
      <c r="AN13" t="s">
        <v>460</v>
      </c>
      <c r="AO13" t="s">
        <v>461</v>
      </c>
      <c r="AP13" t="s">
        <v>462</v>
      </c>
      <c r="AQ13" t="s">
        <v>463</v>
      </c>
      <c r="AR13" t="s">
        <v>464</v>
      </c>
      <c r="AS13" t="s">
        <v>465</v>
      </c>
      <c r="AT13" t="s">
        <v>466</v>
      </c>
      <c r="AU13" t="s">
        <v>467</v>
      </c>
      <c r="AV13" t="s">
        <v>468</v>
      </c>
      <c r="AW13" t="s">
        <v>469</v>
      </c>
      <c r="AX13" t="s">
        <v>470</v>
      </c>
      <c r="AY13" t="s">
        <v>471</v>
      </c>
      <c r="AZ13" t="s">
        <v>472</v>
      </c>
      <c r="BA13" t="s">
        <v>473</v>
      </c>
      <c r="BB13" t="s">
        <v>474</v>
      </c>
      <c r="BC13" t="s">
        <v>475</v>
      </c>
      <c r="BD13" t="s">
        <v>476</v>
      </c>
      <c r="BE13" t="s">
        <v>477</v>
      </c>
      <c r="BF13" t="s">
        <v>478</v>
      </c>
      <c r="BG13" t="s">
        <v>479</v>
      </c>
      <c r="BH13" t="s">
        <v>480</v>
      </c>
      <c r="BI13" t="s">
        <v>481</v>
      </c>
      <c r="BJ13" t="s">
        <v>482</v>
      </c>
      <c r="BK13" t="s">
        <v>483</v>
      </c>
    </row>
    <row r="14" spans="1:63" ht="18" hidden="1" customHeight="1" x14ac:dyDescent="0.25">
      <c r="A14" s="48" t="s">
        <v>138</v>
      </c>
      <c r="B14" s="48" t="s">
        <v>160</v>
      </c>
      <c r="C14" s="48" t="s">
        <v>159</v>
      </c>
      <c r="D14" s="49" t="str">
        <f t="shared" si="1"/>
        <v>0</v>
      </c>
      <c r="E14" s="50"/>
      <c r="F14" s="50"/>
      <c r="G14" s="50"/>
      <c r="H14" s="50"/>
      <c r="I14" s="50"/>
      <c r="J14" s="50"/>
      <c r="K14" s="50"/>
      <c r="L14" s="50"/>
      <c r="M14" s="50"/>
      <c r="Q14" t="s">
        <v>508</v>
      </c>
      <c r="R14" t="s">
        <v>52</v>
      </c>
      <c r="S14" t="s">
        <v>509</v>
      </c>
      <c r="T14" t="s">
        <v>510</v>
      </c>
      <c r="U14" t="str">
        <f>"0000000410168"</f>
        <v>0000000410168</v>
      </c>
      <c r="V14">
        <v>1</v>
      </c>
      <c r="W14" t="s">
        <v>400</v>
      </c>
      <c r="X14" t="s">
        <v>511</v>
      </c>
      <c r="Y14" t="s">
        <v>511</v>
      </c>
      <c r="Z14" t="s">
        <v>511</v>
      </c>
      <c r="AA14" t="s">
        <v>488</v>
      </c>
      <c r="AB14" t="s">
        <v>405</v>
      </c>
      <c r="AC14" t="s">
        <v>488</v>
      </c>
      <c r="AE14" t="s">
        <v>405</v>
      </c>
      <c r="AF14" t="s">
        <v>400</v>
      </c>
      <c r="AG14">
        <v>42605</v>
      </c>
      <c r="AH14" t="s">
        <v>489</v>
      </c>
      <c r="AI14" t="s">
        <v>512</v>
      </c>
      <c r="AJ14" t="s">
        <v>489</v>
      </c>
      <c r="AK14" t="s">
        <v>512</v>
      </c>
      <c r="AL14" t="s">
        <v>405</v>
      </c>
      <c r="AM14" s="3">
        <v>43522</v>
      </c>
      <c r="AN14" t="s">
        <v>513</v>
      </c>
      <c r="AO14" t="s">
        <v>514</v>
      </c>
      <c r="AQ14">
        <v>0</v>
      </c>
      <c r="AR14" t="str">
        <f>"0000000410168"</f>
        <v>0000000410168</v>
      </c>
      <c r="AS14" t="s">
        <v>493</v>
      </c>
      <c r="AU14" s="3">
        <v>73050</v>
      </c>
      <c r="AV14" s="3">
        <v>73050</v>
      </c>
      <c r="AW14" t="s">
        <v>494</v>
      </c>
      <c r="AX14" t="s">
        <v>495</v>
      </c>
      <c r="AY14">
        <v>0</v>
      </c>
      <c r="AZ14" t="s">
        <v>515</v>
      </c>
      <c r="BA14">
        <v>0</v>
      </c>
      <c r="BB14">
        <v>0</v>
      </c>
      <c r="BC14" t="s">
        <v>497</v>
      </c>
      <c r="BD14" t="s">
        <v>515</v>
      </c>
      <c r="BE14" t="s">
        <v>405</v>
      </c>
      <c r="BF14">
        <v>0</v>
      </c>
      <c r="BG14" t="s">
        <v>405</v>
      </c>
      <c r="BI14" t="s">
        <v>498</v>
      </c>
      <c r="BJ14" t="s">
        <v>499</v>
      </c>
    </row>
    <row r="15" spans="1:63" ht="18" hidden="1" customHeight="1" x14ac:dyDescent="0.25">
      <c r="A15" s="29" t="s">
        <v>138</v>
      </c>
      <c r="B15" s="29" t="s">
        <v>162</v>
      </c>
      <c r="C15" s="29" t="s">
        <v>161</v>
      </c>
      <c r="D15" s="25" t="str">
        <f t="shared" si="1"/>
        <v>0</v>
      </c>
      <c r="E15" s="27"/>
      <c r="F15" s="27"/>
      <c r="G15" s="27"/>
      <c r="H15" s="27"/>
      <c r="I15" s="27"/>
      <c r="J15" s="27"/>
      <c r="K15" s="27"/>
      <c r="L15" s="27"/>
      <c r="M15" s="27"/>
      <c r="Q15" t="s">
        <v>516</v>
      </c>
      <c r="R15" t="s">
        <v>52</v>
      </c>
      <c r="S15" t="s">
        <v>517</v>
      </c>
      <c r="T15" t="s">
        <v>518</v>
      </c>
      <c r="U15" t="s">
        <v>519</v>
      </c>
      <c r="V15">
        <v>1</v>
      </c>
      <c r="W15" t="s">
        <v>400</v>
      </c>
      <c r="X15" t="s">
        <v>511</v>
      </c>
      <c r="Y15" t="s">
        <v>511</v>
      </c>
      <c r="Z15" t="s">
        <v>511</v>
      </c>
      <c r="AA15" t="s">
        <v>520</v>
      </c>
      <c r="AB15" t="s">
        <v>405</v>
      </c>
      <c r="AC15" t="s">
        <v>521</v>
      </c>
      <c r="AD15" t="s">
        <v>522</v>
      </c>
      <c r="AE15" t="s">
        <v>405</v>
      </c>
      <c r="AF15" t="s">
        <v>400</v>
      </c>
      <c r="AG15">
        <v>1917</v>
      </c>
      <c r="AH15" t="s">
        <v>489</v>
      </c>
      <c r="AI15" t="s">
        <v>523</v>
      </c>
      <c r="AJ15" t="s">
        <v>489</v>
      </c>
      <c r="AK15" t="s">
        <v>523</v>
      </c>
      <c r="AL15" t="s">
        <v>405</v>
      </c>
      <c r="AM15" s="3">
        <v>43444</v>
      </c>
      <c r="AN15" t="s">
        <v>524</v>
      </c>
      <c r="AO15" t="s">
        <v>514</v>
      </c>
      <c r="AQ15">
        <v>0</v>
      </c>
      <c r="AR15" t="str">
        <f>"0000000011037"</f>
        <v>0000000011037</v>
      </c>
      <c r="AS15" t="s">
        <v>493</v>
      </c>
      <c r="AU15" s="3">
        <v>73050</v>
      </c>
      <c r="AV15" s="3">
        <v>73050</v>
      </c>
      <c r="AW15" t="s">
        <v>494</v>
      </c>
      <c r="AX15" t="s">
        <v>495</v>
      </c>
      <c r="AY15">
        <v>0</v>
      </c>
      <c r="AZ15" t="s">
        <v>405</v>
      </c>
      <c r="BA15">
        <v>0</v>
      </c>
      <c r="BB15">
        <v>0</v>
      </c>
      <c r="BC15" t="s">
        <v>497</v>
      </c>
      <c r="BD15" t="s">
        <v>525</v>
      </c>
      <c r="BE15" t="s">
        <v>405</v>
      </c>
      <c r="BF15">
        <v>0</v>
      </c>
      <c r="BG15" t="s">
        <v>405</v>
      </c>
      <c r="BI15" t="s">
        <v>498</v>
      </c>
      <c r="BJ15" t="s">
        <v>499</v>
      </c>
    </row>
    <row r="16" spans="1:63" ht="18" hidden="1" customHeight="1" x14ac:dyDescent="0.25">
      <c r="A16" s="29" t="s">
        <v>138</v>
      </c>
      <c r="B16" s="29" t="s">
        <v>139</v>
      </c>
      <c r="C16" s="29" t="s">
        <v>140</v>
      </c>
      <c r="D16" s="25" t="str">
        <f t="shared" si="1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63" ht="18" hidden="1" customHeight="1" x14ac:dyDescent="0.25">
      <c r="A17" s="29" t="s">
        <v>120</v>
      </c>
      <c r="B17" s="29" t="s">
        <v>123</v>
      </c>
      <c r="C17" s="29" t="s">
        <v>124</v>
      </c>
      <c r="D17" s="25" t="str">
        <f t="shared" si="1"/>
        <v>0</v>
      </c>
      <c r="E17" s="27"/>
      <c r="F17" s="27"/>
      <c r="G17" s="27"/>
      <c r="H17" s="27"/>
      <c r="I17" s="27"/>
      <c r="J17" s="27"/>
      <c r="K17" s="27"/>
      <c r="L17" s="27"/>
      <c r="M17" s="27"/>
    </row>
    <row r="18" spans="1:63" ht="18" hidden="1" customHeight="1" x14ac:dyDescent="0.25">
      <c r="A18" s="29" t="s">
        <v>120</v>
      </c>
      <c r="B18" s="29" t="s">
        <v>125</v>
      </c>
      <c r="C18" s="29" t="s">
        <v>126</v>
      </c>
      <c r="D18" s="25" t="str">
        <f t="shared" si="1"/>
        <v>0</v>
      </c>
      <c r="E18" s="27"/>
      <c r="F18" s="27"/>
      <c r="G18" s="27"/>
      <c r="H18" s="27"/>
      <c r="I18" s="27"/>
      <c r="J18" s="27"/>
      <c r="K18" s="27"/>
      <c r="L18" s="27"/>
      <c r="M18" s="27"/>
    </row>
    <row r="19" spans="1:63" ht="18" hidden="1" customHeight="1" x14ac:dyDescent="0.25">
      <c r="A19" s="29" t="s">
        <v>268</v>
      </c>
      <c r="B19" s="29" t="s">
        <v>337</v>
      </c>
      <c r="C19" s="29" t="s">
        <v>338</v>
      </c>
      <c r="D19" s="25" t="str">
        <f t="shared" si="1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63" ht="18" hidden="1" customHeight="1" x14ac:dyDescent="0.25">
      <c r="A20" s="29" t="s">
        <v>268</v>
      </c>
      <c r="B20" s="29" t="s">
        <v>269</v>
      </c>
      <c r="C20" s="29" t="s">
        <v>336</v>
      </c>
      <c r="D20" s="25" t="str">
        <f t="shared" si="1"/>
        <v>0</v>
      </c>
      <c r="E20" s="27"/>
      <c r="F20" s="27"/>
      <c r="G20" s="27"/>
      <c r="H20" s="27"/>
      <c r="I20" s="27"/>
      <c r="J20" s="27"/>
      <c r="K20" s="27"/>
      <c r="L20" s="27"/>
      <c r="M20" s="27"/>
      <c r="Q20" t="s">
        <v>393</v>
      </c>
      <c r="R20" t="s">
        <v>391</v>
      </c>
      <c r="S20" t="s">
        <v>392</v>
      </c>
      <c r="T20" t="s">
        <v>440</v>
      </c>
      <c r="U20" t="s">
        <v>441</v>
      </c>
      <c r="V20" t="s">
        <v>442</v>
      </c>
      <c r="W20" t="s">
        <v>443</v>
      </c>
      <c r="X20" t="s">
        <v>444</v>
      </c>
      <c r="Y20" t="s">
        <v>445</v>
      </c>
      <c r="Z20" t="s">
        <v>446</v>
      </c>
      <c r="AA20" t="s">
        <v>447</v>
      </c>
      <c r="AB20" t="s">
        <v>448</v>
      </c>
      <c r="AC20" t="s">
        <v>449</v>
      </c>
      <c r="AD20" t="s">
        <v>450</v>
      </c>
      <c r="AE20" t="s">
        <v>451</v>
      </c>
      <c r="AF20" t="s">
        <v>452</v>
      </c>
      <c r="AG20" t="s">
        <v>453</v>
      </c>
      <c r="AH20" t="s">
        <v>454</v>
      </c>
      <c r="AI20" t="s">
        <v>455</v>
      </c>
      <c r="AJ20" t="s">
        <v>456</v>
      </c>
      <c r="AK20" t="s">
        <v>457</v>
      </c>
      <c r="AL20" t="s">
        <v>458</v>
      </c>
      <c r="AM20" t="s">
        <v>459</v>
      </c>
      <c r="AN20" t="s">
        <v>460</v>
      </c>
      <c r="AO20" t="s">
        <v>461</v>
      </c>
      <c r="AP20" t="s">
        <v>462</v>
      </c>
      <c r="AQ20" t="s">
        <v>463</v>
      </c>
      <c r="AR20" t="s">
        <v>464</v>
      </c>
      <c r="AS20" t="s">
        <v>465</v>
      </c>
      <c r="AT20" t="s">
        <v>466</v>
      </c>
      <c r="AU20" t="s">
        <v>467</v>
      </c>
      <c r="AV20" t="s">
        <v>468</v>
      </c>
      <c r="AW20" t="s">
        <v>469</v>
      </c>
      <c r="AX20" t="s">
        <v>470</v>
      </c>
      <c r="AY20" t="s">
        <v>471</v>
      </c>
      <c r="AZ20" t="s">
        <v>472</v>
      </c>
      <c r="BA20" t="s">
        <v>473</v>
      </c>
      <c r="BB20" t="s">
        <v>474</v>
      </c>
      <c r="BC20" t="s">
        <v>475</v>
      </c>
      <c r="BD20" t="s">
        <v>476</v>
      </c>
      <c r="BE20" t="s">
        <v>477</v>
      </c>
      <c r="BF20" t="s">
        <v>478</v>
      </c>
      <c r="BG20" t="s">
        <v>479</v>
      </c>
      <c r="BH20" t="s">
        <v>480</v>
      </c>
      <c r="BI20" t="s">
        <v>481</v>
      </c>
      <c r="BJ20" t="s">
        <v>482</v>
      </c>
      <c r="BK20" t="s">
        <v>483</v>
      </c>
    </row>
    <row r="21" spans="1:63" ht="18" hidden="1" customHeight="1" x14ac:dyDescent="0.25">
      <c r="A21" s="29" t="s">
        <v>117</v>
      </c>
      <c r="B21" s="29" t="s">
        <v>118</v>
      </c>
      <c r="C21" s="29" t="s">
        <v>381</v>
      </c>
      <c r="D21" s="25" t="str">
        <f t="shared" si="1"/>
        <v>0</v>
      </c>
      <c r="E21" s="27"/>
      <c r="F21" s="27"/>
      <c r="G21" s="27"/>
      <c r="H21" s="27"/>
      <c r="I21" s="27"/>
      <c r="J21" s="27"/>
      <c r="K21" s="27"/>
      <c r="L21" s="27"/>
      <c r="M21" s="27"/>
      <c r="Q21" t="s">
        <v>526</v>
      </c>
      <c r="R21" t="s">
        <v>27</v>
      </c>
      <c r="S21" t="s">
        <v>527</v>
      </c>
      <c r="T21" t="s">
        <v>528</v>
      </c>
      <c r="U21" t="str">
        <f>"0000000317160"</f>
        <v>0000000317160</v>
      </c>
      <c r="V21">
        <v>1</v>
      </c>
      <c r="W21" t="s">
        <v>400</v>
      </c>
      <c r="X21" t="s">
        <v>400</v>
      </c>
      <c r="Y21" t="s">
        <v>400</v>
      </c>
      <c r="Z21" t="s">
        <v>400</v>
      </c>
      <c r="AA21" t="s">
        <v>529</v>
      </c>
      <c r="AB21" t="s">
        <v>405</v>
      </c>
      <c r="AC21" t="s">
        <v>488</v>
      </c>
      <c r="AE21" t="s">
        <v>405</v>
      </c>
      <c r="AF21" t="s">
        <v>400</v>
      </c>
      <c r="AG21">
        <v>31622</v>
      </c>
      <c r="AH21" t="s">
        <v>489</v>
      </c>
      <c r="AI21" t="s">
        <v>512</v>
      </c>
      <c r="AJ21" t="s">
        <v>489</v>
      </c>
      <c r="AK21" t="s">
        <v>512</v>
      </c>
      <c r="AL21" t="s">
        <v>405</v>
      </c>
      <c r="AM21" s="3">
        <v>43574</v>
      </c>
      <c r="AN21" t="s">
        <v>530</v>
      </c>
      <c r="AO21" t="s">
        <v>492</v>
      </c>
      <c r="AQ21">
        <v>1</v>
      </c>
      <c r="AR21" t="str">
        <f>"0000000317160"</f>
        <v>0000000317160</v>
      </c>
      <c r="AS21" t="s">
        <v>493</v>
      </c>
      <c r="AU21" s="3">
        <v>73050</v>
      </c>
      <c r="AV21" s="3">
        <v>73050</v>
      </c>
      <c r="AW21" t="s">
        <v>494</v>
      </c>
      <c r="AX21" t="s">
        <v>531</v>
      </c>
      <c r="AY21">
        <v>0</v>
      </c>
      <c r="AZ21" t="s">
        <v>405</v>
      </c>
      <c r="BA21">
        <v>0</v>
      </c>
      <c r="BB21">
        <v>0</v>
      </c>
      <c r="BC21" t="s">
        <v>497</v>
      </c>
      <c r="BD21" t="s">
        <v>405</v>
      </c>
      <c r="BE21" t="s">
        <v>405</v>
      </c>
      <c r="BF21">
        <v>0</v>
      </c>
      <c r="BG21" t="s">
        <v>405</v>
      </c>
      <c r="BI21" t="s">
        <v>498</v>
      </c>
      <c r="BJ21" t="s">
        <v>499</v>
      </c>
    </row>
    <row r="22" spans="1:63" ht="18" hidden="1" customHeight="1" x14ac:dyDescent="0.25">
      <c r="A22" s="29" t="s">
        <v>107</v>
      </c>
      <c r="B22" s="29" t="s">
        <v>112</v>
      </c>
      <c r="C22" s="29" t="s">
        <v>312</v>
      </c>
      <c r="D22" s="25" t="str">
        <f t="shared" si="1"/>
        <v>0</v>
      </c>
      <c r="E22" s="27"/>
      <c r="F22" s="27"/>
      <c r="G22" s="27"/>
      <c r="H22" s="27"/>
      <c r="I22" s="27"/>
      <c r="J22" s="27"/>
      <c r="K22" s="27"/>
      <c r="L22" s="27"/>
      <c r="M22" s="27"/>
    </row>
    <row r="23" spans="1:63" ht="18" hidden="1" customHeight="1" x14ac:dyDescent="0.25">
      <c r="A23" s="29" t="s">
        <v>9</v>
      </c>
      <c r="B23" s="29" t="s">
        <v>166</v>
      </c>
      <c r="C23" s="29" t="s">
        <v>310</v>
      </c>
      <c r="D23" s="25" t="str">
        <f t="shared" si="1"/>
        <v>0</v>
      </c>
      <c r="E23" s="27"/>
      <c r="F23" s="27"/>
      <c r="G23" s="27"/>
      <c r="H23" s="27"/>
      <c r="I23" s="27"/>
      <c r="J23" s="27"/>
      <c r="K23" s="27"/>
      <c r="L23" s="27"/>
      <c r="M23" s="27"/>
    </row>
    <row r="24" spans="1:63" ht="18" hidden="1" customHeight="1" x14ac:dyDescent="0.25">
      <c r="A24" s="29" t="s">
        <v>9</v>
      </c>
      <c r="B24" s="29" t="s">
        <v>168</v>
      </c>
      <c r="C24" s="29" t="s">
        <v>311</v>
      </c>
      <c r="D24" s="25" t="str">
        <f t="shared" si="1"/>
        <v>0</v>
      </c>
      <c r="E24" s="27"/>
      <c r="F24" s="27"/>
      <c r="G24" s="27"/>
      <c r="H24" s="27"/>
      <c r="I24" s="27"/>
      <c r="J24" s="27"/>
      <c r="K24" s="27"/>
      <c r="L24" s="27"/>
      <c r="M24" s="27"/>
    </row>
    <row r="25" spans="1:63" ht="18" hidden="1" customHeight="1" x14ac:dyDescent="0.25">
      <c r="A25" s="29" t="s">
        <v>9</v>
      </c>
      <c r="B25" s="29" t="s">
        <v>155</v>
      </c>
      <c r="C25" s="29" t="s">
        <v>156</v>
      </c>
      <c r="D25" s="25" t="str">
        <f t="shared" si="1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63" ht="18" hidden="1" customHeight="1" x14ac:dyDescent="0.25">
      <c r="A26" s="29" t="s">
        <v>138</v>
      </c>
      <c r="B26" s="29" t="s">
        <v>149</v>
      </c>
      <c r="C26" s="29" t="s">
        <v>345</v>
      </c>
      <c r="D26" s="25" t="str">
        <f t="shared" si="1"/>
        <v>0</v>
      </c>
      <c r="E26" s="27"/>
      <c r="F26" s="27"/>
      <c r="G26" s="27"/>
      <c r="H26" s="27"/>
      <c r="I26" s="27"/>
      <c r="J26" s="27"/>
      <c r="K26" s="27"/>
      <c r="L26" s="27"/>
      <c r="M26" s="27"/>
    </row>
    <row r="27" spans="1:63" ht="18" hidden="1" customHeight="1" x14ac:dyDescent="0.25">
      <c r="A27" s="29" t="s">
        <v>352</v>
      </c>
      <c r="B27" s="29" t="s">
        <v>352</v>
      </c>
      <c r="C27" s="29" t="s">
        <v>366</v>
      </c>
      <c r="D27" s="25" t="str">
        <f t="shared" si="1"/>
        <v>0</v>
      </c>
      <c r="E27" s="27"/>
      <c r="F27" s="27"/>
      <c r="G27" s="27"/>
      <c r="H27" s="27"/>
      <c r="I27" s="27"/>
      <c r="J27" s="27"/>
      <c r="K27" s="27"/>
      <c r="L27" s="27"/>
      <c r="M27" s="27"/>
    </row>
    <row r="28" spans="1:63" ht="18" hidden="1" customHeight="1" x14ac:dyDescent="0.25">
      <c r="A28" s="29" t="s">
        <v>4</v>
      </c>
      <c r="B28" s="29" t="s">
        <v>188</v>
      </c>
      <c r="C28" s="29" t="s">
        <v>189</v>
      </c>
      <c r="D28" s="25" t="str">
        <f t="shared" si="1"/>
        <v>0</v>
      </c>
      <c r="E28" s="27"/>
      <c r="F28" s="27"/>
      <c r="G28" s="27"/>
      <c r="H28" s="27"/>
      <c r="I28" s="27"/>
      <c r="J28" s="27"/>
      <c r="K28" s="27"/>
      <c r="L28" s="27"/>
      <c r="M28" s="27"/>
    </row>
    <row r="29" spans="1:63" ht="18" hidden="1" customHeight="1" x14ac:dyDescent="0.25">
      <c r="A29" s="41" t="s">
        <v>129</v>
      </c>
      <c r="B29" s="41" t="s">
        <v>130</v>
      </c>
      <c r="C29" s="41" t="s">
        <v>131</v>
      </c>
      <c r="D29" s="42" t="str">
        <f t="shared" si="1"/>
        <v>0</v>
      </c>
      <c r="E29" s="43"/>
      <c r="F29" s="43"/>
      <c r="G29" s="43"/>
      <c r="H29" s="43"/>
      <c r="I29" s="43"/>
      <c r="J29" s="43"/>
      <c r="K29" s="43"/>
      <c r="L29" s="43"/>
      <c r="M29" s="43"/>
    </row>
    <row r="30" spans="1:63" ht="18" customHeight="1" x14ac:dyDescent="0.25">
      <c r="A30" s="60" t="s">
        <v>138</v>
      </c>
      <c r="B30" s="60" t="s">
        <v>143</v>
      </c>
      <c r="C30" s="60" t="s">
        <v>144</v>
      </c>
      <c r="D30" s="26" t="str">
        <f t="shared" si="1"/>
        <v>2</v>
      </c>
      <c r="E30" s="27">
        <v>2</v>
      </c>
      <c r="F30" s="27"/>
      <c r="G30" s="27"/>
      <c r="H30" s="27"/>
      <c r="I30" s="27"/>
      <c r="J30" s="27"/>
      <c r="K30" s="27"/>
      <c r="L30" s="27"/>
      <c r="M30" s="27"/>
    </row>
    <row r="31" spans="1:63" ht="18" hidden="1" customHeight="1" x14ac:dyDescent="0.25">
      <c r="A31" s="48" t="s">
        <v>4</v>
      </c>
      <c r="B31" s="48" t="s">
        <v>85</v>
      </c>
      <c r="C31" s="48" t="s">
        <v>86</v>
      </c>
      <c r="D31" s="49" t="str">
        <f t="shared" si="1"/>
        <v>0</v>
      </c>
      <c r="E31" s="50"/>
      <c r="F31" s="50"/>
      <c r="G31" s="50"/>
      <c r="H31" s="50"/>
      <c r="I31" s="50"/>
      <c r="J31" s="50"/>
      <c r="K31" s="50"/>
      <c r="L31" s="50"/>
      <c r="M31" s="50"/>
    </row>
    <row r="32" spans="1:63" ht="18" customHeight="1" x14ac:dyDescent="0.25">
      <c r="A32" s="29" t="s">
        <v>9</v>
      </c>
      <c r="B32" s="29" t="s">
        <v>25</v>
      </c>
      <c r="C32" s="29" t="s">
        <v>313</v>
      </c>
      <c r="D32" s="25" t="str">
        <f t="shared" si="1"/>
        <v>1aanraag v klant</v>
      </c>
      <c r="E32" s="27">
        <v>1</v>
      </c>
      <c r="F32" s="27"/>
      <c r="G32" s="27"/>
      <c r="H32" s="27"/>
      <c r="I32" s="27"/>
      <c r="J32" s="27"/>
      <c r="K32" s="27"/>
      <c r="L32" s="27"/>
      <c r="M32" s="27" t="s">
        <v>539</v>
      </c>
    </row>
    <row r="33" spans="1:13" ht="18" hidden="1" customHeight="1" x14ac:dyDescent="0.25">
      <c r="A33" s="30" t="s">
        <v>52</v>
      </c>
      <c r="B33" s="30" t="s">
        <v>213</v>
      </c>
      <c r="C33" s="30" t="s">
        <v>214</v>
      </c>
      <c r="D33" s="25" t="str">
        <f t="shared" si="1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hidden="1" customHeight="1" x14ac:dyDescent="0.25">
      <c r="A34" s="30" t="s">
        <v>138</v>
      </c>
      <c r="B34" s="30" t="s">
        <v>141</v>
      </c>
      <c r="C34" s="30" t="s">
        <v>142</v>
      </c>
      <c r="D34" s="25" t="str">
        <f t="shared" si="1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ht="18" hidden="1" customHeight="1" x14ac:dyDescent="0.25">
      <c r="A35" s="30" t="s">
        <v>7</v>
      </c>
      <c r="B35" s="30" t="s">
        <v>8</v>
      </c>
      <c r="C35" s="30" t="s">
        <v>303</v>
      </c>
      <c r="D35" s="25" t="str">
        <f t="shared" si="1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ht="18" hidden="1" customHeight="1" x14ac:dyDescent="0.25">
      <c r="A36" s="30" t="s">
        <v>7</v>
      </c>
      <c r="B36" s="30" t="s">
        <v>196</v>
      </c>
      <c r="C36" s="30" t="s">
        <v>302</v>
      </c>
      <c r="D36" s="25" t="str">
        <f t="shared" si="1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hidden="1" x14ac:dyDescent="0.25">
      <c r="A37" s="30" t="s">
        <v>47</v>
      </c>
      <c r="B37" s="30" t="s">
        <v>205</v>
      </c>
      <c r="C37" s="30" t="s">
        <v>206</v>
      </c>
      <c r="D37" s="25" t="str">
        <f t="shared" si="1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hidden="1" x14ac:dyDescent="0.25">
      <c r="A38" s="30" t="s">
        <v>47</v>
      </c>
      <c r="B38" s="30" t="s">
        <v>207</v>
      </c>
      <c r="C38" s="30" t="s">
        <v>208</v>
      </c>
      <c r="D38" s="25" t="str">
        <f t="shared" si="1"/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hidden="1" x14ac:dyDescent="0.25">
      <c r="A39" s="30" t="s">
        <v>47</v>
      </c>
      <c r="B39" s="30" t="s">
        <v>209</v>
      </c>
      <c r="C39" s="30" t="s">
        <v>210</v>
      </c>
      <c r="D39" s="25" t="str">
        <f t="shared" si="1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hidden="1" x14ac:dyDescent="0.25">
      <c r="A40" s="30" t="s">
        <v>47</v>
      </c>
      <c r="B40" s="30" t="s">
        <v>211</v>
      </c>
      <c r="C40" s="30" t="s">
        <v>212</v>
      </c>
      <c r="D40" s="25" t="str">
        <f t="shared" si="1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hidden="1" x14ac:dyDescent="0.25">
      <c r="A41" s="30" t="s">
        <v>47</v>
      </c>
      <c r="B41" s="30" t="s">
        <v>48</v>
      </c>
      <c r="C41" s="30" t="s">
        <v>49</v>
      </c>
      <c r="D41" s="25" t="str">
        <f t="shared" si="1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hidden="1" x14ac:dyDescent="0.25">
      <c r="A42" s="30" t="s">
        <v>47</v>
      </c>
      <c r="B42" s="30" t="s">
        <v>50</v>
      </c>
      <c r="C42" s="30" t="s">
        <v>51</v>
      </c>
      <c r="D42" s="25" t="str">
        <f t="shared" si="1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hidden="1" x14ac:dyDescent="0.25">
      <c r="A43" s="30" t="s">
        <v>55</v>
      </c>
      <c r="B43" s="30" t="s">
        <v>56</v>
      </c>
      <c r="C43" s="30" t="s">
        <v>57</v>
      </c>
      <c r="D43" s="25" t="str">
        <f t="shared" si="1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hidden="1" x14ac:dyDescent="0.25">
      <c r="A44" s="30" t="s">
        <v>30</v>
      </c>
      <c r="B44" s="30" t="s">
        <v>58</v>
      </c>
      <c r="C44" s="30" t="s">
        <v>59</v>
      </c>
      <c r="D44" s="25" t="str">
        <f t="shared" si="1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hidden="1" x14ac:dyDescent="0.25">
      <c r="A45" s="30" t="s">
        <v>30</v>
      </c>
      <c r="B45" s="30" t="s">
        <v>60</v>
      </c>
      <c r="C45" s="30" t="s">
        <v>61</v>
      </c>
      <c r="D45" s="25" t="str">
        <f t="shared" si="1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hidden="1" x14ac:dyDescent="0.25">
      <c r="A46" s="30" t="s">
        <v>30</v>
      </c>
      <c r="B46" s="30" t="s">
        <v>62</v>
      </c>
      <c r="C46" s="30" t="s">
        <v>63</v>
      </c>
      <c r="D46" s="25" t="str">
        <f t="shared" si="1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hidden="1" x14ac:dyDescent="0.25">
      <c r="A47" s="30" t="s">
        <v>30</v>
      </c>
      <c r="B47" s="30" t="s">
        <v>31</v>
      </c>
      <c r="C47" s="30" t="s">
        <v>32</v>
      </c>
      <c r="D47" s="25" t="str">
        <f t="shared" si="1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hidden="1" x14ac:dyDescent="0.25">
      <c r="A48" s="30" t="s">
        <v>30</v>
      </c>
      <c r="B48" s="30" t="s">
        <v>39</v>
      </c>
      <c r="C48" s="30" t="s">
        <v>40</v>
      </c>
      <c r="D48" s="25" t="str">
        <f t="shared" si="1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hidden="1" x14ac:dyDescent="0.25">
      <c r="A49" s="30" t="s">
        <v>30</v>
      </c>
      <c r="B49" s="30" t="s">
        <v>217</v>
      </c>
      <c r="C49" s="30" t="s">
        <v>218</v>
      </c>
      <c r="D49" s="25" t="str">
        <f t="shared" si="1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hidden="1" x14ac:dyDescent="0.25">
      <c r="A50" s="30" t="s">
        <v>30</v>
      </c>
      <c r="B50" s="30" t="s">
        <v>219</v>
      </c>
      <c r="C50" s="30" t="s">
        <v>220</v>
      </c>
      <c r="D50" s="25" t="str">
        <f t="shared" si="1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hidden="1" x14ac:dyDescent="0.25">
      <c r="A51" s="30" t="s">
        <v>200</v>
      </c>
      <c r="B51" s="30" t="s">
        <v>221</v>
      </c>
      <c r="C51" s="30" t="s">
        <v>222</v>
      </c>
      <c r="D51" s="25" t="str">
        <f t="shared" si="1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hidden="1" x14ac:dyDescent="0.25">
      <c r="A52" s="30" t="s">
        <v>223</v>
      </c>
      <c r="B52" s="30" t="s">
        <v>224</v>
      </c>
      <c r="C52" s="30" t="s">
        <v>225</v>
      </c>
      <c r="D52" s="25" t="str">
        <f t="shared" si="1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hidden="1" x14ac:dyDescent="0.25">
      <c r="A53" s="30" t="s">
        <v>0</v>
      </c>
      <c r="B53" s="30" t="s">
        <v>134</v>
      </c>
      <c r="C53" s="30" t="s">
        <v>135</v>
      </c>
      <c r="D53" s="25" t="str">
        <f t="shared" si="1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hidden="1" x14ac:dyDescent="0.25">
      <c r="A54" s="30" t="s">
        <v>0</v>
      </c>
      <c r="B54" s="30" t="s">
        <v>1</v>
      </c>
      <c r="C54" s="30" t="s">
        <v>2</v>
      </c>
      <c r="D54" s="25" t="str">
        <f t="shared" si="1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hidden="1" x14ac:dyDescent="0.25">
      <c r="A55" s="30" t="s">
        <v>0</v>
      </c>
      <c r="B55" s="30" t="s">
        <v>174</v>
      </c>
      <c r="C55" s="30" t="s">
        <v>175</v>
      </c>
      <c r="D55" s="25" t="str">
        <f t="shared" si="1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hidden="1" x14ac:dyDescent="0.25">
      <c r="A56" s="30" t="s">
        <v>0</v>
      </c>
      <c r="B56" s="30" t="s">
        <v>176</v>
      </c>
      <c r="C56" s="30" t="s">
        <v>177</v>
      </c>
      <c r="D56" s="25" t="str">
        <f t="shared" si="1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hidden="1" x14ac:dyDescent="0.25">
      <c r="A57" s="30" t="s">
        <v>0</v>
      </c>
      <c r="B57" s="30" t="s">
        <v>226</v>
      </c>
      <c r="C57" s="30" t="s">
        <v>227</v>
      </c>
      <c r="D57" s="25" t="str">
        <f t="shared" si="1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hidden="1" x14ac:dyDescent="0.25">
      <c r="A58" s="30" t="s">
        <v>3</v>
      </c>
      <c r="B58" s="30" t="s">
        <v>228</v>
      </c>
      <c r="C58" s="30" t="s">
        <v>229</v>
      </c>
      <c r="D58" s="25" t="str">
        <f t="shared" si="1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hidden="1" x14ac:dyDescent="0.25">
      <c r="A59" s="30" t="s">
        <v>3</v>
      </c>
      <c r="B59" s="30" t="s">
        <v>178</v>
      </c>
      <c r="C59" s="30" t="s">
        <v>179</v>
      </c>
      <c r="D59" s="25" t="str">
        <f t="shared" si="1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hidden="1" x14ac:dyDescent="0.25">
      <c r="A60" s="30" t="s">
        <v>3</v>
      </c>
      <c r="B60" s="30" t="s">
        <v>289</v>
      </c>
      <c r="C60" s="30" t="s">
        <v>290</v>
      </c>
      <c r="D60" s="25" t="str">
        <f t="shared" si="1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hidden="1" x14ac:dyDescent="0.25">
      <c r="A61" s="30" t="s">
        <v>3</v>
      </c>
      <c r="B61" s="30" t="s">
        <v>64</v>
      </c>
      <c r="C61" s="30" t="s">
        <v>65</v>
      </c>
      <c r="D61" s="25" t="str">
        <f t="shared" si="1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hidden="1" x14ac:dyDescent="0.25">
      <c r="A62" s="30" t="s">
        <v>3</v>
      </c>
      <c r="B62" s="30" t="s">
        <v>180</v>
      </c>
      <c r="C62" s="30" t="s">
        <v>181</v>
      </c>
      <c r="D62" s="25" t="str">
        <f t="shared" si="1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hidden="1" x14ac:dyDescent="0.25">
      <c r="A63" s="30" t="s">
        <v>3</v>
      </c>
      <c r="B63" s="30" t="s">
        <v>230</v>
      </c>
      <c r="C63" s="30" t="s">
        <v>231</v>
      </c>
      <c r="D63" s="25" t="str">
        <f t="shared" si="1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hidden="1" x14ac:dyDescent="0.25">
      <c r="A64" s="30" t="s">
        <v>66</v>
      </c>
      <c r="B64" s="30" t="s">
        <v>232</v>
      </c>
      <c r="C64" s="30" t="s">
        <v>233</v>
      </c>
      <c r="D64" s="25" t="str">
        <f t="shared" si="1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hidden="1" x14ac:dyDescent="0.25">
      <c r="A65" s="30" t="s">
        <v>66</v>
      </c>
      <c r="B65" s="30" t="s">
        <v>234</v>
      </c>
      <c r="C65" s="30" t="s">
        <v>235</v>
      </c>
      <c r="D65" s="25" t="str">
        <f t="shared" si="1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hidden="1" x14ac:dyDescent="0.25">
      <c r="A66" s="30" t="s">
        <v>66</v>
      </c>
      <c r="B66" s="30" t="s">
        <v>67</v>
      </c>
      <c r="C66" s="30" t="s">
        <v>68</v>
      </c>
      <c r="D66" s="25" t="str">
        <f t="shared" si="1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hidden="1" x14ac:dyDescent="0.25">
      <c r="A67" s="30" t="s">
        <v>66</v>
      </c>
      <c r="B67" s="30" t="s">
        <v>236</v>
      </c>
      <c r="C67" s="30" t="s">
        <v>237</v>
      </c>
      <c r="D67" s="25" t="str">
        <f t="shared" si="1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hidden="1" x14ac:dyDescent="0.25">
      <c r="A68" s="30" t="s">
        <v>66</v>
      </c>
      <c r="B68" s="30" t="s">
        <v>238</v>
      </c>
      <c r="C68" s="30" t="s">
        <v>239</v>
      </c>
      <c r="D68" s="25" t="str">
        <f t="shared" si="1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hidden="1" x14ac:dyDescent="0.25">
      <c r="A69" s="30" t="s">
        <v>66</v>
      </c>
      <c r="B69" s="30" t="s">
        <v>182</v>
      </c>
      <c r="C69" s="30" t="s">
        <v>183</v>
      </c>
      <c r="D69" s="25" t="str">
        <f t="shared" si="1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hidden="1" x14ac:dyDescent="0.25">
      <c r="A70" s="30" t="s">
        <v>66</v>
      </c>
      <c r="B70" s="30" t="s">
        <v>69</v>
      </c>
      <c r="C70" s="30" t="s">
        <v>70</v>
      </c>
      <c r="D70" s="25" t="str">
        <f t="shared" si="1"/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hidden="1" x14ac:dyDescent="0.25">
      <c r="A71" s="30" t="s">
        <v>66</v>
      </c>
      <c r="B71" s="30" t="s">
        <v>240</v>
      </c>
      <c r="C71" s="30" t="s">
        <v>241</v>
      </c>
      <c r="D71" s="25" t="str">
        <f t="shared" si="1"/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hidden="1" x14ac:dyDescent="0.25">
      <c r="A72" s="30" t="s">
        <v>66</v>
      </c>
      <c r="B72" s="30" t="s">
        <v>242</v>
      </c>
      <c r="C72" s="30" t="s">
        <v>243</v>
      </c>
      <c r="D72" s="25" t="str">
        <f t="shared" si="1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hidden="1" x14ac:dyDescent="0.25">
      <c r="A73" s="30" t="s">
        <v>66</v>
      </c>
      <c r="B73" s="30" t="s">
        <v>71</v>
      </c>
      <c r="C73" s="30" t="s">
        <v>72</v>
      </c>
      <c r="D73" s="25" t="str">
        <f t="shared" ref="D73:D136" si="2">(E73+F73+L73+G73+H73+I73+J73+K73) &amp;M73</f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hidden="1" x14ac:dyDescent="0.25">
      <c r="A74" s="30" t="s">
        <v>66</v>
      </c>
      <c r="B74" s="30" t="s">
        <v>73</v>
      </c>
      <c r="C74" s="30" t="s">
        <v>74</v>
      </c>
      <c r="D74" s="25" t="str">
        <f t="shared" si="2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hidden="1" x14ac:dyDescent="0.25">
      <c r="A75" s="30" t="s">
        <v>4</v>
      </c>
      <c r="B75" s="30" t="s">
        <v>75</v>
      </c>
      <c r="C75" s="30" t="s">
        <v>76</v>
      </c>
      <c r="D75" s="25" t="str">
        <f t="shared" si="2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hidden="1" x14ac:dyDescent="0.25">
      <c r="A76" s="30" t="s">
        <v>4</v>
      </c>
      <c r="B76" s="30" t="s">
        <v>77</v>
      </c>
      <c r="C76" s="30" t="s">
        <v>78</v>
      </c>
      <c r="D76" s="25" t="str">
        <f t="shared" si="2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hidden="1" x14ac:dyDescent="0.25">
      <c r="A77" s="30" t="s">
        <v>4</v>
      </c>
      <c r="B77" s="30" t="s">
        <v>79</v>
      </c>
      <c r="C77" s="30" t="s">
        <v>80</v>
      </c>
      <c r="D77" s="25" t="str">
        <f t="shared" si="2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hidden="1" x14ac:dyDescent="0.25">
      <c r="A78" s="30" t="s">
        <v>4</v>
      </c>
      <c r="B78" s="30" t="s">
        <v>136</v>
      </c>
      <c r="C78" s="30" t="s">
        <v>137</v>
      </c>
      <c r="D78" s="25" t="str">
        <f t="shared" si="2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hidden="1" x14ac:dyDescent="0.25">
      <c r="A79" s="30" t="s">
        <v>4</v>
      </c>
      <c r="B79" s="30" t="s">
        <v>81</v>
      </c>
      <c r="C79" s="30" t="s">
        <v>82</v>
      </c>
      <c r="D79" s="25" t="str">
        <f t="shared" si="2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hidden="1" x14ac:dyDescent="0.25">
      <c r="A80" s="30" t="s">
        <v>4</v>
      </c>
      <c r="B80" s="30" t="s">
        <v>83</v>
      </c>
      <c r="C80" s="30" t="s">
        <v>84</v>
      </c>
      <c r="D80" s="25" t="str">
        <f t="shared" si="2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hidden="1" x14ac:dyDescent="0.25">
      <c r="A81" s="30" t="s">
        <v>4</v>
      </c>
      <c r="B81" s="30" t="s">
        <v>5</v>
      </c>
      <c r="C81" s="30" t="s">
        <v>6</v>
      </c>
      <c r="D81" s="25" t="str">
        <f t="shared" si="2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hidden="1" x14ac:dyDescent="0.25">
      <c r="A82" s="30" t="s">
        <v>4</v>
      </c>
      <c r="B82" s="30" t="s">
        <v>127</v>
      </c>
      <c r="C82" s="30" t="s">
        <v>128</v>
      </c>
      <c r="D82" s="25" t="str">
        <f t="shared" si="2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hidden="1" x14ac:dyDescent="0.25">
      <c r="A83" s="30" t="s">
        <v>4</v>
      </c>
      <c r="B83" s="30" t="s">
        <v>184</v>
      </c>
      <c r="C83" s="30" t="s">
        <v>185</v>
      </c>
      <c r="D83" s="25" t="str">
        <f t="shared" si="2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hidden="1" x14ac:dyDescent="0.25">
      <c r="A84" s="30" t="s">
        <v>4</v>
      </c>
      <c r="B84" s="30" t="s">
        <v>186</v>
      </c>
      <c r="C84" s="30" t="s">
        <v>187</v>
      </c>
      <c r="D84" s="25" t="str">
        <f t="shared" si="2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hidden="1" x14ac:dyDescent="0.25">
      <c r="A85" s="30" t="s">
        <v>4</v>
      </c>
      <c r="B85" s="30" t="s">
        <v>190</v>
      </c>
      <c r="C85" s="30" t="s">
        <v>191</v>
      </c>
      <c r="D85" s="25" t="str">
        <f t="shared" si="2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hidden="1" x14ac:dyDescent="0.25">
      <c r="A86" s="30" t="s">
        <v>4</v>
      </c>
      <c r="B86" s="30" t="s">
        <v>192</v>
      </c>
      <c r="C86" s="30" t="s">
        <v>193</v>
      </c>
      <c r="D86" s="25" t="str">
        <f t="shared" si="2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hidden="1" x14ac:dyDescent="0.25">
      <c r="A87" s="30" t="s">
        <v>4</v>
      </c>
      <c r="B87" s="30" t="s">
        <v>194</v>
      </c>
      <c r="C87" s="30" t="s">
        <v>195</v>
      </c>
      <c r="D87" s="25" t="str">
        <f t="shared" si="2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hidden="1" x14ac:dyDescent="0.25">
      <c r="A88" s="30" t="s">
        <v>4</v>
      </c>
      <c r="B88" s="30" t="s">
        <v>291</v>
      </c>
      <c r="C88" s="30" t="s">
        <v>292</v>
      </c>
      <c r="D88" s="25" t="str">
        <f t="shared" si="2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hidden="1" x14ac:dyDescent="0.25">
      <c r="A89" s="30" t="s">
        <v>4</v>
      </c>
      <c r="B89" s="30" t="s">
        <v>244</v>
      </c>
      <c r="C89" s="30" t="s">
        <v>245</v>
      </c>
      <c r="D89" s="25" t="str">
        <f t="shared" si="2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hidden="1" x14ac:dyDescent="0.25">
      <c r="A90" s="30" t="s">
        <v>4</v>
      </c>
      <c r="B90" s="30" t="s">
        <v>246</v>
      </c>
      <c r="C90" s="30" t="s">
        <v>247</v>
      </c>
      <c r="D90" s="25" t="str">
        <f t="shared" si="2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hidden="1" x14ac:dyDescent="0.25">
      <c r="A91" s="30" t="s">
        <v>138</v>
      </c>
      <c r="B91" s="30" t="s">
        <v>158</v>
      </c>
      <c r="C91" s="30" t="s">
        <v>157</v>
      </c>
      <c r="D91" s="25" t="str">
        <f t="shared" si="2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hidden="1" x14ac:dyDescent="0.25">
      <c r="A92" s="30" t="s">
        <v>145</v>
      </c>
      <c r="B92" s="30" t="s">
        <v>146</v>
      </c>
      <c r="C92" s="30" t="s">
        <v>147</v>
      </c>
      <c r="D92" s="25" t="str">
        <f t="shared" si="2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hidden="1" x14ac:dyDescent="0.25">
      <c r="A93" s="30" t="s">
        <v>9</v>
      </c>
      <c r="B93" s="30" t="s">
        <v>87</v>
      </c>
      <c r="C93" s="30" t="s">
        <v>88</v>
      </c>
      <c r="D93" s="25" t="str">
        <f t="shared" si="2"/>
        <v>0</v>
      </c>
      <c r="E93" s="27"/>
      <c r="F93" s="27"/>
      <c r="G93" s="27"/>
      <c r="H93" s="27"/>
      <c r="I93" s="27"/>
      <c r="J93" s="27"/>
      <c r="K93" s="27"/>
      <c r="L93" s="27"/>
      <c r="M93" s="27"/>
    </row>
    <row r="94" spans="1:37" hidden="1" x14ac:dyDescent="0.25">
      <c r="A94" s="30" t="s">
        <v>9</v>
      </c>
      <c r="B94" s="30" t="s">
        <v>89</v>
      </c>
      <c r="C94" s="30" t="s">
        <v>90</v>
      </c>
      <c r="D94" s="25" t="str">
        <f t="shared" si="2"/>
        <v>0</v>
      </c>
      <c r="E94" s="27"/>
      <c r="F94" s="27"/>
      <c r="G94" s="27"/>
      <c r="H94" s="27"/>
      <c r="I94" s="27"/>
      <c r="J94" s="27"/>
      <c r="K94" s="27"/>
      <c r="L94" s="27"/>
      <c r="M94" s="27"/>
    </row>
    <row r="95" spans="1:37" hidden="1" x14ac:dyDescent="0.25">
      <c r="A95" s="30" t="s">
        <v>9</v>
      </c>
      <c r="B95" s="30" t="s">
        <v>10</v>
      </c>
      <c r="C95" s="30" t="s">
        <v>11</v>
      </c>
      <c r="D95" s="25" t="str">
        <f t="shared" si="2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hidden="1" x14ac:dyDescent="0.25">
      <c r="A96" s="30" t="s">
        <v>9</v>
      </c>
      <c r="B96" s="30" t="s">
        <v>12</v>
      </c>
      <c r="C96" s="30" t="s">
        <v>13</v>
      </c>
      <c r="D96" s="25" t="str">
        <f t="shared" si="2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hidden="1" x14ac:dyDescent="0.25">
      <c r="A97" s="30" t="s">
        <v>9</v>
      </c>
      <c r="B97" s="30" t="s">
        <v>19</v>
      </c>
      <c r="C97" s="30" t="s">
        <v>20</v>
      </c>
      <c r="D97" s="25" t="str">
        <f t="shared" si="2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hidden="1" x14ac:dyDescent="0.25">
      <c r="A98" s="30" t="s">
        <v>9</v>
      </c>
      <c r="B98" s="30" t="s">
        <v>21</v>
      </c>
      <c r="C98" s="30" t="s">
        <v>22</v>
      </c>
      <c r="D98" s="25" t="str">
        <f t="shared" si="2"/>
        <v>0</v>
      </c>
      <c r="E98" s="27"/>
      <c r="F98" s="27"/>
      <c r="G98" s="27"/>
      <c r="H98" s="27"/>
      <c r="I98" s="27"/>
      <c r="J98" s="27"/>
      <c r="K98" s="27"/>
      <c r="L98" s="27"/>
      <c r="M98" s="27"/>
      <c r="AB98" s="3"/>
      <c r="AJ98" s="3"/>
      <c r="AK98" s="3"/>
    </row>
    <row r="99" spans="1:37" hidden="1" x14ac:dyDescent="0.25">
      <c r="A99" s="30" t="s">
        <v>9</v>
      </c>
      <c r="B99" s="30" t="s">
        <v>132</v>
      </c>
      <c r="C99" s="30" t="s">
        <v>133</v>
      </c>
      <c r="D99" s="25" t="str">
        <f t="shared" si="2"/>
        <v>0</v>
      </c>
      <c r="E99" s="27"/>
      <c r="F99" s="27"/>
      <c r="G99" s="27"/>
      <c r="H99" s="27"/>
      <c r="I99" s="27"/>
      <c r="J99" s="27"/>
      <c r="K99" s="27"/>
      <c r="L99" s="27"/>
      <c r="M99" s="27"/>
      <c r="AB99" s="3"/>
      <c r="AJ99" s="3"/>
      <c r="AK99" s="3"/>
    </row>
    <row r="100" spans="1:37" hidden="1" x14ac:dyDescent="0.25">
      <c r="A100" s="30" t="s">
        <v>9</v>
      </c>
      <c r="B100" s="30" t="s">
        <v>23</v>
      </c>
      <c r="C100" s="30" t="s">
        <v>24</v>
      </c>
      <c r="D100" s="25" t="str">
        <f t="shared" si="2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hidden="1" x14ac:dyDescent="0.25">
      <c r="A101" s="30" t="s">
        <v>9</v>
      </c>
      <c r="B101" s="30" t="s">
        <v>91</v>
      </c>
      <c r="C101" s="30" t="s">
        <v>92</v>
      </c>
      <c r="D101" s="25" t="str">
        <f t="shared" si="2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hidden="1" x14ac:dyDescent="0.25">
      <c r="A102" s="30" t="s">
        <v>9</v>
      </c>
      <c r="B102" s="30" t="s">
        <v>93</v>
      </c>
      <c r="C102" s="30" t="s">
        <v>94</v>
      </c>
      <c r="D102" s="25" t="str">
        <f t="shared" si="2"/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hidden="1" x14ac:dyDescent="0.25">
      <c r="A103" s="30" t="s">
        <v>9</v>
      </c>
      <c r="B103" s="30" t="s">
        <v>164</v>
      </c>
      <c r="C103" s="30" t="s">
        <v>163</v>
      </c>
      <c r="D103" s="25" t="str">
        <f t="shared" si="2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hidden="1" x14ac:dyDescent="0.25">
      <c r="A104" s="30" t="s">
        <v>9</v>
      </c>
      <c r="B104" s="30" t="s">
        <v>293</v>
      </c>
      <c r="C104" s="30" t="s">
        <v>294</v>
      </c>
      <c r="D104" s="25" t="str">
        <f t="shared" si="2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hidden="1" x14ac:dyDescent="0.25">
      <c r="A105" s="30" t="s">
        <v>9</v>
      </c>
      <c r="B105" s="30" t="s">
        <v>248</v>
      </c>
      <c r="C105" s="30" t="s">
        <v>249</v>
      </c>
      <c r="D105" s="25" t="str">
        <f t="shared" si="2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hidden="1" x14ac:dyDescent="0.25">
      <c r="A106" s="30" t="s">
        <v>27</v>
      </c>
      <c r="B106" s="30" t="s">
        <v>95</v>
      </c>
      <c r="C106" s="30" t="s">
        <v>96</v>
      </c>
      <c r="D106" s="25" t="str">
        <f t="shared" si="2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hidden="1" x14ac:dyDescent="0.25">
      <c r="A107" s="30" t="s">
        <v>27</v>
      </c>
      <c r="B107" s="30" t="s">
        <v>97</v>
      </c>
      <c r="C107" s="30" t="s">
        <v>98</v>
      </c>
      <c r="D107" s="25" t="str">
        <f t="shared" si="2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hidden="1" x14ac:dyDescent="0.25">
      <c r="A108" s="30" t="s">
        <v>27</v>
      </c>
      <c r="B108" s="30" t="s">
        <v>99</v>
      </c>
      <c r="C108" s="30" t="s">
        <v>100</v>
      </c>
      <c r="D108" s="25" t="str">
        <f t="shared" si="2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hidden="1" x14ac:dyDescent="0.25">
      <c r="A109" s="30" t="s">
        <v>27</v>
      </c>
      <c r="B109" s="30" t="s">
        <v>101</v>
      </c>
      <c r="C109" s="30" t="s">
        <v>102</v>
      </c>
      <c r="D109" s="25" t="str">
        <f t="shared" si="2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hidden="1" x14ac:dyDescent="0.25">
      <c r="A110" s="30" t="s">
        <v>27</v>
      </c>
      <c r="B110" s="30" t="s">
        <v>103</v>
      </c>
      <c r="C110" s="30" t="s">
        <v>104</v>
      </c>
      <c r="D110" s="25" t="str">
        <f t="shared" si="2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hidden="1" x14ac:dyDescent="0.25">
      <c r="A111" s="44" t="s">
        <v>27</v>
      </c>
      <c r="B111" s="44" t="s">
        <v>105</v>
      </c>
      <c r="C111" s="44" t="s">
        <v>106</v>
      </c>
      <c r="D111" s="42" t="str">
        <f t="shared" si="2"/>
        <v>0</v>
      </c>
      <c r="E111" s="43"/>
      <c r="F111" s="43"/>
      <c r="G111" s="43"/>
      <c r="H111" s="43"/>
      <c r="I111" s="43"/>
      <c r="J111" s="43"/>
      <c r="K111" s="43"/>
      <c r="L111" s="43"/>
      <c r="M111" s="43"/>
    </row>
    <row r="112" spans="1:37" x14ac:dyDescent="0.25">
      <c r="A112" s="60" t="s">
        <v>27</v>
      </c>
      <c r="B112" s="60" t="s">
        <v>28</v>
      </c>
      <c r="C112" s="60" t="s">
        <v>387</v>
      </c>
      <c r="D112" s="26" t="str">
        <f t="shared" si="2"/>
        <v>0kabel ligt nog bij klant</v>
      </c>
      <c r="E112" s="27">
        <v>0</v>
      </c>
      <c r="F112" s="27"/>
      <c r="G112" s="27"/>
      <c r="H112" s="27"/>
      <c r="I112" s="27"/>
      <c r="J112" s="27"/>
      <c r="K112" s="27"/>
      <c r="L112" s="27"/>
      <c r="M112" s="27" t="s">
        <v>538</v>
      </c>
    </row>
    <row r="113" spans="1:13" hidden="1" x14ac:dyDescent="0.25">
      <c r="A113" s="54" t="s">
        <v>107</v>
      </c>
      <c r="B113" s="54" t="s">
        <v>108</v>
      </c>
      <c r="C113" s="54" t="s">
        <v>109</v>
      </c>
      <c r="D113" s="49" t="str">
        <f t="shared" si="2"/>
        <v>0</v>
      </c>
      <c r="E113" s="50"/>
      <c r="F113" s="50"/>
      <c r="G113" s="50"/>
      <c r="H113" s="50"/>
      <c r="I113" s="50"/>
      <c r="J113" s="50"/>
      <c r="K113" s="50"/>
      <c r="L113" s="50"/>
      <c r="M113" s="50"/>
    </row>
    <row r="114" spans="1:13" hidden="1" x14ac:dyDescent="0.25">
      <c r="A114" s="30" t="s">
        <v>107</v>
      </c>
      <c r="B114" s="30" t="s">
        <v>110</v>
      </c>
      <c r="C114" s="30" t="s">
        <v>111</v>
      </c>
      <c r="D114" s="25" t="str">
        <f t="shared" si="2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hidden="1" x14ac:dyDescent="0.25">
      <c r="A115" s="30" t="s">
        <v>107</v>
      </c>
      <c r="B115" s="30" t="s">
        <v>250</v>
      </c>
      <c r="C115" s="30" t="s">
        <v>251</v>
      </c>
      <c r="D115" s="25" t="str">
        <f t="shared" si="2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hidden="1" x14ac:dyDescent="0.25">
      <c r="A116" s="30" t="s">
        <v>107</v>
      </c>
      <c r="B116" s="30" t="s">
        <v>252</v>
      </c>
      <c r="C116" s="30" t="s">
        <v>253</v>
      </c>
      <c r="D116" s="25" t="str">
        <f t="shared" si="2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hidden="1" x14ac:dyDescent="0.25">
      <c r="A117" s="30" t="s">
        <v>107</v>
      </c>
      <c r="B117" s="30" t="s">
        <v>254</v>
      </c>
      <c r="C117" s="30" t="s">
        <v>255</v>
      </c>
      <c r="D117" s="25" t="str">
        <f t="shared" si="2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hidden="1" x14ac:dyDescent="0.25">
      <c r="A118" s="30" t="s">
        <v>107</v>
      </c>
      <c r="B118" s="30" t="s">
        <v>256</v>
      </c>
      <c r="C118" s="30" t="s">
        <v>257</v>
      </c>
      <c r="D118" s="25" t="str">
        <f t="shared" si="2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hidden="1" x14ac:dyDescent="0.25">
      <c r="A119" s="30" t="s">
        <v>33</v>
      </c>
      <c r="B119" s="30" t="s">
        <v>34</v>
      </c>
      <c r="C119" s="30" t="s">
        <v>35</v>
      </c>
      <c r="D119" s="25" t="str">
        <f t="shared" si="2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hidden="1" x14ac:dyDescent="0.25">
      <c r="A120" s="30" t="s">
        <v>258</v>
      </c>
      <c r="B120" s="30" t="s">
        <v>259</v>
      </c>
      <c r="C120" s="30" t="s">
        <v>260</v>
      </c>
      <c r="D120" s="25" t="str">
        <f t="shared" si="2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hidden="1" x14ac:dyDescent="0.25">
      <c r="A121" s="30" t="s">
        <v>258</v>
      </c>
      <c r="B121" s="30" t="s">
        <v>261</v>
      </c>
      <c r="C121" s="30" t="s">
        <v>262</v>
      </c>
      <c r="D121" s="25" t="str">
        <f t="shared" si="2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hidden="1" x14ac:dyDescent="0.25">
      <c r="A122" s="30" t="s">
        <v>41</v>
      </c>
      <c r="B122" s="30" t="s">
        <v>42</v>
      </c>
      <c r="C122" s="30" t="s">
        <v>43</v>
      </c>
      <c r="D122" s="25" t="str">
        <f t="shared" si="2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hidden="1" x14ac:dyDescent="0.25">
      <c r="A123" s="30" t="s">
        <v>263</v>
      </c>
      <c r="B123" s="30" t="s">
        <v>264</v>
      </c>
      <c r="C123" s="30" t="s">
        <v>265</v>
      </c>
      <c r="D123" s="25" t="str">
        <f t="shared" si="2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hidden="1" x14ac:dyDescent="0.25">
      <c r="A124" s="30" t="s">
        <v>263</v>
      </c>
      <c r="B124" s="30" t="s">
        <v>266</v>
      </c>
      <c r="C124" s="30" t="s">
        <v>267</v>
      </c>
      <c r="D124" s="25" t="str">
        <f t="shared" si="2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hidden="1" x14ac:dyDescent="0.25">
      <c r="A125" s="30" t="s">
        <v>114</v>
      </c>
      <c r="B125" s="30" t="s">
        <v>115</v>
      </c>
      <c r="C125" s="30" t="s">
        <v>116</v>
      </c>
      <c r="D125" s="25" t="str">
        <f t="shared" si="2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hidden="1" x14ac:dyDescent="0.25">
      <c r="A126" s="30" t="s">
        <v>44</v>
      </c>
      <c r="B126" s="30" t="s">
        <v>45</v>
      </c>
      <c r="C126" s="30" t="s">
        <v>46</v>
      </c>
      <c r="D126" s="25" t="str">
        <f t="shared" si="2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hidden="1" x14ac:dyDescent="0.25">
      <c r="A127" s="30" t="s">
        <v>120</v>
      </c>
      <c r="B127" s="30" t="s">
        <v>271</v>
      </c>
      <c r="C127" s="30" t="s">
        <v>272</v>
      </c>
      <c r="D127" s="25" t="str">
        <f t="shared" si="2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hidden="1" x14ac:dyDescent="0.25">
      <c r="A128" s="30" t="s">
        <v>120</v>
      </c>
      <c r="B128" s="30" t="s">
        <v>273</v>
      </c>
      <c r="C128" s="30" t="s">
        <v>274</v>
      </c>
      <c r="D128" s="25" t="str">
        <f t="shared" si="2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63" hidden="1" x14ac:dyDescent="0.25">
      <c r="A129" s="30" t="s">
        <v>120</v>
      </c>
      <c r="B129" s="30" t="s">
        <v>121</v>
      </c>
      <c r="C129" s="30" t="s">
        <v>122</v>
      </c>
      <c r="D129" s="25" t="str">
        <f t="shared" si="2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63" hidden="1" x14ac:dyDescent="0.25">
      <c r="A130" s="30" t="s">
        <v>120</v>
      </c>
      <c r="B130" s="30" t="s">
        <v>275</v>
      </c>
      <c r="C130" s="30" t="s">
        <v>276</v>
      </c>
      <c r="D130" s="25" t="str">
        <f t="shared" si="2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63" hidden="1" x14ac:dyDescent="0.25">
      <c r="A131" s="30" t="s">
        <v>120</v>
      </c>
      <c r="B131" s="30" t="s">
        <v>198</v>
      </c>
      <c r="C131" s="30" t="s">
        <v>199</v>
      </c>
      <c r="D131" s="25" t="str">
        <f t="shared" si="2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63" hidden="1" x14ac:dyDescent="0.25">
      <c r="A132" s="30" t="s">
        <v>120</v>
      </c>
      <c r="B132" s="30" t="s">
        <v>277</v>
      </c>
      <c r="C132" s="30" t="s">
        <v>278</v>
      </c>
      <c r="D132" s="25" t="str">
        <f t="shared" si="2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63" hidden="1" x14ac:dyDescent="0.25">
      <c r="A133" s="30" t="s">
        <v>279</v>
      </c>
      <c r="B133" s="30" t="s">
        <v>280</v>
      </c>
      <c r="C133" s="30" t="s">
        <v>281</v>
      </c>
      <c r="D133" s="25" t="str">
        <f t="shared" si="2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63" hidden="1" x14ac:dyDescent="0.25">
      <c r="A134" s="30" t="s">
        <v>282</v>
      </c>
      <c r="B134" s="30" t="s">
        <v>283</v>
      </c>
      <c r="C134" s="30" t="s">
        <v>284</v>
      </c>
      <c r="D134" s="25" t="str">
        <f t="shared" si="2"/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63" hidden="1" x14ac:dyDescent="0.25">
      <c r="A135" s="30" t="s">
        <v>285</v>
      </c>
      <c r="B135" s="30" t="s">
        <v>286</v>
      </c>
      <c r="C135" s="30" t="s">
        <v>287</v>
      </c>
      <c r="D135" s="25" t="str">
        <f t="shared" si="2"/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63" hidden="1" x14ac:dyDescent="0.25">
      <c r="A136" s="30" t="s">
        <v>14</v>
      </c>
      <c r="B136" s="30" t="s">
        <v>15</v>
      </c>
      <c r="C136" s="30" t="s">
        <v>16</v>
      </c>
      <c r="D136" s="25" t="str">
        <f t="shared" si="2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63" hidden="1" x14ac:dyDescent="0.25">
      <c r="A137" s="30" t="s">
        <v>14</v>
      </c>
      <c r="B137" s="30" t="s">
        <v>17</v>
      </c>
      <c r="C137" s="30" t="s">
        <v>18</v>
      </c>
      <c r="D137" s="25" t="str">
        <f t="shared" ref="D137:D167" si="3">(E137+F137+L137+G137+H137+I137+J137+K137) &amp;M137</f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63" hidden="1" x14ac:dyDescent="0.25">
      <c r="A138" s="30" t="s">
        <v>14</v>
      </c>
      <c r="B138" s="30" t="s">
        <v>201</v>
      </c>
      <c r="C138" s="30" t="s">
        <v>202</v>
      </c>
      <c r="D138" s="25" t="str">
        <f t="shared" si="3"/>
        <v>0</v>
      </c>
      <c r="E138" s="27"/>
      <c r="F138" s="27"/>
      <c r="G138" s="27"/>
      <c r="H138" s="27"/>
      <c r="I138" s="27"/>
      <c r="J138" s="27"/>
      <c r="K138" s="27"/>
      <c r="L138" s="27"/>
      <c r="M138" s="27"/>
    </row>
    <row r="139" spans="1:63" hidden="1" x14ac:dyDescent="0.25">
      <c r="A139" s="30" t="s">
        <v>14</v>
      </c>
      <c r="B139" s="30" t="s">
        <v>203</v>
      </c>
      <c r="C139" s="30" t="s">
        <v>204</v>
      </c>
      <c r="D139" s="25" t="str">
        <f t="shared" si="3"/>
        <v>0</v>
      </c>
      <c r="E139" s="27"/>
      <c r="F139" s="27"/>
      <c r="G139" s="27"/>
      <c r="H139" s="27"/>
      <c r="I139" s="27"/>
      <c r="J139" s="27"/>
      <c r="K139" s="27"/>
      <c r="L139" s="27"/>
      <c r="M139" s="27"/>
    </row>
    <row r="140" spans="1:63" hidden="1" x14ac:dyDescent="0.25">
      <c r="A140" s="30" t="s">
        <v>36</v>
      </c>
      <c r="B140" s="30" t="s">
        <v>37</v>
      </c>
      <c r="C140" s="30" t="s">
        <v>38</v>
      </c>
      <c r="D140" s="25" t="str">
        <f t="shared" si="3"/>
        <v>0</v>
      </c>
      <c r="E140" s="27"/>
      <c r="F140" s="27"/>
      <c r="G140" s="27"/>
      <c r="H140" s="27"/>
      <c r="I140" s="27"/>
      <c r="J140" s="27"/>
      <c r="K140" s="27"/>
      <c r="L140" s="27"/>
      <c r="M140" s="27"/>
      <c r="AF140" s="3"/>
      <c r="AN140" s="3"/>
      <c r="AO140" s="3"/>
    </row>
    <row r="141" spans="1:63" hidden="1" x14ac:dyDescent="0.25">
      <c r="A141" s="30" t="s">
        <v>383</v>
      </c>
      <c r="B141" s="30" t="s">
        <v>384</v>
      </c>
      <c r="C141" s="30" t="s">
        <v>385</v>
      </c>
      <c r="D141" s="25" t="str">
        <f t="shared" si="3"/>
        <v>0</v>
      </c>
      <c r="E141" s="27"/>
      <c r="F141" s="27"/>
      <c r="G141" s="27"/>
      <c r="H141" s="27"/>
      <c r="I141" s="27"/>
      <c r="J141" s="27"/>
      <c r="K141" s="27"/>
      <c r="L141" s="27"/>
      <c r="M141" s="27"/>
      <c r="AF141" s="3"/>
      <c r="AN141" s="3"/>
      <c r="AO141" s="3"/>
    </row>
    <row r="142" spans="1:63" hidden="1" x14ac:dyDescent="0.25">
      <c r="A142" t="s">
        <v>30</v>
      </c>
      <c r="B142" t="s">
        <v>39</v>
      </c>
      <c r="C142" t="s">
        <v>40</v>
      </c>
      <c r="D142" s="25" t="str">
        <f t="shared" si="3"/>
        <v>0</v>
      </c>
      <c r="AF142" s="3"/>
      <c r="AN142" s="3"/>
      <c r="AO142" s="3"/>
    </row>
    <row r="143" spans="1:63" hidden="1" x14ac:dyDescent="0.25">
      <c r="A143" t="s">
        <v>41</v>
      </c>
      <c r="B143" t="s">
        <v>42</v>
      </c>
      <c r="C143" t="s">
        <v>43</v>
      </c>
      <c r="D143" s="25" t="str">
        <f t="shared" si="3"/>
        <v>0</v>
      </c>
    </row>
    <row r="144" spans="1:63" hidden="1" x14ac:dyDescent="0.25">
      <c r="A144" t="s">
        <v>52</v>
      </c>
      <c r="B144" t="s">
        <v>509</v>
      </c>
      <c r="C144" t="s">
        <v>508</v>
      </c>
      <c r="D144" s="42" t="str">
        <f t="shared" si="3"/>
        <v>0</v>
      </c>
      <c r="Q144" t="s">
        <v>393</v>
      </c>
      <c r="R144" t="s">
        <v>391</v>
      </c>
      <c r="S144" t="s">
        <v>392</v>
      </c>
      <c r="T144" t="s">
        <v>440</v>
      </c>
      <c r="U144" t="s">
        <v>441</v>
      </c>
      <c r="V144" t="s">
        <v>442</v>
      </c>
      <c r="W144" t="s">
        <v>443</v>
      </c>
      <c r="X144" t="s">
        <v>444</v>
      </c>
      <c r="Y144" t="s">
        <v>445</v>
      </c>
      <c r="Z144" t="s">
        <v>446</v>
      </c>
      <c r="AA144" t="s">
        <v>447</v>
      </c>
      <c r="AB144" t="s">
        <v>448</v>
      </c>
      <c r="AC144" t="s">
        <v>449</v>
      </c>
      <c r="AD144" t="s">
        <v>450</v>
      </c>
      <c r="AE144" t="s">
        <v>451</v>
      </c>
      <c r="AF144" t="s">
        <v>452</v>
      </c>
      <c r="AG144" t="s">
        <v>453</v>
      </c>
      <c r="AH144" t="s">
        <v>454</v>
      </c>
      <c r="AI144" t="s">
        <v>455</v>
      </c>
      <c r="AJ144" t="s">
        <v>456</v>
      </c>
      <c r="AK144" t="s">
        <v>457</v>
      </c>
      <c r="AL144" t="s">
        <v>458</v>
      </c>
      <c r="AM144" t="s">
        <v>459</v>
      </c>
      <c r="AN144" t="s">
        <v>460</v>
      </c>
      <c r="AO144" t="s">
        <v>461</v>
      </c>
      <c r="AP144" t="s">
        <v>462</v>
      </c>
      <c r="AQ144" t="s">
        <v>463</v>
      </c>
      <c r="AR144" t="s">
        <v>464</v>
      </c>
      <c r="AS144" t="s">
        <v>465</v>
      </c>
      <c r="AT144" t="s">
        <v>466</v>
      </c>
      <c r="AU144" t="s">
        <v>467</v>
      </c>
      <c r="AV144" t="s">
        <v>468</v>
      </c>
      <c r="AW144" t="s">
        <v>469</v>
      </c>
      <c r="AX144" t="s">
        <v>470</v>
      </c>
      <c r="AY144" t="s">
        <v>471</v>
      </c>
      <c r="AZ144" t="s">
        <v>472</v>
      </c>
      <c r="BA144" t="s">
        <v>473</v>
      </c>
      <c r="BB144" t="s">
        <v>474</v>
      </c>
      <c r="BC144" t="s">
        <v>475</v>
      </c>
      <c r="BD144" t="s">
        <v>476</v>
      </c>
      <c r="BE144" t="s">
        <v>477</v>
      </c>
      <c r="BF144" t="s">
        <v>478</v>
      </c>
      <c r="BG144" t="s">
        <v>479</v>
      </c>
      <c r="BH144" t="s">
        <v>480</v>
      </c>
      <c r="BI144" t="s">
        <v>481</v>
      </c>
      <c r="BJ144" t="s">
        <v>482</v>
      </c>
      <c r="BK144" t="s">
        <v>483</v>
      </c>
    </row>
    <row r="145" spans="1:62" x14ac:dyDescent="0.25">
      <c r="A145" s="60" t="s">
        <v>52</v>
      </c>
      <c r="B145" s="60" t="s">
        <v>517</v>
      </c>
      <c r="C145" s="60" t="s">
        <v>516</v>
      </c>
      <c r="D145" s="26" t="str">
        <f t="shared" si="3"/>
        <v>2</v>
      </c>
      <c r="E145" s="26"/>
      <c r="F145" s="26"/>
      <c r="G145" s="26">
        <v>2</v>
      </c>
      <c r="H145" s="26"/>
      <c r="I145" s="26"/>
      <c r="J145" s="26"/>
      <c r="K145" s="26"/>
      <c r="L145" s="27"/>
      <c r="M145" s="27"/>
      <c r="T145" t="s">
        <v>510</v>
      </c>
      <c r="U145" t="str">
        <f>"0000000410168"</f>
        <v>0000000410168</v>
      </c>
      <c r="V145">
        <v>1</v>
      </c>
      <c r="W145" t="s">
        <v>400</v>
      </c>
      <c r="X145" t="s">
        <v>511</v>
      </c>
      <c r="Y145" t="s">
        <v>511</v>
      </c>
      <c r="Z145" t="s">
        <v>511</v>
      </c>
      <c r="AA145" t="s">
        <v>488</v>
      </c>
      <c r="AB145" t="s">
        <v>405</v>
      </c>
      <c r="AC145" t="s">
        <v>488</v>
      </c>
      <c r="AE145" t="s">
        <v>405</v>
      </c>
      <c r="AF145" t="s">
        <v>400</v>
      </c>
      <c r="AG145">
        <v>42605</v>
      </c>
      <c r="AH145" t="s">
        <v>489</v>
      </c>
      <c r="AI145" t="s">
        <v>512</v>
      </c>
      <c r="AJ145" t="s">
        <v>489</v>
      </c>
      <c r="AK145" t="s">
        <v>512</v>
      </c>
      <c r="AL145" t="s">
        <v>405</v>
      </c>
      <c r="AM145" s="3">
        <v>43522</v>
      </c>
      <c r="AN145" t="s">
        <v>513</v>
      </c>
      <c r="AO145" t="s">
        <v>514</v>
      </c>
      <c r="AQ145">
        <v>0</v>
      </c>
      <c r="AR145" t="str">
        <f>"0000000410168"</f>
        <v>0000000410168</v>
      </c>
      <c r="AS145" t="s">
        <v>493</v>
      </c>
      <c r="AU145" s="3">
        <v>73050</v>
      </c>
      <c r="AV145" s="3">
        <v>73050</v>
      </c>
      <c r="AW145" t="s">
        <v>494</v>
      </c>
      <c r="AX145" t="s">
        <v>495</v>
      </c>
      <c r="AY145">
        <v>0</v>
      </c>
      <c r="AZ145" t="s">
        <v>515</v>
      </c>
      <c r="BA145">
        <v>0</v>
      </c>
      <c r="BB145">
        <v>0</v>
      </c>
      <c r="BC145" t="s">
        <v>497</v>
      </c>
      <c r="BD145" t="s">
        <v>515</v>
      </c>
      <c r="BE145" t="s">
        <v>405</v>
      </c>
      <c r="BF145">
        <v>0</v>
      </c>
      <c r="BG145" t="s">
        <v>405</v>
      </c>
      <c r="BI145" t="s">
        <v>498</v>
      </c>
      <c r="BJ145" t="s">
        <v>499</v>
      </c>
    </row>
    <row r="146" spans="1:62" x14ac:dyDescent="0.25">
      <c r="A146" s="60" t="s">
        <v>27</v>
      </c>
      <c r="B146" s="60" t="s">
        <v>527</v>
      </c>
      <c r="C146" s="60" t="s">
        <v>526</v>
      </c>
      <c r="D146" s="26" t="str">
        <f t="shared" si="3"/>
        <v>1</v>
      </c>
      <c r="E146" s="26"/>
      <c r="F146" s="26">
        <v>1</v>
      </c>
      <c r="G146" s="26"/>
      <c r="H146" s="26"/>
      <c r="I146" s="26"/>
      <c r="J146" s="26"/>
      <c r="K146" s="26"/>
      <c r="L146" s="27"/>
      <c r="M146" s="27"/>
      <c r="T146" t="s">
        <v>518</v>
      </c>
      <c r="U146" t="s">
        <v>519</v>
      </c>
      <c r="V146">
        <v>1</v>
      </c>
      <c r="W146" t="s">
        <v>400</v>
      </c>
      <c r="X146" t="s">
        <v>511</v>
      </c>
      <c r="Y146" t="s">
        <v>511</v>
      </c>
      <c r="Z146" t="s">
        <v>511</v>
      </c>
      <c r="AA146" t="s">
        <v>520</v>
      </c>
      <c r="AB146" t="s">
        <v>405</v>
      </c>
      <c r="AC146" t="s">
        <v>521</v>
      </c>
      <c r="AD146" t="s">
        <v>522</v>
      </c>
      <c r="AE146" t="s">
        <v>405</v>
      </c>
      <c r="AF146" t="s">
        <v>400</v>
      </c>
      <c r="AG146">
        <v>1917</v>
      </c>
      <c r="AH146" t="s">
        <v>489</v>
      </c>
      <c r="AI146" t="s">
        <v>523</v>
      </c>
      <c r="AJ146" t="s">
        <v>489</v>
      </c>
      <c r="AK146" t="s">
        <v>523</v>
      </c>
      <c r="AL146" t="s">
        <v>405</v>
      </c>
      <c r="AM146" s="3">
        <v>43444</v>
      </c>
      <c r="AN146" t="s">
        <v>524</v>
      </c>
      <c r="AO146" t="s">
        <v>514</v>
      </c>
      <c r="AQ146">
        <v>0</v>
      </c>
      <c r="AR146" t="str">
        <f>"0000000011037"</f>
        <v>0000000011037</v>
      </c>
      <c r="AS146" t="s">
        <v>493</v>
      </c>
      <c r="AU146" s="3">
        <v>73050</v>
      </c>
      <c r="AV146" s="3">
        <v>73050</v>
      </c>
      <c r="AW146" t="s">
        <v>494</v>
      </c>
      <c r="AX146" t="s">
        <v>495</v>
      </c>
      <c r="AY146">
        <v>0</v>
      </c>
      <c r="AZ146" t="s">
        <v>405</v>
      </c>
      <c r="BA146">
        <v>0</v>
      </c>
      <c r="BB146">
        <v>0</v>
      </c>
      <c r="BC146" t="s">
        <v>497</v>
      </c>
      <c r="BD146" t="s">
        <v>525</v>
      </c>
      <c r="BE146" t="s">
        <v>405</v>
      </c>
      <c r="BF146">
        <v>0</v>
      </c>
      <c r="BG146" t="s">
        <v>405</v>
      </c>
      <c r="BI146" t="s">
        <v>498</v>
      </c>
      <c r="BJ146" t="s">
        <v>499</v>
      </c>
    </row>
    <row r="147" spans="1:62" hidden="1" x14ac:dyDescent="0.25">
      <c r="D147" s="49" t="str">
        <f t="shared" si="3"/>
        <v>0</v>
      </c>
    </row>
    <row r="148" spans="1:62" hidden="1" x14ac:dyDescent="0.25">
      <c r="D148" s="25" t="str">
        <f t="shared" si="3"/>
        <v>0</v>
      </c>
    </row>
    <row r="149" spans="1:62" hidden="1" x14ac:dyDescent="0.25">
      <c r="D149" s="25" t="str">
        <f t="shared" si="3"/>
        <v>0</v>
      </c>
    </row>
    <row r="150" spans="1:62" hidden="1" x14ac:dyDescent="0.25">
      <c r="D150" s="25" t="str">
        <f t="shared" si="3"/>
        <v>0</v>
      </c>
    </row>
    <row r="151" spans="1:62" hidden="1" x14ac:dyDescent="0.25">
      <c r="D151" s="25" t="str">
        <f t="shared" si="3"/>
        <v>0</v>
      </c>
      <c r="P151" t="s">
        <v>393</v>
      </c>
      <c r="Q151" t="s">
        <v>391</v>
      </c>
      <c r="R151" t="s">
        <v>392</v>
      </c>
      <c r="S151" t="s">
        <v>440</v>
      </c>
      <c r="T151" t="s">
        <v>441</v>
      </c>
      <c r="U151" t="s">
        <v>442</v>
      </c>
      <c r="V151" t="s">
        <v>443</v>
      </c>
      <c r="W151" t="s">
        <v>444</v>
      </c>
      <c r="X151" t="s">
        <v>445</v>
      </c>
      <c r="Y151" t="s">
        <v>446</v>
      </c>
      <c r="Z151" t="s">
        <v>447</v>
      </c>
      <c r="AA151" t="s">
        <v>448</v>
      </c>
      <c r="AB151" t="s">
        <v>449</v>
      </c>
      <c r="AC151" t="s">
        <v>450</v>
      </c>
      <c r="AD151" t="s">
        <v>451</v>
      </c>
      <c r="AE151" t="s">
        <v>452</v>
      </c>
      <c r="AF151" t="s">
        <v>453</v>
      </c>
      <c r="AG151" t="s">
        <v>454</v>
      </c>
      <c r="AH151" t="s">
        <v>455</v>
      </c>
      <c r="AI151" t="s">
        <v>456</v>
      </c>
      <c r="AJ151" t="s">
        <v>457</v>
      </c>
      <c r="AK151" t="s">
        <v>458</v>
      </c>
      <c r="AL151" t="s">
        <v>459</v>
      </c>
      <c r="AM151" t="s">
        <v>460</v>
      </c>
      <c r="AN151" t="s">
        <v>461</v>
      </c>
      <c r="AO151" t="s">
        <v>462</v>
      </c>
      <c r="AP151" t="s">
        <v>463</v>
      </c>
      <c r="AQ151" t="s">
        <v>464</v>
      </c>
      <c r="AR151" t="s">
        <v>465</v>
      </c>
      <c r="AS151" t="s">
        <v>466</v>
      </c>
      <c r="AT151" t="s">
        <v>467</v>
      </c>
      <c r="AU151" t="s">
        <v>468</v>
      </c>
      <c r="AV151" t="s">
        <v>469</v>
      </c>
      <c r="AW151" t="s">
        <v>470</v>
      </c>
      <c r="AX151" t="s">
        <v>471</v>
      </c>
      <c r="AY151" t="s">
        <v>472</v>
      </c>
      <c r="AZ151" t="s">
        <v>473</v>
      </c>
      <c r="BA151" t="s">
        <v>474</v>
      </c>
      <c r="BB151" t="s">
        <v>475</v>
      </c>
      <c r="BC151" t="s">
        <v>476</v>
      </c>
      <c r="BD151" t="s">
        <v>477</v>
      </c>
      <c r="BE151" t="s">
        <v>478</v>
      </c>
      <c r="BF151" t="s">
        <v>479</v>
      </c>
      <c r="BG151" t="s">
        <v>480</v>
      </c>
      <c r="BH151" t="s">
        <v>481</v>
      </c>
      <c r="BI151" t="s">
        <v>482</v>
      </c>
      <c r="BJ151" t="s">
        <v>483</v>
      </c>
    </row>
    <row r="152" spans="1:62" hidden="1" x14ac:dyDescent="0.25">
      <c r="D152" s="25" t="str">
        <f t="shared" si="3"/>
        <v>0</v>
      </c>
      <c r="S152" t="s">
        <v>528</v>
      </c>
      <c r="T152" t="str">
        <f>"0000000317160"</f>
        <v>0000000317160</v>
      </c>
      <c r="U152">
        <v>1</v>
      </c>
      <c r="V152" t="s">
        <v>400</v>
      </c>
      <c r="W152" t="s">
        <v>400</v>
      </c>
      <c r="X152" t="s">
        <v>400</v>
      </c>
      <c r="Y152" t="s">
        <v>400</v>
      </c>
      <c r="Z152" t="s">
        <v>529</v>
      </c>
      <c r="AA152" t="s">
        <v>405</v>
      </c>
      <c r="AB152" t="s">
        <v>488</v>
      </c>
      <c r="AD152" t="s">
        <v>405</v>
      </c>
      <c r="AE152" t="s">
        <v>400</v>
      </c>
      <c r="AF152">
        <v>31622</v>
      </c>
      <c r="AG152" t="s">
        <v>489</v>
      </c>
      <c r="AH152" t="s">
        <v>512</v>
      </c>
      <c r="AI152" t="s">
        <v>489</v>
      </c>
      <c r="AJ152" t="s">
        <v>512</v>
      </c>
      <c r="AK152" t="s">
        <v>405</v>
      </c>
      <c r="AL152" s="3">
        <v>43574</v>
      </c>
      <c r="AM152" t="s">
        <v>530</v>
      </c>
      <c r="AN152" t="s">
        <v>492</v>
      </c>
      <c r="AP152">
        <v>1</v>
      </c>
      <c r="AQ152" t="str">
        <f>"0000000317160"</f>
        <v>0000000317160</v>
      </c>
      <c r="AR152" t="s">
        <v>493</v>
      </c>
      <c r="AT152" s="3">
        <v>73050</v>
      </c>
      <c r="AU152" s="3">
        <v>73050</v>
      </c>
      <c r="AV152" t="s">
        <v>494</v>
      </c>
      <c r="AW152" t="s">
        <v>531</v>
      </c>
      <c r="AX152">
        <v>0</v>
      </c>
      <c r="AY152" t="s">
        <v>405</v>
      </c>
      <c r="AZ152">
        <v>0</v>
      </c>
      <c r="BA152">
        <v>0</v>
      </c>
      <c r="BB152" t="s">
        <v>497</v>
      </c>
      <c r="BC152" t="s">
        <v>405</v>
      </c>
      <c r="BD152" t="s">
        <v>405</v>
      </c>
      <c r="BE152">
        <v>0</v>
      </c>
      <c r="BF152" t="s">
        <v>405</v>
      </c>
      <c r="BH152" t="s">
        <v>498</v>
      </c>
      <c r="BI152" t="s">
        <v>499</v>
      </c>
    </row>
    <row r="153" spans="1:62" hidden="1" x14ac:dyDescent="0.25">
      <c r="D153" s="25" t="str">
        <f t="shared" si="3"/>
        <v>0</v>
      </c>
    </row>
    <row r="154" spans="1:62" hidden="1" x14ac:dyDescent="0.25">
      <c r="D154" s="25" t="str">
        <f t="shared" si="3"/>
        <v>0</v>
      </c>
    </row>
    <row r="155" spans="1:62" hidden="1" x14ac:dyDescent="0.25">
      <c r="D155" s="25" t="str">
        <f t="shared" si="3"/>
        <v>0</v>
      </c>
    </row>
    <row r="156" spans="1:62" hidden="1" x14ac:dyDescent="0.25">
      <c r="D156" s="25" t="str">
        <f t="shared" si="3"/>
        <v>0</v>
      </c>
    </row>
    <row r="157" spans="1:62" hidden="1" x14ac:dyDescent="0.25">
      <c r="D157" s="25" t="str">
        <f t="shared" si="3"/>
        <v>0</v>
      </c>
    </row>
    <row r="158" spans="1:62" hidden="1" x14ac:dyDescent="0.25">
      <c r="D158" s="25" t="str">
        <f t="shared" si="3"/>
        <v>0</v>
      </c>
    </row>
    <row r="159" spans="1:62" hidden="1" x14ac:dyDescent="0.25">
      <c r="D159" s="25" t="str">
        <f t="shared" si="3"/>
        <v>0</v>
      </c>
    </row>
    <row r="160" spans="1:62" hidden="1" x14ac:dyDescent="0.25">
      <c r="D160" s="25" t="str">
        <f t="shared" si="3"/>
        <v>0</v>
      </c>
    </row>
    <row r="161" spans="2:13" hidden="1" x14ac:dyDescent="0.25">
      <c r="D161" s="25" t="str">
        <f t="shared" si="3"/>
        <v>0</v>
      </c>
    </row>
    <row r="162" spans="2:13" hidden="1" x14ac:dyDescent="0.25">
      <c r="D162" s="25" t="str">
        <f t="shared" si="3"/>
        <v>0</v>
      </c>
    </row>
    <row r="163" spans="2:13" hidden="1" x14ac:dyDescent="0.25">
      <c r="D163" s="25" t="str">
        <f t="shared" si="3"/>
        <v>0</v>
      </c>
    </row>
    <row r="164" spans="2:13" hidden="1" x14ac:dyDescent="0.25">
      <c r="D164" s="25" t="str">
        <f t="shared" si="3"/>
        <v>0</v>
      </c>
    </row>
    <row r="165" spans="2:13" hidden="1" x14ac:dyDescent="0.25">
      <c r="D165" s="25" t="str">
        <f t="shared" si="3"/>
        <v>0</v>
      </c>
    </row>
    <row r="166" spans="2:13" x14ac:dyDescent="0.25">
      <c r="B166" s="7" t="s">
        <v>541</v>
      </c>
      <c r="C166" s="7" t="s">
        <v>542</v>
      </c>
      <c r="D166" s="26" t="str">
        <f t="shared" si="3"/>
        <v>1laser635nm</v>
      </c>
      <c r="G166" s="32">
        <v>1</v>
      </c>
      <c r="M166" s="22" t="s">
        <v>540</v>
      </c>
    </row>
    <row r="167" spans="2:13" x14ac:dyDescent="0.25">
      <c r="D167" s="26" t="str">
        <f t="shared" si="3"/>
        <v>1statief ?</v>
      </c>
      <c r="G167" s="32">
        <v>1</v>
      </c>
      <c r="M167" s="22" t="s">
        <v>543</v>
      </c>
    </row>
  </sheetData>
  <autoFilter ref="A5:M165">
    <filterColumn colId="3">
      <filters>
        <filter val="0kabel ligt nog bij klant"/>
        <filter val="1"/>
        <filter val="1aanraag v klant"/>
        <filter val="1calib forfait"/>
        <filter val="1calib+cert"/>
        <filter val="2"/>
        <filter val="30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95" orientation="landscape" r:id="rId4"/>
  <colBreaks count="1" manualBreakCount="1">
    <brk id="7" max="1048575" man="1"/>
  </colBreaks>
  <drawing r:id="rId5"/>
  <legacyDrawing r:id="rId6"/>
  <controls>
    <mc:AlternateContent xmlns:mc="http://schemas.openxmlformats.org/markup-compatibility/2006">
      <mc:Choice Requires="x14">
        <control shapeId="88067" r:id="rId7" name="CommandButton3">
          <controlPr autoLine="0" r:id="rId8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7</xdr:col>
                <xdr:colOff>342900</xdr:colOff>
                <xdr:row>2</xdr:row>
                <xdr:rowOff>19050</xdr:rowOff>
              </to>
            </anchor>
          </controlPr>
        </control>
      </mc:Choice>
      <mc:Fallback>
        <control shapeId="88067" r:id="rId7" name="CommandButton3"/>
      </mc:Fallback>
    </mc:AlternateContent>
    <mc:AlternateContent xmlns:mc="http://schemas.openxmlformats.org/markup-compatibility/2006">
      <mc:Choice Requires="x14">
        <control shapeId="88066" r:id="rId9" name="CommandButton2">
          <controlPr autoLine="0" r:id="rId10">
            <anchor moveWithCells="1">
              <from>
                <xdr:col>11</xdr:col>
                <xdr:colOff>123825</xdr:colOff>
                <xdr:row>0</xdr:row>
                <xdr:rowOff>104775</xdr:rowOff>
              </from>
              <to>
                <xdr:col>14</xdr:col>
                <xdr:colOff>0</xdr:colOff>
                <xdr:row>2</xdr:row>
                <xdr:rowOff>28575</xdr:rowOff>
              </to>
            </anchor>
          </controlPr>
        </control>
      </mc:Choice>
      <mc:Fallback>
        <control shapeId="88066" r:id="rId9" name="CommandButton2"/>
      </mc:Fallback>
    </mc:AlternateContent>
    <mc:AlternateContent xmlns:mc="http://schemas.openxmlformats.org/markup-compatibility/2006">
      <mc:Choice Requires="x14">
        <control shapeId="88065" r:id="rId11" name="CommandButton1">
          <controlPr autoLine="0" r:id="rId12">
            <anchor moveWithCells="1">
              <from>
                <xdr:col>12</xdr:col>
                <xdr:colOff>371475</xdr:colOff>
                <xdr:row>1</xdr:row>
                <xdr:rowOff>47625</xdr:rowOff>
              </from>
              <to>
                <xdr:col>15</xdr:col>
                <xdr:colOff>180975</xdr:colOff>
                <xdr:row>2</xdr:row>
                <xdr:rowOff>171450</xdr:rowOff>
              </to>
            </anchor>
          </controlPr>
        </control>
      </mc:Choice>
      <mc:Fallback>
        <control shapeId="88065" r:id="rId11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0" filterMode="1">
    <tabColor rgb="FFFFC000"/>
    <pageSetUpPr fitToPage="1"/>
  </sheetPr>
  <dimension ref="A1:BJ165"/>
  <sheetViews>
    <sheetView zoomScale="95" zoomScaleNormal="95" workbookViewId="0">
      <selection activeCell="P21" sqref="P21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1.5703125" style="23" bestFit="1" customWidth="1"/>
    <col min="5" max="5" width="9.140625" style="21" bestFit="1" customWidth="1"/>
    <col min="6" max="6" width="9.140625" style="20" bestFit="1" customWidth="1"/>
    <col min="7" max="7" width="9.140625" style="32" bestFit="1" customWidth="1"/>
    <col min="8" max="8" width="7" style="32" bestFit="1" customWidth="1"/>
    <col min="9" max="11" width="6" style="32" bestFit="1" customWidth="1"/>
    <col min="12" max="13" width="6" style="22" bestFit="1" customWidth="1"/>
  </cols>
  <sheetData>
    <row r="1" spans="1:14" x14ac:dyDescent="0.25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14" x14ac:dyDescent="0.25">
      <c r="A2"/>
      <c r="B2"/>
      <c r="C2"/>
      <c r="D2"/>
      <c r="E2"/>
      <c r="F2"/>
      <c r="G2"/>
      <c r="H2"/>
      <c r="I2"/>
      <c r="J2"/>
      <c r="K2"/>
      <c r="L2"/>
      <c r="M2"/>
    </row>
    <row r="3" spans="1:14" x14ac:dyDescent="0.25">
      <c r="A3"/>
      <c r="B3"/>
      <c r="C3"/>
      <c r="D3"/>
      <c r="E3"/>
      <c r="F3"/>
      <c r="G3"/>
      <c r="H3"/>
      <c r="I3"/>
      <c r="J3"/>
      <c r="K3"/>
      <c r="L3"/>
      <c r="M3"/>
    </row>
    <row r="4" spans="1:14" s="36" customFormat="1" ht="190.5" x14ac:dyDescent="0.25">
      <c r="C4" s="36" t="s">
        <v>435</v>
      </c>
      <c r="E4" s="39" t="s">
        <v>428</v>
      </c>
      <c r="F4" s="39" t="s">
        <v>428</v>
      </c>
      <c r="G4" s="39" t="s">
        <v>433</v>
      </c>
      <c r="H4" s="39" t="s">
        <v>434</v>
      </c>
      <c r="I4" s="39"/>
      <c r="J4" s="39"/>
      <c r="K4" s="39"/>
      <c r="L4" s="39"/>
      <c r="M4" s="39"/>
    </row>
    <row r="5" spans="1:14" s="36" customFormat="1" ht="98.25" customHeight="1" x14ac:dyDescent="0.25">
      <c r="A5" s="33"/>
      <c r="B5" s="33" t="s">
        <v>325</v>
      </c>
      <c r="C5" s="33" t="str">
        <f ca="1">MID(CELL("filename",A5),FIND("]",CELL("filename",A5))+1,256)</f>
        <v>batch47</v>
      </c>
      <c r="D5" s="34" t="s">
        <v>382</v>
      </c>
      <c r="E5" s="37" t="s">
        <v>429</v>
      </c>
      <c r="F5" s="37" t="s">
        <v>430</v>
      </c>
      <c r="G5" s="37" t="s">
        <v>431</v>
      </c>
      <c r="H5" s="37" t="s">
        <v>432</v>
      </c>
      <c r="I5" s="37"/>
      <c r="J5" s="37"/>
      <c r="K5" s="38"/>
      <c r="L5" s="35"/>
      <c r="M5" s="38" t="s">
        <v>386</v>
      </c>
    </row>
    <row r="6" spans="1:14" ht="17.25" hidden="1" customHeight="1" x14ac:dyDescent="0.25">
      <c r="A6" s="28" t="s">
        <v>307</v>
      </c>
      <c r="B6" s="28" t="s">
        <v>324</v>
      </c>
      <c r="C6" s="28" t="s">
        <v>323</v>
      </c>
      <c r="D6" s="25" t="str">
        <f>(E6+F6+L6+G6+H6+I6+J6+K6) &amp;M6</f>
        <v>0</v>
      </c>
      <c r="E6" s="26"/>
      <c r="F6" s="26"/>
      <c r="G6" s="26"/>
      <c r="H6" s="26"/>
      <c r="I6" s="26"/>
      <c r="J6" s="26"/>
      <c r="K6" s="26"/>
      <c r="L6" s="27"/>
      <c r="M6" s="27"/>
    </row>
    <row r="7" spans="1:14" ht="18" hidden="1" customHeight="1" x14ac:dyDescent="0.25">
      <c r="A7" s="28" t="s">
        <v>314</v>
      </c>
      <c r="B7" s="28" t="s">
        <v>315</v>
      </c>
      <c r="C7" s="28" t="s">
        <v>365</v>
      </c>
      <c r="D7" s="25" t="str">
        <f t="shared" ref="D7:D70" si="0">(E7+F7+L7+G7+H7+I7+J7+K7) &amp;M7</f>
        <v>0</v>
      </c>
      <c r="E7" s="26"/>
      <c r="F7" s="26"/>
      <c r="G7" s="26"/>
      <c r="H7" s="26"/>
      <c r="I7" s="26"/>
      <c r="J7" s="26"/>
      <c r="K7" s="26"/>
      <c r="L7" s="27"/>
      <c r="M7" s="27"/>
    </row>
    <row r="8" spans="1:14" ht="18" hidden="1" customHeight="1" x14ac:dyDescent="0.25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  <c r="I8" s="27"/>
      <c r="J8" s="27"/>
      <c r="K8" s="27"/>
      <c r="L8" s="27"/>
      <c r="M8" s="27"/>
    </row>
    <row r="9" spans="1:14" ht="18" hidden="1" customHeight="1" x14ac:dyDescent="0.25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  <c r="I9" s="27"/>
      <c r="J9" s="27"/>
      <c r="K9" s="27"/>
      <c r="L9" s="27"/>
      <c r="M9" s="27"/>
    </row>
    <row r="10" spans="1:14" ht="18" hidden="1" customHeight="1" x14ac:dyDescent="0.25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  <c r="I10" s="27"/>
      <c r="J10" s="27"/>
      <c r="K10" s="27"/>
      <c r="L10" s="27"/>
      <c r="M10" s="27"/>
    </row>
    <row r="11" spans="1:14" ht="18" hidden="1" customHeight="1" x14ac:dyDescent="0.25">
      <c r="A11" s="29" t="s">
        <v>52</v>
      </c>
      <c r="B11" s="29" t="s">
        <v>53</v>
      </c>
      <c r="C11" s="29" t="s">
        <v>54</v>
      </c>
      <c r="D11" s="25" t="str">
        <f t="shared" si="0"/>
        <v>0</v>
      </c>
      <c r="E11" s="27"/>
      <c r="F11" s="27"/>
      <c r="G11" s="27"/>
      <c r="H11" s="27"/>
      <c r="I11" s="27"/>
      <c r="J11" s="27"/>
      <c r="K11" s="27"/>
      <c r="L11" s="27"/>
      <c r="M11" s="27"/>
    </row>
    <row r="12" spans="1:14" ht="18" hidden="1" customHeight="1" x14ac:dyDescent="0.25">
      <c r="A12" s="29" t="s">
        <v>138</v>
      </c>
      <c r="B12" s="29" t="s">
        <v>160</v>
      </c>
      <c r="C12" s="29" t="s">
        <v>159</v>
      </c>
      <c r="D12" s="25" t="str">
        <f t="shared" si="0"/>
        <v>0</v>
      </c>
      <c r="E12" s="27"/>
      <c r="F12" s="27"/>
      <c r="G12" s="27"/>
      <c r="H12" s="27"/>
      <c r="I12" s="27"/>
      <c r="J12" s="27"/>
      <c r="K12" s="27"/>
      <c r="L12" s="27"/>
      <c r="M12" s="27"/>
    </row>
    <row r="13" spans="1:14" ht="18" hidden="1" customHeight="1" x14ac:dyDescent="0.25">
      <c r="A13" s="29" t="s">
        <v>138</v>
      </c>
      <c r="B13" s="29" t="s">
        <v>162</v>
      </c>
      <c r="C13" s="29" t="s">
        <v>161</v>
      </c>
      <c r="D13" s="25" t="str">
        <f t="shared" si="0"/>
        <v>0</v>
      </c>
      <c r="E13" s="27"/>
      <c r="F13" s="27"/>
      <c r="G13" s="27"/>
      <c r="H13" s="27"/>
      <c r="I13" s="27"/>
      <c r="J13" s="27"/>
      <c r="K13" s="27"/>
      <c r="L13" s="27"/>
      <c r="M13" s="27"/>
    </row>
    <row r="14" spans="1:14" ht="18" hidden="1" customHeight="1" x14ac:dyDescent="0.25">
      <c r="A14" s="29" t="s">
        <v>138</v>
      </c>
      <c r="B14" s="29" t="s">
        <v>139</v>
      </c>
      <c r="C14" s="29" t="s">
        <v>140</v>
      </c>
      <c r="D14" s="25" t="str">
        <f t="shared" si="0"/>
        <v>0</v>
      </c>
      <c r="E14" s="27"/>
      <c r="F14" s="27"/>
      <c r="G14" s="27"/>
      <c r="H14" s="27"/>
      <c r="I14" s="27"/>
      <c r="J14" s="27"/>
      <c r="K14" s="27"/>
      <c r="L14" s="27"/>
      <c r="M14" s="27"/>
    </row>
    <row r="15" spans="1:14" ht="18" hidden="1" customHeight="1" x14ac:dyDescent="0.25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  <c r="I15" s="27"/>
      <c r="J15" s="27"/>
      <c r="K15" s="27"/>
      <c r="L15" s="27"/>
      <c r="M15" s="27"/>
    </row>
    <row r="16" spans="1:14" ht="18" hidden="1" customHeight="1" x14ac:dyDescent="0.25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8" hidden="1" customHeight="1" x14ac:dyDescent="0.25">
      <c r="A17" s="29" t="s">
        <v>268</v>
      </c>
      <c r="B17" s="29" t="s">
        <v>337</v>
      </c>
      <c r="C17" s="29" t="s">
        <v>338</v>
      </c>
      <c r="D17" s="25" t="str">
        <f t="shared" si="0"/>
        <v>0</v>
      </c>
      <c r="E17" s="27"/>
      <c r="F17" s="27"/>
      <c r="G17" s="27"/>
      <c r="H17" s="27"/>
      <c r="I17" s="27"/>
      <c r="J17" s="27"/>
      <c r="K17" s="27"/>
      <c r="L17" s="27"/>
      <c r="M17" s="27"/>
    </row>
    <row r="18" spans="1:13" ht="18" hidden="1" customHeight="1" x14ac:dyDescent="0.25">
      <c r="A18" s="29" t="s">
        <v>268</v>
      </c>
      <c r="B18" s="29" t="s">
        <v>269</v>
      </c>
      <c r="C18" s="29" t="s">
        <v>336</v>
      </c>
      <c r="D18" s="25" t="str">
        <f t="shared" si="0"/>
        <v>0</v>
      </c>
      <c r="E18" s="27"/>
      <c r="F18" s="27"/>
      <c r="G18" s="27"/>
      <c r="H18" s="27"/>
      <c r="I18" s="27"/>
      <c r="J18" s="27"/>
      <c r="K18" s="27"/>
      <c r="L18" s="27"/>
      <c r="M18" s="27"/>
    </row>
    <row r="19" spans="1:13" ht="18" hidden="1" customHeight="1" x14ac:dyDescent="0.25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8" hidden="1" customHeight="1" x14ac:dyDescent="0.25">
      <c r="A20" s="41" t="s">
        <v>107</v>
      </c>
      <c r="B20" s="41" t="s">
        <v>112</v>
      </c>
      <c r="C20" s="41" t="s">
        <v>312</v>
      </c>
      <c r="D20" s="42" t="str">
        <f t="shared" si="0"/>
        <v>0</v>
      </c>
      <c r="E20" s="43"/>
      <c r="F20" s="43"/>
      <c r="G20" s="43"/>
      <c r="H20" s="43"/>
      <c r="I20" s="43"/>
      <c r="J20" s="43"/>
      <c r="K20" s="43"/>
      <c r="L20" s="43"/>
      <c r="M20" s="43"/>
    </row>
    <row r="21" spans="1:13" ht="18" customHeight="1" x14ac:dyDescent="0.25">
      <c r="A21" s="51" t="s">
        <v>9</v>
      </c>
      <c r="B21" s="51" t="s">
        <v>166</v>
      </c>
      <c r="C21" s="51" t="s">
        <v>310</v>
      </c>
      <c r="D21" s="25" t="str">
        <f t="shared" si="0"/>
        <v>0</v>
      </c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8" hidden="1" customHeight="1" x14ac:dyDescent="0.25">
      <c r="A22" s="45" t="s">
        <v>9</v>
      </c>
      <c r="B22" s="45" t="s">
        <v>168</v>
      </c>
      <c r="C22" s="45" t="s">
        <v>311</v>
      </c>
      <c r="D22" s="46" t="str">
        <f t="shared" si="0"/>
        <v>0</v>
      </c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18" customHeight="1" x14ac:dyDescent="0.25">
      <c r="A23" s="51" t="s">
        <v>9</v>
      </c>
      <c r="B23" s="51" t="s">
        <v>155</v>
      </c>
      <c r="C23" s="51" t="s">
        <v>156</v>
      </c>
      <c r="D23" s="25" t="str">
        <f t="shared" si="0"/>
        <v>2</v>
      </c>
      <c r="E23" s="27">
        <v>1</v>
      </c>
      <c r="F23" s="27">
        <v>1</v>
      </c>
      <c r="G23" s="27"/>
      <c r="H23" s="27"/>
      <c r="I23" s="27"/>
      <c r="J23" s="27"/>
      <c r="K23" s="27"/>
      <c r="L23" s="27"/>
      <c r="M23" s="27"/>
    </row>
    <row r="24" spans="1:13" ht="18" hidden="1" customHeight="1" x14ac:dyDescent="0.25">
      <c r="A24" s="48" t="s">
        <v>138</v>
      </c>
      <c r="B24" s="48" t="s">
        <v>149</v>
      </c>
      <c r="C24" s="48" t="s">
        <v>345</v>
      </c>
      <c r="D24" s="49" t="str">
        <f t="shared" si="0"/>
        <v>0</v>
      </c>
      <c r="E24" s="50"/>
      <c r="F24" s="50"/>
      <c r="G24" s="50"/>
      <c r="H24" s="50"/>
      <c r="I24" s="50"/>
      <c r="J24" s="50"/>
      <c r="K24" s="50"/>
      <c r="L24" s="50"/>
      <c r="M24" s="50"/>
    </row>
    <row r="25" spans="1:13" ht="18" hidden="1" customHeight="1" x14ac:dyDescent="0.25">
      <c r="A25" s="29" t="s">
        <v>352</v>
      </c>
      <c r="B25" s="29" t="s">
        <v>352</v>
      </c>
      <c r="C25" s="29" t="s">
        <v>366</v>
      </c>
      <c r="D25" s="25" t="str">
        <f t="shared" si="0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13" ht="18" hidden="1" customHeight="1" x14ac:dyDescent="0.25">
      <c r="A26" s="41" t="s">
        <v>4</v>
      </c>
      <c r="B26" s="41" t="s">
        <v>188</v>
      </c>
      <c r="C26" s="41" t="s">
        <v>189</v>
      </c>
      <c r="D26" s="42" t="str">
        <f t="shared" si="0"/>
        <v>0</v>
      </c>
      <c r="E26" s="43"/>
      <c r="F26" s="43"/>
      <c r="G26" s="43"/>
      <c r="H26" s="43"/>
      <c r="I26" s="43"/>
      <c r="J26" s="43"/>
      <c r="K26" s="43"/>
      <c r="L26" s="43"/>
      <c r="M26" s="43"/>
    </row>
    <row r="27" spans="1:13" ht="18" customHeight="1" x14ac:dyDescent="0.25">
      <c r="A27" s="51" t="s">
        <v>129</v>
      </c>
      <c r="B27" s="51" t="s">
        <v>130</v>
      </c>
      <c r="C27" s="51" t="s">
        <v>131</v>
      </c>
      <c r="D27" s="25" t="str">
        <f t="shared" si="0"/>
        <v>3</v>
      </c>
      <c r="E27" s="27">
        <v>2</v>
      </c>
      <c r="F27" s="27">
        <v>1</v>
      </c>
      <c r="G27" s="27"/>
      <c r="H27" s="27"/>
      <c r="I27" s="27"/>
      <c r="J27" s="27"/>
      <c r="K27" s="27"/>
      <c r="L27" s="27"/>
      <c r="M27" s="27"/>
    </row>
    <row r="28" spans="1:13" ht="18" customHeight="1" x14ac:dyDescent="0.25">
      <c r="A28" s="51" t="s">
        <v>138</v>
      </c>
      <c r="B28" s="51" t="s">
        <v>143</v>
      </c>
      <c r="C28" s="51" t="s">
        <v>144</v>
      </c>
      <c r="D28" s="25" t="str">
        <f t="shared" si="0"/>
        <v>3</v>
      </c>
      <c r="E28" s="27">
        <v>1</v>
      </c>
      <c r="F28" s="27">
        <v>1</v>
      </c>
      <c r="G28" s="27">
        <v>1</v>
      </c>
      <c r="H28" s="27"/>
      <c r="I28" s="27"/>
      <c r="J28" s="27"/>
      <c r="K28" s="27"/>
      <c r="L28" s="27"/>
      <c r="M28" s="27"/>
    </row>
    <row r="29" spans="1:13" ht="18" customHeight="1" x14ac:dyDescent="0.25">
      <c r="A29" s="51" t="s">
        <v>4</v>
      </c>
      <c r="B29" s="51" t="s">
        <v>85</v>
      </c>
      <c r="C29" s="51" t="s">
        <v>86</v>
      </c>
      <c r="D29" s="25" t="str">
        <f t="shared" si="0"/>
        <v>6</v>
      </c>
      <c r="E29" s="27">
        <v>3</v>
      </c>
      <c r="F29" s="27">
        <v>3</v>
      </c>
      <c r="G29" s="27"/>
      <c r="H29" s="27"/>
      <c r="I29" s="27"/>
      <c r="J29" s="27"/>
      <c r="K29" s="27"/>
      <c r="L29" s="27"/>
      <c r="M29" s="27"/>
    </row>
    <row r="30" spans="1:13" ht="18" hidden="1" customHeight="1" x14ac:dyDescent="0.25">
      <c r="A30" s="48" t="s">
        <v>9</v>
      </c>
      <c r="B30" s="48" t="s">
        <v>25</v>
      </c>
      <c r="C30" s="48" t="s">
        <v>313</v>
      </c>
      <c r="D30" s="49" t="str">
        <f t="shared" si="0"/>
        <v>0</v>
      </c>
      <c r="E30" s="50"/>
      <c r="F30" s="50"/>
      <c r="G30" s="50"/>
      <c r="H30" s="50"/>
      <c r="I30" s="50"/>
      <c r="J30" s="50"/>
      <c r="K30" s="50"/>
      <c r="L30" s="50"/>
      <c r="M30" s="50"/>
    </row>
    <row r="31" spans="1:13" ht="18" hidden="1" customHeight="1" x14ac:dyDescent="0.25">
      <c r="A31" s="30" t="s">
        <v>52</v>
      </c>
      <c r="B31" s="30" t="s">
        <v>213</v>
      </c>
      <c r="C31" s="30" t="s">
        <v>214</v>
      </c>
      <c r="D31" s="25" t="str">
        <f t="shared" si="0"/>
        <v>0</v>
      </c>
      <c r="E31" s="27"/>
      <c r="F31" s="27"/>
      <c r="G31" s="27"/>
      <c r="H31" s="27"/>
      <c r="I31" s="27"/>
      <c r="J31" s="27"/>
      <c r="K31" s="27"/>
      <c r="L31" s="27"/>
      <c r="M31" s="27"/>
    </row>
    <row r="32" spans="1:13" ht="18" hidden="1" customHeight="1" x14ac:dyDescent="0.25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  <c r="I32" s="27"/>
      <c r="J32" s="27"/>
      <c r="K32" s="27"/>
      <c r="L32" s="27"/>
      <c r="M32" s="27"/>
    </row>
    <row r="33" spans="1:13" ht="18" hidden="1" customHeight="1" x14ac:dyDescent="0.25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hidden="1" customHeight="1" x14ac:dyDescent="0.25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hidden="1" x14ac:dyDescent="0.25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hidden="1" x14ac:dyDescent="0.25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hidden="1" x14ac:dyDescent="0.25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hidden="1" x14ac:dyDescent="0.25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hidden="1" x14ac:dyDescent="0.25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hidden="1" x14ac:dyDescent="0.25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hidden="1" x14ac:dyDescent="0.25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hidden="1" x14ac:dyDescent="0.25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hidden="1" x14ac:dyDescent="0.25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hidden="1" x14ac:dyDescent="0.25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hidden="1" x14ac:dyDescent="0.25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hidden="1" x14ac:dyDescent="0.25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hidden="1" x14ac:dyDescent="0.25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hidden="1" x14ac:dyDescent="0.25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hidden="1" x14ac:dyDescent="0.25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hidden="1" x14ac:dyDescent="0.25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hidden="1" x14ac:dyDescent="0.25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hidden="1" x14ac:dyDescent="0.25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hidden="1" x14ac:dyDescent="0.25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hidden="1" x14ac:dyDescent="0.25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hidden="1" x14ac:dyDescent="0.25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hidden="1" x14ac:dyDescent="0.25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hidden="1" x14ac:dyDescent="0.25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hidden="1" x14ac:dyDescent="0.25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hidden="1" x14ac:dyDescent="0.25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hidden="1" x14ac:dyDescent="0.25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hidden="1" x14ac:dyDescent="0.25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hidden="1" x14ac:dyDescent="0.25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hidden="1" x14ac:dyDescent="0.25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hidden="1" x14ac:dyDescent="0.25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hidden="1" x14ac:dyDescent="0.25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hidden="1" x14ac:dyDescent="0.25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hidden="1" x14ac:dyDescent="0.25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hidden="1" x14ac:dyDescent="0.25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hidden="1" x14ac:dyDescent="0.25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hidden="1" x14ac:dyDescent="0.25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hidden="1" x14ac:dyDescent="0.25">
      <c r="A71" s="30" t="s">
        <v>66</v>
      </c>
      <c r="B71" s="30" t="s">
        <v>71</v>
      </c>
      <c r="C71" s="30" t="s">
        <v>72</v>
      </c>
      <c r="D71" s="25" t="str">
        <f t="shared" ref="D71:D134" si="1">(E71+F71+L71+G71+H71+I71+J71+K71) &amp;M71</f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hidden="1" x14ac:dyDescent="0.25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hidden="1" x14ac:dyDescent="0.25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hidden="1" x14ac:dyDescent="0.25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hidden="1" x14ac:dyDescent="0.25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hidden="1" x14ac:dyDescent="0.25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hidden="1" x14ac:dyDescent="0.25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hidden="1" x14ac:dyDescent="0.25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hidden="1" x14ac:dyDescent="0.25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hidden="1" x14ac:dyDescent="0.25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hidden="1" x14ac:dyDescent="0.25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hidden="1" x14ac:dyDescent="0.25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hidden="1" x14ac:dyDescent="0.25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hidden="1" x14ac:dyDescent="0.25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hidden="1" x14ac:dyDescent="0.25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hidden="1" x14ac:dyDescent="0.25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hidden="1" x14ac:dyDescent="0.25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hidden="1" x14ac:dyDescent="0.25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hidden="1" x14ac:dyDescent="0.25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hidden="1" x14ac:dyDescent="0.25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hidden="1" x14ac:dyDescent="0.25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hidden="1" x14ac:dyDescent="0.25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hidden="1" x14ac:dyDescent="0.25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I93" s="27"/>
      <c r="J93" s="27"/>
      <c r="K93" s="27"/>
      <c r="L93" s="27"/>
      <c r="M93" s="27"/>
      <c r="AB93" s="3"/>
      <c r="AJ93" s="3"/>
      <c r="AK93" s="3"/>
    </row>
    <row r="94" spans="1:37" hidden="1" x14ac:dyDescent="0.25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I94" s="27"/>
      <c r="J94" s="27"/>
      <c r="K94" s="27"/>
      <c r="L94" s="27"/>
      <c r="M94" s="27"/>
      <c r="AB94" s="3"/>
      <c r="AJ94" s="3"/>
      <c r="AK94" s="3"/>
    </row>
    <row r="95" spans="1:37" hidden="1" x14ac:dyDescent="0.25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hidden="1" x14ac:dyDescent="0.25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hidden="1" x14ac:dyDescent="0.25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hidden="1" x14ac:dyDescent="0.25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  <c r="I98" s="27"/>
      <c r="J98" s="27"/>
      <c r="K98" s="27"/>
      <c r="L98" s="27"/>
      <c r="M98" s="27"/>
    </row>
    <row r="99" spans="1:37" hidden="1" x14ac:dyDescent="0.25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  <c r="I99" s="27"/>
      <c r="J99" s="27"/>
      <c r="K99" s="27"/>
      <c r="L99" s="27"/>
      <c r="M99" s="27"/>
    </row>
    <row r="100" spans="1:37" hidden="1" x14ac:dyDescent="0.25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hidden="1" x14ac:dyDescent="0.25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hidden="1" x14ac:dyDescent="0.25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hidden="1" x14ac:dyDescent="0.25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hidden="1" x14ac:dyDescent="0.25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hidden="1" x14ac:dyDescent="0.25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hidden="1" x14ac:dyDescent="0.25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hidden="1" x14ac:dyDescent="0.25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hidden="1" x14ac:dyDescent="0.25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hidden="1" x14ac:dyDescent="0.25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hidden="1" x14ac:dyDescent="0.25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hidden="1" x14ac:dyDescent="0.25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  <c r="I111" s="27"/>
      <c r="J111" s="27"/>
      <c r="K111" s="27"/>
      <c r="L111" s="27"/>
      <c r="M111" s="27"/>
    </row>
    <row r="112" spans="1:37" hidden="1" x14ac:dyDescent="0.25">
      <c r="A112" s="30" t="s">
        <v>107</v>
      </c>
      <c r="B112" s="30" t="s">
        <v>110</v>
      </c>
      <c r="C112" s="30" t="s">
        <v>111</v>
      </c>
      <c r="D112" s="25" t="str">
        <f t="shared" si="1"/>
        <v>0</v>
      </c>
      <c r="E112" s="27"/>
      <c r="F112" s="27"/>
      <c r="G112" s="27"/>
      <c r="H112" s="27"/>
      <c r="I112" s="27"/>
      <c r="J112" s="27"/>
      <c r="K112" s="27"/>
      <c r="L112" s="27"/>
      <c r="M112" s="27"/>
    </row>
    <row r="113" spans="1:13" hidden="1" x14ac:dyDescent="0.25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  <c r="I113" s="27"/>
      <c r="J113" s="27"/>
      <c r="K113" s="27"/>
      <c r="L113" s="27"/>
      <c r="M113" s="27"/>
    </row>
    <row r="114" spans="1:13" hidden="1" x14ac:dyDescent="0.25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hidden="1" x14ac:dyDescent="0.25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hidden="1" x14ac:dyDescent="0.25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hidden="1" x14ac:dyDescent="0.25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hidden="1" x14ac:dyDescent="0.25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hidden="1" x14ac:dyDescent="0.25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hidden="1" x14ac:dyDescent="0.25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hidden="1" x14ac:dyDescent="0.25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hidden="1" x14ac:dyDescent="0.25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hidden="1" x14ac:dyDescent="0.25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hidden="1" x14ac:dyDescent="0.25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hidden="1" x14ac:dyDescent="0.25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hidden="1" x14ac:dyDescent="0.25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hidden="1" x14ac:dyDescent="0.25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hidden="1" x14ac:dyDescent="0.25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41" hidden="1" x14ac:dyDescent="0.25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41" hidden="1" x14ac:dyDescent="0.25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41" hidden="1" x14ac:dyDescent="0.25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41" hidden="1" x14ac:dyDescent="0.25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41" hidden="1" x14ac:dyDescent="0.25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41" hidden="1" x14ac:dyDescent="0.25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41" hidden="1" x14ac:dyDescent="0.25">
      <c r="A135" s="30" t="s">
        <v>14</v>
      </c>
      <c r="B135" s="30" t="s">
        <v>17</v>
      </c>
      <c r="C135" s="30" t="s">
        <v>18</v>
      </c>
      <c r="D135" s="25" t="str">
        <f t="shared" ref="D135:D164" si="2">(E135+F135+L135+G135+H135+I135+J135+K135) &amp;M135</f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41" hidden="1" x14ac:dyDescent="0.25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41" hidden="1" x14ac:dyDescent="0.25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41" hidden="1" x14ac:dyDescent="0.25">
      <c r="A138" s="44" t="s">
        <v>36</v>
      </c>
      <c r="B138" s="44" t="s">
        <v>37</v>
      </c>
      <c r="C138" s="44" t="s">
        <v>38</v>
      </c>
      <c r="D138" s="42" t="str">
        <f t="shared" si="2"/>
        <v>0</v>
      </c>
      <c r="E138" s="43"/>
      <c r="F138" s="43"/>
      <c r="G138" s="43"/>
      <c r="H138" s="43"/>
      <c r="I138" s="43"/>
      <c r="J138" s="43"/>
      <c r="K138" s="43"/>
      <c r="L138" s="43"/>
      <c r="M138" s="43"/>
      <c r="AF138" s="3"/>
      <c r="AN138" s="3"/>
      <c r="AO138" s="3"/>
    </row>
    <row r="139" spans="1:41" x14ac:dyDescent="0.25">
      <c r="A139" s="51" t="s">
        <v>383</v>
      </c>
      <c r="B139" s="51" t="s">
        <v>384</v>
      </c>
      <c r="C139" s="51" t="s">
        <v>385</v>
      </c>
      <c r="D139" s="25" t="str">
        <f t="shared" si="2"/>
        <v>1</v>
      </c>
      <c r="E139" s="27"/>
      <c r="F139" s="27"/>
      <c r="G139" s="27"/>
      <c r="H139" s="27">
        <v>1</v>
      </c>
      <c r="I139" s="27"/>
      <c r="J139" s="27"/>
      <c r="K139" s="27"/>
      <c r="L139" s="27"/>
      <c r="M139" s="27"/>
      <c r="AF139" s="3"/>
      <c r="AN139" s="3"/>
      <c r="AO139" s="3"/>
    </row>
    <row r="140" spans="1:41" hidden="1" x14ac:dyDescent="0.25">
      <c r="A140" t="s">
        <v>30</v>
      </c>
      <c r="B140" t="s">
        <v>39</v>
      </c>
      <c r="C140" t="s">
        <v>40</v>
      </c>
      <c r="D140" s="49" t="str">
        <f t="shared" si="2"/>
        <v>0</v>
      </c>
      <c r="AF140" s="3"/>
      <c r="AN140" s="3"/>
      <c r="AO140" s="3"/>
    </row>
    <row r="141" spans="1:41" hidden="1" x14ac:dyDescent="0.25">
      <c r="A141" t="s">
        <v>41</v>
      </c>
      <c r="B141" t="s">
        <v>42</v>
      </c>
      <c r="C141" t="s">
        <v>43</v>
      </c>
      <c r="D141" s="42" t="str">
        <f t="shared" si="2"/>
        <v>0</v>
      </c>
    </row>
    <row r="142" spans="1:41" x14ac:dyDescent="0.25">
      <c r="A142" s="51" t="s">
        <v>30</v>
      </c>
      <c r="B142" s="51" t="s">
        <v>439</v>
      </c>
      <c r="C142" s="51" t="s">
        <v>438</v>
      </c>
      <c r="D142" s="25" t="str">
        <f t="shared" si="2"/>
        <v>1</v>
      </c>
      <c r="E142" s="26"/>
      <c r="F142" s="26">
        <v>1</v>
      </c>
      <c r="G142" s="26"/>
      <c r="H142" s="26"/>
      <c r="I142" s="26"/>
      <c r="J142" s="26"/>
      <c r="K142" s="26"/>
      <c r="L142" s="27"/>
      <c r="M142" s="27"/>
    </row>
    <row r="143" spans="1:41" x14ac:dyDescent="0.25">
      <c r="A143" s="51" t="s">
        <v>169</v>
      </c>
      <c r="B143" s="51" t="s">
        <v>485</v>
      </c>
      <c r="C143" s="51" t="s">
        <v>484</v>
      </c>
      <c r="D143" s="25" t="str">
        <f t="shared" si="2"/>
        <v>1</v>
      </c>
      <c r="E143" s="26"/>
      <c r="F143" s="26"/>
      <c r="G143" s="26">
        <v>1</v>
      </c>
      <c r="H143" s="26"/>
      <c r="I143" s="26"/>
      <c r="J143" s="26"/>
      <c r="K143" s="26"/>
      <c r="L143" s="27"/>
      <c r="M143" s="27"/>
    </row>
    <row r="144" spans="1:41" hidden="1" x14ac:dyDescent="0.25">
      <c r="A144"/>
      <c r="B144"/>
      <c r="C144"/>
      <c r="D144" s="49" t="str">
        <f t="shared" si="2"/>
        <v>0</v>
      </c>
    </row>
    <row r="145" spans="4:62" hidden="1" x14ac:dyDescent="0.25">
      <c r="D145" s="25" t="str">
        <f t="shared" si="2"/>
        <v>0</v>
      </c>
    </row>
    <row r="146" spans="4:62" hidden="1" x14ac:dyDescent="0.25">
      <c r="D146" s="25" t="str">
        <f t="shared" si="2"/>
        <v>0</v>
      </c>
    </row>
    <row r="147" spans="4:62" hidden="1" x14ac:dyDescent="0.25">
      <c r="D147" s="25" t="str">
        <f t="shared" si="2"/>
        <v>0</v>
      </c>
      <c r="P147" t="s">
        <v>388</v>
      </c>
      <c r="Q147" t="s">
        <v>389</v>
      </c>
      <c r="R147" t="s">
        <v>390</v>
      </c>
      <c r="S147" t="s">
        <v>391</v>
      </c>
      <c r="T147" t="s">
        <v>392</v>
      </c>
      <c r="U147" t="s">
        <v>393</v>
      </c>
      <c r="V147" t="s">
        <v>394</v>
      </c>
      <c r="W147" t="s">
        <v>395</v>
      </c>
      <c r="X147" t="s">
        <v>396</v>
      </c>
      <c r="Y147" t="s">
        <v>397</v>
      </c>
      <c r="Z147" t="s">
        <v>398</v>
      </c>
    </row>
    <row r="148" spans="4:62" hidden="1" x14ac:dyDescent="0.25">
      <c r="D148" s="25" t="str">
        <f t="shared" si="2"/>
        <v>0</v>
      </c>
      <c r="Q148" t="s">
        <v>399</v>
      </c>
      <c r="R148" t="s">
        <v>400</v>
      </c>
      <c r="V148" t="s">
        <v>401</v>
      </c>
      <c r="W148" t="s">
        <v>402</v>
      </c>
      <c r="X148" t="s">
        <v>403</v>
      </c>
      <c r="Y148" t="s">
        <v>404</v>
      </c>
      <c r="Z148" t="s">
        <v>405</v>
      </c>
      <c r="AA148" t="s">
        <v>404</v>
      </c>
    </row>
    <row r="149" spans="4:62" hidden="1" x14ac:dyDescent="0.25">
      <c r="D149" s="25" t="str">
        <f t="shared" si="2"/>
        <v>0</v>
      </c>
      <c r="Q149" t="s">
        <v>406</v>
      </c>
      <c r="R149" t="s">
        <v>407</v>
      </c>
      <c r="V149" t="s">
        <v>408</v>
      </c>
      <c r="W149" t="s">
        <v>409</v>
      </c>
      <c r="X149" t="s">
        <v>403</v>
      </c>
      <c r="Y149" t="s">
        <v>410</v>
      </c>
      <c r="Z149" t="s">
        <v>405</v>
      </c>
      <c r="AA149" t="s">
        <v>410</v>
      </c>
    </row>
    <row r="150" spans="4:62" hidden="1" x14ac:dyDescent="0.25">
      <c r="D150" s="25" t="str">
        <f t="shared" si="2"/>
        <v>0</v>
      </c>
      <c r="Q150" t="s">
        <v>411</v>
      </c>
      <c r="R150" t="s">
        <v>400</v>
      </c>
      <c r="V150" t="s">
        <v>412</v>
      </c>
      <c r="W150" t="s">
        <v>409</v>
      </c>
      <c r="X150" t="s">
        <v>403</v>
      </c>
      <c r="Y150" t="s">
        <v>413</v>
      </c>
      <c r="Z150" t="s">
        <v>405</v>
      </c>
      <c r="AA150" t="s">
        <v>413</v>
      </c>
    </row>
    <row r="151" spans="4:62" hidden="1" x14ac:dyDescent="0.25">
      <c r="D151" s="25" t="str">
        <f t="shared" si="2"/>
        <v>0</v>
      </c>
      <c r="Q151" t="s">
        <v>414</v>
      </c>
      <c r="R151" t="s">
        <v>400</v>
      </c>
      <c r="V151" t="s">
        <v>415</v>
      </c>
      <c r="W151" t="s">
        <v>409</v>
      </c>
      <c r="X151" t="s">
        <v>416</v>
      </c>
      <c r="Y151" t="s">
        <v>417</v>
      </c>
      <c r="Z151" t="s">
        <v>405</v>
      </c>
      <c r="AA151" t="s">
        <v>417</v>
      </c>
    </row>
    <row r="152" spans="4:62" hidden="1" x14ac:dyDescent="0.25">
      <c r="D152" s="25" t="str">
        <f t="shared" si="2"/>
        <v>0</v>
      </c>
      <c r="Q152" t="s">
        <v>414</v>
      </c>
      <c r="R152" t="s">
        <v>400</v>
      </c>
      <c r="V152" t="s">
        <v>418</v>
      </c>
      <c r="W152" t="s">
        <v>409</v>
      </c>
      <c r="X152" t="s">
        <v>416</v>
      </c>
      <c r="Y152" t="s">
        <v>419</v>
      </c>
      <c r="Z152" t="s">
        <v>405</v>
      </c>
      <c r="AA152" t="s">
        <v>419</v>
      </c>
    </row>
    <row r="153" spans="4:62" hidden="1" x14ac:dyDescent="0.25">
      <c r="D153" s="25" t="str">
        <f t="shared" si="2"/>
        <v>0</v>
      </c>
    </row>
    <row r="154" spans="4:62" hidden="1" x14ac:dyDescent="0.25">
      <c r="D154" s="25" t="str">
        <f t="shared" si="2"/>
        <v>0</v>
      </c>
    </row>
    <row r="155" spans="4:62" hidden="1" x14ac:dyDescent="0.25">
      <c r="D155" s="25" t="str">
        <f t="shared" si="2"/>
        <v>0</v>
      </c>
    </row>
    <row r="156" spans="4:62" hidden="1" x14ac:dyDescent="0.25">
      <c r="D156" s="25" t="str">
        <f t="shared" si="2"/>
        <v>0</v>
      </c>
      <c r="P156" t="s">
        <v>393</v>
      </c>
      <c r="Q156" t="s">
        <v>391</v>
      </c>
      <c r="R156" t="s">
        <v>392</v>
      </c>
      <c r="S156" t="s">
        <v>440</v>
      </c>
      <c r="T156" t="s">
        <v>441</v>
      </c>
      <c r="U156" t="s">
        <v>442</v>
      </c>
      <c r="V156" t="s">
        <v>443</v>
      </c>
      <c r="W156" t="s">
        <v>444</v>
      </c>
      <c r="X156" t="s">
        <v>445</v>
      </c>
      <c r="Y156" t="s">
        <v>446</v>
      </c>
      <c r="Z156" t="s">
        <v>447</v>
      </c>
      <c r="AA156" t="s">
        <v>448</v>
      </c>
      <c r="AB156" t="s">
        <v>449</v>
      </c>
      <c r="AC156" t="s">
        <v>450</v>
      </c>
      <c r="AD156" t="s">
        <v>451</v>
      </c>
      <c r="AE156" t="s">
        <v>452</v>
      </c>
      <c r="AF156" t="s">
        <v>453</v>
      </c>
      <c r="AG156" t="s">
        <v>454</v>
      </c>
      <c r="AH156" t="s">
        <v>455</v>
      </c>
      <c r="AI156" t="s">
        <v>456</v>
      </c>
      <c r="AJ156" t="s">
        <v>457</v>
      </c>
      <c r="AK156" t="s">
        <v>458</v>
      </c>
      <c r="AL156" t="s">
        <v>459</v>
      </c>
      <c r="AM156" t="s">
        <v>460</v>
      </c>
      <c r="AN156" t="s">
        <v>461</v>
      </c>
      <c r="AO156" t="s">
        <v>462</v>
      </c>
      <c r="AP156" t="s">
        <v>463</v>
      </c>
      <c r="AQ156" t="s">
        <v>464</v>
      </c>
      <c r="AR156" t="s">
        <v>465</v>
      </c>
      <c r="AS156" t="s">
        <v>466</v>
      </c>
      <c r="AT156" t="s">
        <v>467</v>
      </c>
      <c r="AU156" t="s">
        <v>468</v>
      </c>
      <c r="AV156" t="s">
        <v>469</v>
      </c>
      <c r="AW156" t="s">
        <v>470</v>
      </c>
      <c r="AX156" t="s">
        <v>471</v>
      </c>
      <c r="AY156" t="s">
        <v>472</v>
      </c>
      <c r="AZ156" t="s">
        <v>473</v>
      </c>
      <c r="BA156" t="s">
        <v>474</v>
      </c>
      <c r="BB156" t="s">
        <v>475</v>
      </c>
      <c r="BC156" t="s">
        <v>476</v>
      </c>
      <c r="BD156" t="s">
        <v>477</v>
      </c>
      <c r="BE156" t="s">
        <v>478</v>
      </c>
      <c r="BF156" t="s">
        <v>479</v>
      </c>
      <c r="BG156" t="s">
        <v>480</v>
      </c>
      <c r="BH156" t="s">
        <v>481</v>
      </c>
      <c r="BI156" t="s">
        <v>482</v>
      </c>
      <c r="BJ156" t="s">
        <v>483</v>
      </c>
    </row>
    <row r="157" spans="4:62" hidden="1" x14ac:dyDescent="0.25">
      <c r="D157" s="25" t="str">
        <f t="shared" si="2"/>
        <v>0</v>
      </c>
      <c r="Q157" t="s">
        <v>169</v>
      </c>
      <c r="S157" t="s">
        <v>486</v>
      </c>
      <c r="T157" t="str">
        <f>"0000000128209"</f>
        <v>0000000128209</v>
      </c>
      <c r="U157">
        <v>1</v>
      </c>
      <c r="V157" t="s">
        <v>400</v>
      </c>
      <c r="W157" t="s">
        <v>400</v>
      </c>
      <c r="X157" t="s">
        <v>400</v>
      </c>
      <c r="Y157" t="s">
        <v>400</v>
      </c>
      <c r="Z157" t="s">
        <v>487</v>
      </c>
      <c r="AA157" t="s">
        <v>405</v>
      </c>
      <c r="AB157" t="s">
        <v>488</v>
      </c>
      <c r="AD157" t="s">
        <v>405</v>
      </c>
      <c r="AE157" t="s">
        <v>400</v>
      </c>
      <c r="AF157">
        <v>13788</v>
      </c>
      <c r="AG157" t="s">
        <v>489</v>
      </c>
      <c r="AH157" t="s">
        <v>490</v>
      </c>
      <c r="AI157" t="s">
        <v>489</v>
      </c>
      <c r="AJ157" t="s">
        <v>490</v>
      </c>
      <c r="AK157" t="s">
        <v>405</v>
      </c>
      <c r="AL157" s="3">
        <v>43578</v>
      </c>
      <c r="AM157" t="s">
        <v>491</v>
      </c>
      <c r="AN157" t="s">
        <v>492</v>
      </c>
      <c r="AP157">
        <v>0</v>
      </c>
      <c r="AQ157" t="str">
        <f>"0000000128209"</f>
        <v>0000000128209</v>
      </c>
      <c r="AR157" t="s">
        <v>493</v>
      </c>
      <c r="AT157" s="3">
        <v>73050</v>
      </c>
      <c r="AU157" s="3">
        <v>73050</v>
      </c>
      <c r="AV157" t="s">
        <v>494</v>
      </c>
      <c r="AW157" t="s">
        <v>495</v>
      </c>
      <c r="AX157">
        <v>0</v>
      </c>
      <c r="AY157" t="s">
        <v>496</v>
      </c>
      <c r="AZ157">
        <v>0</v>
      </c>
      <c r="BA157">
        <v>0</v>
      </c>
      <c r="BB157" t="s">
        <v>497</v>
      </c>
      <c r="BC157" t="s">
        <v>496</v>
      </c>
      <c r="BD157" t="s">
        <v>405</v>
      </c>
      <c r="BE157">
        <v>0</v>
      </c>
      <c r="BF157" t="s">
        <v>405</v>
      </c>
      <c r="BH157" t="s">
        <v>498</v>
      </c>
      <c r="BI157" t="s">
        <v>499</v>
      </c>
    </row>
    <row r="158" spans="4:62" hidden="1" x14ac:dyDescent="0.25">
      <c r="D158" s="25" t="str">
        <f t="shared" si="2"/>
        <v>0</v>
      </c>
    </row>
    <row r="159" spans="4:62" hidden="1" x14ac:dyDescent="0.25">
      <c r="D159" s="25" t="str">
        <f t="shared" si="2"/>
        <v>0</v>
      </c>
    </row>
    <row r="160" spans="4:62" hidden="1" x14ac:dyDescent="0.25">
      <c r="D160" s="25" t="str">
        <f t="shared" si="2"/>
        <v>0</v>
      </c>
    </row>
    <row r="161" spans="1:13" hidden="1" x14ac:dyDescent="0.25">
      <c r="D161" s="25" t="str">
        <f t="shared" si="2"/>
        <v>0</v>
      </c>
    </row>
    <row r="162" spans="1:13" hidden="1" x14ac:dyDescent="0.25">
      <c r="D162" s="25" t="str">
        <f t="shared" si="2"/>
        <v>0</v>
      </c>
    </row>
    <row r="163" spans="1:13" hidden="1" x14ac:dyDescent="0.25">
      <c r="D163" s="25" t="str">
        <f t="shared" si="2"/>
        <v>0</v>
      </c>
    </row>
    <row r="164" spans="1:13" hidden="1" x14ac:dyDescent="0.25">
      <c r="D164" s="42" t="str">
        <f t="shared" si="2"/>
        <v>0</v>
      </c>
    </row>
    <row r="165" spans="1:13" x14ac:dyDescent="0.25">
      <c r="A165" s="52"/>
      <c r="B165" s="52"/>
      <c r="C165" s="52"/>
      <c r="D165" s="25"/>
      <c r="E165" s="26" t="s">
        <v>500</v>
      </c>
      <c r="F165" s="26" t="s">
        <v>501</v>
      </c>
      <c r="G165" s="26" t="s">
        <v>502</v>
      </c>
      <c r="H165" s="26" t="s">
        <v>503</v>
      </c>
      <c r="I165" s="26"/>
      <c r="J165" s="26"/>
      <c r="K165" s="26"/>
      <c r="L165" s="27"/>
      <c r="M165" s="27"/>
    </row>
  </sheetData>
  <autoFilter ref="A5:M164">
    <filterColumn colId="3">
      <filters>
        <filter val="1"/>
        <filter val="2"/>
        <filter val="3"/>
        <filter val="6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64" orientation="landscape" r:id="rId4"/>
  <drawing r:id="rId5"/>
  <legacyDrawing r:id="rId6"/>
  <controls>
    <mc:AlternateContent xmlns:mc="http://schemas.openxmlformats.org/markup-compatibility/2006">
      <mc:Choice Requires="x14">
        <control shapeId="73729" r:id="rId7" name="CommandButton1">
          <controlPr autoLine="0" r:id="rId8">
            <anchor moveWithCells="1">
              <from>
                <xdr:col>12</xdr:col>
                <xdr:colOff>371475</xdr:colOff>
                <xdr:row>1</xdr:row>
                <xdr:rowOff>47625</xdr:rowOff>
              </from>
              <to>
                <xdr:col>15</xdr:col>
                <xdr:colOff>180975</xdr:colOff>
                <xdr:row>2</xdr:row>
                <xdr:rowOff>171450</xdr:rowOff>
              </to>
            </anchor>
          </controlPr>
        </control>
      </mc:Choice>
      <mc:Fallback>
        <control shapeId="73729" r:id="rId7" name="CommandButton1"/>
      </mc:Fallback>
    </mc:AlternateContent>
    <mc:AlternateContent xmlns:mc="http://schemas.openxmlformats.org/markup-compatibility/2006">
      <mc:Choice Requires="x14">
        <control shapeId="73730" r:id="rId9" name="CommandButton2">
          <controlPr autoLine="0" r:id="rId10">
            <anchor moveWithCells="1">
              <from>
                <xdr:col>11</xdr:col>
                <xdr:colOff>123825</xdr:colOff>
                <xdr:row>0</xdr:row>
                <xdr:rowOff>104775</xdr:rowOff>
              </from>
              <to>
                <xdr:col>14</xdr:col>
                <xdr:colOff>0</xdr:colOff>
                <xdr:row>2</xdr:row>
                <xdr:rowOff>28575</xdr:rowOff>
              </to>
            </anchor>
          </controlPr>
        </control>
      </mc:Choice>
      <mc:Fallback>
        <control shapeId="73730" r:id="rId9" name="CommandButton2"/>
      </mc:Fallback>
    </mc:AlternateContent>
    <mc:AlternateContent xmlns:mc="http://schemas.openxmlformats.org/markup-compatibility/2006">
      <mc:Choice Requires="x14">
        <control shapeId="73731" r:id="rId11" name="CommandButton3">
          <controlPr autoLine="0" r:id="rId12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73731" r:id="rId11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8" filterMode="1">
    <tabColor rgb="FFFFC000"/>
    <pageSetUpPr fitToPage="1"/>
  </sheetPr>
  <dimension ref="A1:AO165"/>
  <sheetViews>
    <sheetView zoomScaleNormal="100" workbookViewId="0">
      <selection activeCell="C1" sqref="C1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1.5703125" style="23" bestFit="1" customWidth="1"/>
    <col min="5" max="5" width="6" style="21" bestFit="1" customWidth="1"/>
    <col min="6" max="6" width="6" style="20" bestFit="1" customWidth="1"/>
    <col min="7" max="11" width="6" style="32" bestFit="1" customWidth="1"/>
    <col min="12" max="13" width="6" style="22" bestFit="1" customWidth="1"/>
  </cols>
  <sheetData>
    <row r="1" spans="1:14" x14ac:dyDescent="0.25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14" x14ac:dyDescent="0.25">
      <c r="A2"/>
      <c r="B2"/>
      <c r="C2"/>
      <c r="D2"/>
      <c r="E2"/>
      <c r="F2"/>
      <c r="G2"/>
      <c r="H2"/>
      <c r="I2"/>
      <c r="J2"/>
      <c r="K2"/>
      <c r="L2"/>
      <c r="M2"/>
    </row>
    <row r="3" spans="1:14" x14ac:dyDescent="0.25">
      <c r="A3"/>
      <c r="B3"/>
      <c r="C3"/>
      <c r="D3"/>
      <c r="E3"/>
      <c r="F3"/>
      <c r="G3"/>
      <c r="H3"/>
      <c r="I3"/>
      <c r="J3"/>
      <c r="K3"/>
      <c r="L3"/>
      <c r="M3"/>
    </row>
    <row r="4" spans="1:14" s="36" customFormat="1" ht="93.75" x14ac:dyDescent="0.25">
      <c r="E4" s="39" t="s">
        <v>422</v>
      </c>
      <c r="F4" s="39" t="s">
        <v>423</v>
      </c>
      <c r="G4" s="39" t="s">
        <v>424</v>
      </c>
      <c r="H4" s="39" t="s">
        <v>426</v>
      </c>
      <c r="I4" s="39" t="s">
        <v>425</v>
      </c>
      <c r="J4" s="39" t="s">
        <v>427</v>
      </c>
      <c r="K4" s="39" t="s">
        <v>424</v>
      </c>
      <c r="L4" s="39"/>
      <c r="M4" s="39"/>
    </row>
    <row r="5" spans="1:14" s="36" customFormat="1" ht="98.25" customHeight="1" x14ac:dyDescent="0.25">
      <c r="A5" s="33"/>
      <c r="B5" s="33" t="s">
        <v>325</v>
      </c>
      <c r="C5" s="33" t="str">
        <f ca="1">MID(CELL("filename",A5),FIND("]",CELL("filename",A5))+1,256)</f>
        <v>batch46</v>
      </c>
      <c r="D5" s="34" t="s">
        <v>382</v>
      </c>
      <c r="E5" s="37">
        <v>70097.005000000005</v>
      </c>
      <c r="F5" s="37">
        <v>80082.017000000007</v>
      </c>
      <c r="G5" s="37">
        <v>70087.010999999999</v>
      </c>
      <c r="H5" s="37">
        <v>70087.005000000005</v>
      </c>
      <c r="I5" s="37">
        <v>80056.019</v>
      </c>
      <c r="J5" s="37">
        <v>80082.002999999997</v>
      </c>
      <c r="K5" s="38">
        <v>80049.004000000001</v>
      </c>
      <c r="L5" s="35" t="s">
        <v>421</v>
      </c>
      <c r="M5" s="38" t="s">
        <v>386</v>
      </c>
    </row>
    <row r="6" spans="1:14" ht="17.25" hidden="1" customHeight="1" x14ac:dyDescent="0.25">
      <c r="A6" s="28" t="s">
        <v>307</v>
      </c>
      <c r="B6" s="28" t="s">
        <v>324</v>
      </c>
      <c r="C6" s="28" t="s">
        <v>323</v>
      </c>
      <c r="D6" s="25" t="str">
        <f>(E6+F6+L6+G6+H6+I6+J6+K6) &amp;M6</f>
        <v>0</v>
      </c>
      <c r="E6" s="26"/>
      <c r="F6" s="26"/>
      <c r="G6" s="26"/>
      <c r="H6" s="26"/>
      <c r="I6" s="26"/>
      <c r="J6" s="26"/>
      <c r="K6" s="26"/>
      <c r="L6" s="27"/>
      <c r="M6" s="27"/>
    </row>
    <row r="7" spans="1:14" ht="18" customHeight="1" x14ac:dyDescent="0.25">
      <c r="A7" s="28" t="s">
        <v>314</v>
      </c>
      <c r="B7" s="28" t="s">
        <v>315</v>
      </c>
      <c r="C7" s="28" t="s">
        <v>365</v>
      </c>
      <c r="D7" s="25" t="str">
        <f t="shared" ref="D7:D70" si="0">(E7+F7+L7+G7+H7+I7+J7+K7) &amp;M7</f>
        <v>2</v>
      </c>
      <c r="E7" s="26">
        <v>1</v>
      </c>
      <c r="F7" s="26"/>
      <c r="G7" s="26"/>
      <c r="H7" s="26"/>
      <c r="I7" s="26">
        <v>1</v>
      </c>
      <c r="J7" s="26"/>
      <c r="K7" s="26"/>
      <c r="L7" s="27"/>
      <c r="M7" s="27"/>
    </row>
    <row r="8" spans="1:14" ht="18" hidden="1" customHeight="1" x14ac:dyDescent="0.25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  <c r="I8" s="27"/>
      <c r="J8" s="27"/>
      <c r="K8" s="27"/>
      <c r="L8" s="27"/>
      <c r="M8" s="27"/>
    </row>
    <row r="9" spans="1:14" ht="18" hidden="1" customHeight="1" x14ac:dyDescent="0.25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  <c r="I9" s="27"/>
      <c r="J9" s="27"/>
      <c r="K9" s="27"/>
      <c r="L9" s="27"/>
      <c r="M9" s="27"/>
    </row>
    <row r="10" spans="1:14" ht="18" hidden="1" customHeight="1" x14ac:dyDescent="0.25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  <c r="I10" s="27"/>
      <c r="J10" s="27"/>
      <c r="K10" s="27"/>
      <c r="L10" s="27"/>
      <c r="M10" s="27"/>
    </row>
    <row r="11" spans="1:14" ht="18" hidden="1" customHeight="1" x14ac:dyDescent="0.25">
      <c r="A11" s="29" t="s">
        <v>52</v>
      </c>
      <c r="B11" s="29" t="s">
        <v>53</v>
      </c>
      <c r="C11" s="29" t="s">
        <v>54</v>
      </c>
      <c r="D11" s="25" t="str">
        <f t="shared" si="0"/>
        <v>0</v>
      </c>
      <c r="E11" s="27"/>
      <c r="F11" s="27"/>
      <c r="G11" s="27"/>
      <c r="H11" s="27"/>
      <c r="I11" s="27"/>
      <c r="J11" s="27"/>
      <c r="K11" s="27"/>
      <c r="L11" s="27"/>
      <c r="M11" s="27"/>
    </row>
    <row r="12" spans="1:14" ht="18" hidden="1" customHeight="1" x14ac:dyDescent="0.25">
      <c r="A12" s="29" t="s">
        <v>138</v>
      </c>
      <c r="B12" s="29" t="s">
        <v>160</v>
      </c>
      <c r="C12" s="29" t="s">
        <v>159</v>
      </c>
      <c r="D12" s="25" t="str">
        <f t="shared" si="0"/>
        <v>0</v>
      </c>
      <c r="E12" s="27"/>
      <c r="F12" s="27"/>
      <c r="G12" s="27"/>
      <c r="H12" s="27"/>
      <c r="I12" s="27"/>
      <c r="J12" s="27"/>
      <c r="K12" s="27"/>
      <c r="L12" s="27"/>
      <c r="M12" s="27"/>
    </row>
    <row r="13" spans="1:14" ht="18" customHeight="1" x14ac:dyDescent="0.25">
      <c r="A13" s="29" t="s">
        <v>138</v>
      </c>
      <c r="B13" s="29" t="s">
        <v>162</v>
      </c>
      <c r="C13" s="29" t="s">
        <v>161</v>
      </c>
      <c r="D13" s="25" t="str">
        <f t="shared" si="0"/>
        <v>1</v>
      </c>
      <c r="E13" s="27"/>
      <c r="F13" s="27">
        <v>1</v>
      </c>
      <c r="G13" s="27"/>
      <c r="H13" s="27"/>
      <c r="I13" s="27"/>
      <c r="J13" s="27"/>
      <c r="K13" s="27"/>
      <c r="L13" s="27"/>
      <c r="M13" s="27"/>
    </row>
    <row r="14" spans="1:14" ht="18" hidden="1" customHeight="1" x14ac:dyDescent="0.25">
      <c r="A14" s="29" t="s">
        <v>138</v>
      </c>
      <c r="B14" s="29" t="s">
        <v>139</v>
      </c>
      <c r="C14" s="29" t="s">
        <v>140</v>
      </c>
      <c r="D14" s="25" t="str">
        <f t="shared" si="0"/>
        <v>0</v>
      </c>
      <c r="E14" s="27"/>
      <c r="F14" s="27"/>
      <c r="G14" s="27"/>
      <c r="H14" s="27"/>
      <c r="I14" s="27"/>
      <c r="J14" s="27"/>
      <c r="K14" s="27"/>
      <c r="L14" s="27"/>
      <c r="M14" s="27"/>
    </row>
    <row r="15" spans="1:14" ht="18" hidden="1" customHeight="1" x14ac:dyDescent="0.25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  <c r="I15" s="27"/>
      <c r="J15" s="27"/>
      <c r="K15" s="27"/>
      <c r="L15" s="27"/>
      <c r="M15" s="27"/>
    </row>
    <row r="16" spans="1:14" ht="18" hidden="1" customHeight="1" x14ac:dyDescent="0.25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8" customHeight="1" x14ac:dyDescent="0.25">
      <c r="A17" s="29" t="s">
        <v>268</v>
      </c>
      <c r="B17" s="29" t="s">
        <v>337</v>
      </c>
      <c r="C17" s="29" t="s">
        <v>338</v>
      </c>
      <c r="D17" s="25" t="str">
        <f t="shared" si="0"/>
        <v>2</v>
      </c>
      <c r="E17" s="27"/>
      <c r="F17" s="27">
        <v>1</v>
      </c>
      <c r="G17" s="27"/>
      <c r="H17" s="27"/>
      <c r="I17" s="27"/>
      <c r="J17" s="27"/>
      <c r="K17" s="27">
        <v>1</v>
      </c>
      <c r="L17" s="27"/>
      <c r="M17" s="27"/>
    </row>
    <row r="18" spans="1:13" ht="18" hidden="1" customHeight="1" x14ac:dyDescent="0.25">
      <c r="A18" s="29" t="s">
        <v>268</v>
      </c>
      <c r="B18" s="29" t="s">
        <v>269</v>
      </c>
      <c r="C18" s="29" t="s">
        <v>336</v>
      </c>
      <c r="D18" s="25" t="str">
        <f t="shared" si="0"/>
        <v>0</v>
      </c>
      <c r="E18" s="27"/>
      <c r="F18" s="27"/>
      <c r="G18" s="27"/>
      <c r="H18" s="27"/>
      <c r="I18" s="27"/>
      <c r="J18" s="27"/>
      <c r="K18" s="27"/>
      <c r="L18" s="27"/>
      <c r="M18" s="27"/>
    </row>
    <row r="19" spans="1:13" ht="18" hidden="1" customHeight="1" x14ac:dyDescent="0.25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8" hidden="1" customHeight="1" x14ac:dyDescent="0.25">
      <c r="A20" s="29" t="s">
        <v>107</v>
      </c>
      <c r="B20" s="29" t="s">
        <v>112</v>
      </c>
      <c r="C20" s="29" t="s">
        <v>312</v>
      </c>
      <c r="D20" s="25" t="str">
        <f t="shared" si="0"/>
        <v>0</v>
      </c>
      <c r="E20" s="27"/>
      <c r="F20" s="27"/>
      <c r="G20" s="27"/>
      <c r="H20" s="27"/>
      <c r="I20" s="27"/>
      <c r="J20" s="27"/>
      <c r="K20" s="27"/>
      <c r="L20" s="27"/>
      <c r="M20" s="27"/>
    </row>
    <row r="21" spans="1:13" ht="18" hidden="1" customHeight="1" x14ac:dyDescent="0.25">
      <c r="A21" s="29" t="s">
        <v>9</v>
      </c>
      <c r="B21" s="29" t="s">
        <v>166</v>
      </c>
      <c r="C21" s="29" t="s">
        <v>310</v>
      </c>
      <c r="D21" s="25" t="str">
        <f t="shared" si="0"/>
        <v>0</v>
      </c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8" hidden="1" customHeight="1" x14ac:dyDescent="0.25">
      <c r="A22" s="29" t="s">
        <v>9</v>
      </c>
      <c r="B22" s="29" t="s">
        <v>168</v>
      </c>
      <c r="C22" s="29" t="s">
        <v>311</v>
      </c>
      <c r="D22" s="25" t="str">
        <f t="shared" si="0"/>
        <v>0</v>
      </c>
      <c r="E22" s="27"/>
      <c r="F22" s="27"/>
      <c r="G22" s="27"/>
      <c r="H22" s="27"/>
      <c r="I22" s="27"/>
      <c r="J22" s="27"/>
      <c r="K22" s="27"/>
      <c r="L22" s="27"/>
      <c r="M22" s="27"/>
    </row>
    <row r="23" spans="1:13" ht="18" customHeight="1" x14ac:dyDescent="0.25">
      <c r="A23" s="29" t="s">
        <v>9</v>
      </c>
      <c r="B23" s="29" t="s">
        <v>155</v>
      </c>
      <c r="C23" s="29" t="s">
        <v>156</v>
      </c>
      <c r="D23" s="25" t="str">
        <f t="shared" si="0"/>
        <v>1</v>
      </c>
      <c r="E23" s="27"/>
      <c r="F23" s="27"/>
      <c r="G23" s="27"/>
      <c r="H23" s="27"/>
      <c r="I23" s="27">
        <v>1</v>
      </c>
      <c r="J23" s="27"/>
      <c r="K23" s="27"/>
      <c r="L23" s="27"/>
      <c r="M23" s="27"/>
    </row>
    <row r="24" spans="1:13" ht="18" hidden="1" customHeight="1" x14ac:dyDescent="0.25">
      <c r="A24" s="29" t="s">
        <v>138</v>
      </c>
      <c r="B24" s="29" t="s">
        <v>149</v>
      </c>
      <c r="C24" s="29" t="s">
        <v>345</v>
      </c>
      <c r="D24" s="25" t="str">
        <f t="shared" si="0"/>
        <v>0</v>
      </c>
      <c r="E24" s="27"/>
      <c r="F24" s="27"/>
      <c r="G24" s="27"/>
      <c r="H24" s="27"/>
      <c r="I24" s="27"/>
      <c r="J24" s="27"/>
      <c r="K24" s="27"/>
      <c r="L24" s="27"/>
      <c r="M24" s="27"/>
    </row>
    <row r="25" spans="1:13" ht="18" hidden="1" customHeight="1" x14ac:dyDescent="0.25">
      <c r="A25" s="29" t="s">
        <v>352</v>
      </c>
      <c r="B25" s="29" t="s">
        <v>352</v>
      </c>
      <c r="C25" s="29" t="s">
        <v>366</v>
      </c>
      <c r="D25" s="25" t="str">
        <f t="shared" si="0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13" ht="18" hidden="1" customHeight="1" x14ac:dyDescent="0.25">
      <c r="A26" s="29" t="s">
        <v>4</v>
      </c>
      <c r="B26" s="29" t="s">
        <v>188</v>
      </c>
      <c r="C26" s="29" t="s">
        <v>189</v>
      </c>
      <c r="D26" s="25" t="str">
        <f t="shared" si="0"/>
        <v>0</v>
      </c>
      <c r="E26" s="27"/>
      <c r="F26" s="27"/>
      <c r="G26" s="27"/>
      <c r="H26" s="27"/>
      <c r="I26" s="27"/>
      <c r="J26" s="27"/>
      <c r="K26" s="27"/>
      <c r="L26" s="27"/>
      <c r="M26" s="27"/>
    </row>
    <row r="27" spans="1:13" ht="18" customHeight="1" x14ac:dyDescent="0.25">
      <c r="A27" s="29" t="s">
        <v>129</v>
      </c>
      <c r="B27" s="29" t="s">
        <v>130</v>
      </c>
      <c r="C27" s="29" t="s">
        <v>131</v>
      </c>
      <c r="D27" s="25" t="str">
        <f t="shared" si="0"/>
        <v>3</v>
      </c>
      <c r="E27" s="27">
        <v>1</v>
      </c>
      <c r="F27" s="27">
        <v>1</v>
      </c>
      <c r="G27" s="27">
        <v>1</v>
      </c>
      <c r="H27" s="27"/>
      <c r="I27" s="27"/>
      <c r="J27" s="27"/>
      <c r="K27" s="27"/>
      <c r="L27" s="27"/>
      <c r="M27" s="27"/>
    </row>
    <row r="28" spans="1:13" ht="18" customHeight="1" x14ac:dyDescent="0.25">
      <c r="A28" s="29" t="s">
        <v>138</v>
      </c>
      <c r="B28" s="29" t="s">
        <v>143</v>
      </c>
      <c r="C28" s="29" t="s">
        <v>144</v>
      </c>
      <c r="D28" s="25" t="str">
        <f t="shared" si="0"/>
        <v>4</v>
      </c>
      <c r="E28" s="27"/>
      <c r="F28" s="27"/>
      <c r="G28" s="27">
        <v>1</v>
      </c>
      <c r="H28" s="27"/>
      <c r="I28" s="27">
        <v>1</v>
      </c>
      <c r="J28" s="27">
        <v>1</v>
      </c>
      <c r="K28" s="27">
        <v>1</v>
      </c>
      <c r="L28" s="27"/>
      <c r="M28" s="27"/>
    </row>
    <row r="29" spans="1:13" ht="18" hidden="1" customHeight="1" x14ac:dyDescent="0.25">
      <c r="A29" s="29" t="s">
        <v>4</v>
      </c>
      <c r="B29" s="29" t="s">
        <v>85</v>
      </c>
      <c r="C29" s="29" t="s">
        <v>86</v>
      </c>
      <c r="D29" s="25" t="str">
        <f t="shared" si="0"/>
        <v>0</v>
      </c>
      <c r="E29" s="27"/>
      <c r="F29" s="27"/>
      <c r="G29" s="27"/>
      <c r="H29" s="27"/>
      <c r="I29" s="27"/>
      <c r="J29" s="27"/>
      <c r="K29" s="27"/>
      <c r="L29" s="27"/>
      <c r="M29" s="27"/>
    </row>
    <row r="30" spans="1:13" ht="18" hidden="1" customHeight="1" x14ac:dyDescent="0.25">
      <c r="A30" s="29" t="s">
        <v>9</v>
      </c>
      <c r="B30" s="29" t="s">
        <v>25</v>
      </c>
      <c r="C30" s="29" t="s">
        <v>313</v>
      </c>
      <c r="D30" s="25" t="str">
        <f t="shared" si="0"/>
        <v>0</v>
      </c>
      <c r="E30" s="27"/>
      <c r="F30" s="27"/>
      <c r="G30" s="27"/>
      <c r="H30" s="27"/>
      <c r="I30" s="27"/>
      <c r="J30" s="27"/>
      <c r="K30" s="27"/>
      <c r="L30" s="27"/>
      <c r="M30" s="27"/>
    </row>
    <row r="31" spans="1:13" ht="18" customHeight="1" x14ac:dyDescent="0.25">
      <c r="A31" s="30" t="s">
        <v>52</v>
      </c>
      <c r="B31" s="30" t="s">
        <v>213</v>
      </c>
      <c r="C31" s="30" t="s">
        <v>214</v>
      </c>
      <c r="D31" s="25" t="str">
        <f t="shared" si="0"/>
        <v>9</v>
      </c>
      <c r="E31" s="27"/>
      <c r="F31" s="27"/>
      <c r="G31" s="27"/>
      <c r="H31" s="27"/>
      <c r="I31" s="27"/>
      <c r="J31" s="27"/>
      <c r="K31" s="27"/>
      <c r="L31" s="27">
        <v>9</v>
      </c>
      <c r="M31" s="27"/>
    </row>
    <row r="32" spans="1:13" ht="18" hidden="1" customHeight="1" x14ac:dyDescent="0.25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  <c r="I32" s="27"/>
      <c r="J32" s="27"/>
      <c r="K32" s="27"/>
      <c r="L32" s="27"/>
      <c r="M32" s="27"/>
    </row>
    <row r="33" spans="1:13" ht="18" hidden="1" customHeight="1" x14ac:dyDescent="0.25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hidden="1" customHeight="1" x14ac:dyDescent="0.25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hidden="1" x14ac:dyDescent="0.25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hidden="1" x14ac:dyDescent="0.25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hidden="1" x14ac:dyDescent="0.25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hidden="1" x14ac:dyDescent="0.25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hidden="1" x14ac:dyDescent="0.25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hidden="1" x14ac:dyDescent="0.25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hidden="1" x14ac:dyDescent="0.25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hidden="1" x14ac:dyDescent="0.25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hidden="1" x14ac:dyDescent="0.25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hidden="1" x14ac:dyDescent="0.25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hidden="1" x14ac:dyDescent="0.25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hidden="1" x14ac:dyDescent="0.25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hidden="1" x14ac:dyDescent="0.25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hidden="1" x14ac:dyDescent="0.25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hidden="1" x14ac:dyDescent="0.25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hidden="1" x14ac:dyDescent="0.25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hidden="1" x14ac:dyDescent="0.25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hidden="1" x14ac:dyDescent="0.25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hidden="1" x14ac:dyDescent="0.25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hidden="1" x14ac:dyDescent="0.25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hidden="1" x14ac:dyDescent="0.25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hidden="1" x14ac:dyDescent="0.25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hidden="1" x14ac:dyDescent="0.25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hidden="1" x14ac:dyDescent="0.25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hidden="1" x14ac:dyDescent="0.25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hidden="1" x14ac:dyDescent="0.25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hidden="1" x14ac:dyDescent="0.25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hidden="1" x14ac:dyDescent="0.25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hidden="1" x14ac:dyDescent="0.25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hidden="1" x14ac:dyDescent="0.25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hidden="1" x14ac:dyDescent="0.25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hidden="1" x14ac:dyDescent="0.25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hidden="1" x14ac:dyDescent="0.25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hidden="1" x14ac:dyDescent="0.25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hidden="1" x14ac:dyDescent="0.25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hidden="1" x14ac:dyDescent="0.25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hidden="1" x14ac:dyDescent="0.25">
      <c r="A71" s="30" t="s">
        <v>66</v>
      </c>
      <c r="B71" s="30" t="s">
        <v>71</v>
      </c>
      <c r="C71" s="30" t="s">
        <v>72</v>
      </c>
      <c r="D71" s="25" t="str">
        <f t="shared" ref="D71:D134" si="1">(E71+F71+L71+G71+H71+I71+J71+K71) &amp;M71</f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hidden="1" x14ac:dyDescent="0.25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hidden="1" x14ac:dyDescent="0.25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hidden="1" x14ac:dyDescent="0.25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hidden="1" x14ac:dyDescent="0.25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hidden="1" x14ac:dyDescent="0.25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hidden="1" x14ac:dyDescent="0.25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hidden="1" x14ac:dyDescent="0.25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hidden="1" x14ac:dyDescent="0.25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hidden="1" x14ac:dyDescent="0.25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hidden="1" x14ac:dyDescent="0.25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hidden="1" x14ac:dyDescent="0.25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hidden="1" x14ac:dyDescent="0.25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hidden="1" x14ac:dyDescent="0.25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hidden="1" x14ac:dyDescent="0.25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hidden="1" x14ac:dyDescent="0.25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hidden="1" x14ac:dyDescent="0.25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hidden="1" x14ac:dyDescent="0.25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hidden="1" x14ac:dyDescent="0.25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hidden="1" x14ac:dyDescent="0.25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hidden="1" x14ac:dyDescent="0.25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hidden="1" x14ac:dyDescent="0.25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hidden="1" x14ac:dyDescent="0.25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I93" s="27"/>
      <c r="J93" s="27"/>
      <c r="K93" s="27"/>
      <c r="L93" s="27"/>
      <c r="M93" s="27"/>
      <c r="AB93" s="3"/>
      <c r="AJ93" s="3"/>
      <c r="AK93" s="3"/>
    </row>
    <row r="94" spans="1:37" hidden="1" x14ac:dyDescent="0.25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I94" s="27"/>
      <c r="J94" s="27"/>
      <c r="K94" s="27"/>
      <c r="L94" s="27"/>
      <c r="M94" s="27"/>
      <c r="AB94" s="3"/>
      <c r="AJ94" s="3"/>
      <c r="AK94" s="3"/>
    </row>
    <row r="95" spans="1:37" hidden="1" x14ac:dyDescent="0.25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hidden="1" x14ac:dyDescent="0.25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hidden="1" x14ac:dyDescent="0.25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hidden="1" x14ac:dyDescent="0.25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  <c r="I98" s="27"/>
      <c r="J98" s="27"/>
      <c r="K98" s="27"/>
      <c r="L98" s="27"/>
      <c r="M98" s="27"/>
    </row>
    <row r="99" spans="1:37" hidden="1" x14ac:dyDescent="0.25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  <c r="I99" s="27"/>
      <c r="J99" s="27"/>
      <c r="K99" s="27"/>
      <c r="L99" s="27"/>
      <c r="M99" s="27"/>
    </row>
    <row r="100" spans="1:37" hidden="1" x14ac:dyDescent="0.25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hidden="1" x14ac:dyDescent="0.25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hidden="1" x14ac:dyDescent="0.25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hidden="1" x14ac:dyDescent="0.25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hidden="1" x14ac:dyDescent="0.25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hidden="1" x14ac:dyDescent="0.25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hidden="1" x14ac:dyDescent="0.25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hidden="1" x14ac:dyDescent="0.25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hidden="1" x14ac:dyDescent="0.25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hidden="1" x14ac:dyDescent="0.25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hidden="1" x14ac:dyDescent="0.25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hidden="1" x14ac:dyDescent="0.25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  <c r="I111" s="27"/>
      <c r="J111" s="27"/>
      <c r="K111" s="27"/>
      <c r="L111" s="27"/>
      <c r="M111" s="27"/>
    </row>
    <row r="112" spans="1:37" hidden="1" x14ac:dyDescent="0.25">
      <c r="A112" s="30" t="s">
        <v>107</v>
      </c>
      <c r="B112" s="30" t="s">
        <v>110</v>
      </c>
      <c r="C112" s="30" t="s">
        <v>111</v>
      </c>
      <c r="D112" s="25" t="str">
        <f t="shared" si="1"/>
        <v>0</v>
      </c>
      <c r="E112" s="27"/>
      <c r="F112" s="27"/>
      <c r="G112" s="27"/>
      <c r="H112" s="27"/>
      <c r="I112" s="27"/>
      <c r="J112" s="27"/>
      <c r="K112" s="27"/>
      <c r="L112" s="27"/>
      <c r="M112" s="27"/>
    </row>
    <row r="113" spans="1:13" hidden="1" x14ac:dyDescent="0.25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  <c r="I113" s="27"/>
      <c r="J113" s="27"/>
      <c r="K113" s="27"/>
      <c r="L113" s="27"/>
      <c r="M113" s="27"/>
    </row>
    <row r="114" spans="1:13" hidden="1" x14ac:dyDescent="0.25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hidden="1" x14ac:dyDescent="0.25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hidden="1" x14ac:dyDescent="0.25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hidden="1" x14ac:dyDescent="0.25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hidden="1" x14ac:dyDescent="0.25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hidden="1" x14ac:dyDescent="0.25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hidden="1" x14ac:dyDescent="0.25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hidden="1" x14ac:dyDescent="0.25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hidden="1" x14ac:dyDescent="0.25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hidden="1" x14ac:dyDescent="0.25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hidden="1" x14ac:dyDescent="0.25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hidden="1" x14ac:dyDescent="0.25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hidden="1" x14ac:dyDescent="0.25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hidden="1" x14ac:dyDescent="0.25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hidden="1" x14ac:dyDescent="0.25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41" hidden="1" x14ac:dyDescent="0.25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41" hidden="1" x14ac:dyDescent="0.25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41" hidden="1" x14ac:dyDescent="0.25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41" hidden="1" x14ac:dyDescent="0.25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41" hidden="1" x14ac:dyDescent="0.25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41" hidden="1" x14ac:dyDescent="0.25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41" hidden="1" x14ac:dyDescent="0.25">
      <c r="A135" s="30" t="s">
        <v>14</v>
      </c>
      <c r="B135" s="30" t="s">
        <v>17</v>
      </c>
      <c r="C135" s="30" t="s">
        <v>18</v>
      </c>
      <c r="D135" s="25" t="str">
        <f t="shared" ref="D135:D164" si="2">(E135+F135+L135+G135+H135+I135+J135+K135) &amp;M135</f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41" hidden="1" x14ac:dyDescent="0.25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41" hidden="1" x14ac:dyDescent="0.25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41" hidden="1" x14ac:dyDescent="0.25">
      <c r="A138" s="30" t="s">
        <v>36</v>
      </c>
      <c r="B138" s="30" t="s">
        <v>37</v>
      </c>
      <c r="C138" s="30" t="s">
        <v>38</v>
      </c>
      <c r="D138" s="25" t="str">
        <f t="shared" si="2"/>
        <v>0</v>
      </c>
      <c r="E138" s="27"/>
      <c r="F138" s="27"/>
      <c r="G138" s="27"/>
      <c r="H138" s="27"/>
      <c r="I138" s="27"/>
      <c r="J138" s="27"/>
      <c r="K138" s="27"/>
      <c r="L138" s="27"/>
      <c r="M138" s="27"/>
      <c r="AF138" s="3"/>
      <c r="AN138" s="3"/>
      <c r="AO138" s="3"/>
    </row>
    <row r="139" spans="1:41" hidden="1" x14ac:dyDescent="0.25">
      <c r="A139" s="30" t="s">
        <v>383</v>
      </c>
      <c r="B139" s="30" t="s">
        <v>384</v>
      </c>
      <c r="C139" s="30" t="s">
        <v>385</v>
      </c>
      <c r="D139" s="25" t="str">
        <f t="shared" si="2"/>
        <v>0</v>
      </c>
      <c r="E139" s="27"/>
      <c r="F139" s="27"/>
      <c r="G139" s="27"/>
      <c r="H139" s="27"/>
      <c r="I139" s="27"/>
      <c r="J139" s="27"/>
      <c r="K139" s="27"/>
      <c r="L139" s="27"/>
      <c r="M139" s="27"/>
      <c r="AF139" s="3"/>
      <c r="AN139" s="3"/>
      <c r="AO139" s="3"/>
    </row>
    <row r="140" spans="1:41" hidden="1" x14ac:dyDescent="0.25">
      <c r="A140" t="s">
        <v>30</v>
      </c>
      <c r="B140" t="s">
        <v>39</v>
      </c>
      <c r="C140" t="s">
        <v>40</v>
      </c>
      <c r="D140" s="25" t="str">
        <f t="shared" si="2"/>
        <v>0</v>
      </c>
      <c r="AF140" s="3"/>
      <c r="AN140" s="3"/>
      <c r="AO140" s="3"/>
    </row>
    <row r="141" spans="1:41" hidden="1" x14ac:dyDescent="0.25">
      <c r="A141" t="s">
        <v>41</v>
      </c>
      <c r="B141" t="s">
        <v>42</v>
      </c>
      <c r="C141" t="s">
        <v>43</v>
      </c>
      <c r="D141" s="25" t="str">
        <f t="shared" si="2"/>
        <v>0</v>
      </c>
    </row>
    <row r="142" spans="1:41" hidden="1" x14ac:dyDescent="0.25">
      <c r="A142"/>
      <c r="B142"/>
      <c r="C142"/>
      <c r="D142" s="25" t="str">
        <f t="shared" si="2"/>
        <v>0</v>
      </c>
    </row>
    <row r="143" spans="1:41" hidden="1" x14ac:dyDescent="0.25">
      <c r="A143"/>
      <c r="B143"/>
      <c r="C143"/>
      <c r="D143" s="25" t="str">
        <f t="shared" si="2"/>
        <v>0</v>
      </c>
    </row>
    <row r="144" spans="1:41" hidden="1" x14ac:dyDescent="0.25">
      <c r="A144"/>
      <c r="B144"/>
      <c r="C144"/>
      <c r="D144" s="25" t="str">
        <f t="shared" si="2"/>
        <v>0</v>
      </c>
    </row>
    <row r="145" spans="4:27" hidden="1" x14ac:dyDescent="0.25">
      <c r="D145" s="25" t="str">
        <f t="shared" si="2"/>
        <v>0</v>
      </c>
    </row>
    <row r="146" spans="4:27" hidden="1" x14ac:dyDescent="0.25">
      <c r="D146" s="25" t="str">
        <f t="shared" si="2"/>
        <v>0</v>
      </c>
    </row>
    <row r="147" spans="4:27" hidden="1" x14ac:dyDescent="0.25">
      <c r="D147" s="25" t="str">
        <f t="shared" si="2"/>
        <v>0</v>
      </c>
      <c r="P147" t="s">
        <v>388</v>
      </c>
      <c r="Q147" t="s">
        <v>389</v>
      </c>
      <c r="R147" t="s">
        <v>390</v>
      </c>
      <c r="S147" t="s">
        <v>391</v>
      </c>
      <c r="T147" t="s">
        <v>392</v>
      </c>
      <c r="U147" t="s">
        <v>393</v>
      </c>
      <c r="V147" t="s">
        <v>394</v>
      </c>
      <c r="W147" t="s">
        <v>395</v>
      </c>
      <c r="X147" t="s">
        <v>396</v>
      </c>
      <c r="Y147" t="s">
        <v>397</v>
      </c>
      <c r="Z147" t="s">
        <v>398</v>
      </c>
    </row>
    <row r="148" spans="4:27" hidden="1" x14ac:dyDescent="0.25">
      <c r="D148" s="25" t="str">
        <f t="shared" si="2"/>
        <v>0</v>
      </c>
      <c r="Q148" t="s">
        <v>399</v>
      </c>
      <c r="R148" t="s">
        <v>400</v>
      </c>
      <c r="V148" t="s">
        <v>401</v>
      </c>
      <c r="W148" t="s">
        <v>402</v>
      </c>
      <c r="X148" t="s">
        <v>403</v>
      </c>
      <c r="Y148" t="s">
        <v>404</v>
      </c>
      <c r="Z148" t="s">
        <v>405</v>
      </c>
      <c r="AA148" t="s">
        <v>404</v>
      </c>
    </row>
    <row r="149" spans="4:27" hidden="1" x14ac:dyDescent="0.25">
      <c r="D149" s="25" t="str">
        <f t="shared" si="2"/>
        <v>0</v>
      </c>
      <c r="Q149" t="s">
        <v>406</v>
      </c>
      <c r="R149" t="s">
        <v>407</v>
      </c>
      <c r="V149" t="s">
        <v>408</v>
      </c>
      <c r="W149" t="s">
        <v>409</v>
      </c>
      <c r="X149" t="s">
        <v>403</v>
      </c>
      <c r="Y149" t="s">
        <v>410</v>
      </c>
      <c r="Z149" t="s">
        <v>405</v>
      </c>
      <c r="AA149" t="s">
        <v>410</v>
      </c>
    </row>
    <row r="150" spans="4:27" hidden="1" x14ac:dyDescent="0.25">
      <c r="D150" s="25" t="str">
        <f t="shared" si="2"/>
        <v>0</v>
      </c>
      <c r="Q150" t="s">
        <v>411</v>
      </c>
      <c r="R150" t="s">
        <v>400</v>
      </c>
      <c r="V150" t="s">
        <v>412</v>
      </c>
      <c r="W150" t="s">
        <v>409</v>
      </c>
      <c r="X150" t="s">
        <v>403</v>
      </c>
      <c r="Y150" t="s">
        <v>413</v>
      </c>
      <c r="Z150" t="s">
        <v>405</v>
      </c>
      <c r="AA150" t="s">
        <v>413</v>
      </c>
    </row>
    <row r="151" spans="4:27" hidden="1" x14ac:dyDescent="0.25">
      <c r="D151" s="25" t="str">
        <f t="shared" si="2"/>
        <v>0</v>
      </c>
      <c r="Q151" t="s">
        <v>414</v>
      </c>
      <c r="R151" t="s">
        <v>400</v>
      </c>
      <c r="V151" t="s">
        <v>415</v>
      </c>
      <c r="W151" t="s">
        <v>409</v>
      </c>
      <c r="X151" t="s">
        <v>416</v>
      </c>
      <c r="Y151" t="s">
        <v>417</v>
      </c>
      <c r="Z151" t="s">
        <v>405</v>
      </c>
      <c r="AA151" t="s">
        <v>417</v>
      </c>
    </row>
    <row r="152" spans="4:27" hidden="1" x14ac:dyDescent="0.25">
      <c r="D152" s="25" t="str">
        <f t="shared" si="2"/>
        <v>0</v>
      </c>
      <c r="Q152" t="s">
        <v>414</v>
      </c>
      <c r="R152" t="s">
        <v>400</v>
      </c>
      <c r="V152" t="s">
        <v>418</v>
      </c>
      <c r="W152" t="s">
        <v>409</v>
      </c>
      <c r="X152" t="s">
        <v>416</v>
      </c>
      <c r="Y152" t="s">
        <v>419</v>
      </c>
      <c r="Z152" t="s">
        <v>405</v>
      </c>
      <c r="AA152" t="s">
        <v>419</v>
      </c>
    </row>
    <row r="153" spans="4:27" hidden="1" x14ac:dyDescent="0.25">
      <c r="D153" s="25" t="str">
        <f t="shared" si="2"/>
        <v>0</v>
      </c>
    </row>
    <row r="154" spans="4:27" hidden="1" x14ac:dyDescent="0.25">
      <c r="D154" s="25" t="str">
        <f t="shared" si="2"/>
        <v>0</v>
      </c>
    </row>
    <row r="155" spans="4:27" hidden="1" x14ac:dyDescent="0.25">
      <c r="D155" s="25" t="str">
        <f t="shared" si="2"/>
        <v>0</v>
      </c>
    </row>
    <row r="156" spans="4:27" hidden="1" x14ac:dyDescent="0.25">
      <c r="D156" s="25" t="str">
        <f t="shared" si="2"/>
        <v>0</v>
      </c>
    </row>
    <row r="157" spans="4:27" hidden="1" x14ac:dyDescent="0.25">
      <c r="D157" s="25" t="str">
        <f t="shared" si="2"/>
        <v>0</v>
      </c>
    </row>
    <row r="158" spans="4:27" hidden="1" x14ac:dyDescent="0.25">
      <c r="D158" s="25" t="str">
        <f t="shared" si="2"/>
        <v>0</v>
      </c>
    </row>
    <row r="159" spans="4:27" hidden="1" x14ac:dyDescent="0.25">
      <c r="D159" s="25" t="str">
        <f t="shared" si="2"/>
        <v>0</v>
      </c>
    </row>
    <row r="160" spans="4:27" hidden="1" x14ac:dyDescent="0.25">
      <c r="D160" s="25" t="str">
        <f t="shared" si="2"/>
        <v>0</v>
      </c>
    </row>
    <row r="161" spans="4:4" hidden="1" x14ac:dyDescent="0.25">
      <c r="D161" s="25" t="str">
        <f t="shared" si="2"/>
        <v>0</v>
      </c>
    </row>
    <row r="162" spans="4:4" hidden="1" x14ac:dyDescent="0.25">
      <c r="D162" s="25" t="str">
        <f t="shared" si="2"/>
        <v>0</v>
      </c>
    </row>
    <row r="163" spans="4:4" hidden="1" x14ac:dyDescent="0.25">
      <c r="D163" s="25" t="str">
        <f t="shared" si="2"/>
        <v>0</v>
      </c>
    </row>
    <row r="164" spans="4:4" hidden="1" x14ac:dyDescent="0.25">
      <c r="D164" s="25" t="str">
        <f t="shared" si="2"/>
        <v>0</v>
      </c>
    </row>
    <row r="165" spans="4:4" x14ac:dyDescent="0.25">
      <c r="D165" s="25"/>
    </row>
  </sheetData>
  <autoFilter ref="A5:M164">
    <filterColumn colId="3">
      <filters>
        <filter val="1"/>
        <filter val="2"/>
        <filter val="3"/>
        <filter val="4"/>
        <filter val="9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60417" r:id="rId7" name="CommandButton1">
          <controlPr autoLine="0" r:id="rId8">
            <anchor moveWithCells="1">
              <from>
                <xdr:col>12</xdr:col>
                <xdr:colOff>371475</xdr:colOff>
                <xdr:row>1</xdr:row>
                <xdr:rowOff>47625</xdr:rowOff>
              </from>
              <to>
                <xdr:col>15</xdr:col>
                <xdr:colOff>180975</xdr:colOff>
                <xdr:row>2</xdr:row>
                <xdr:rowOff>171450</xdr:rowOff>
              </to>
            </anchor>
          </controlPr>
        </control>
      </mc:Choice>
      <mc:Fallback>
        <control shapeId="60417" r:id="rId7" name="CommandButton1"/>
      </mc:Fallback>
    </mc:AlternateContent>
    <mc:AlternateContent xmlns:mc="http://schemas.openxmlformats.org/markup-compatibility/2006">
      <mc:Choice Requires="x14">
        <control shapeId="60418" r:id="rId9" name="CommandButton2">
          <controlPr autoLine="0" r:id="rId10">
            <anchor moveWithCells="1">
              <from>
                <xdr:col>11</xdr:col>
                <xdr:colOff>123825</xdr:colOff>
                <xdr:row>0</xdr:row>
                <xdr:rowOff>104775</xdr:rowOff>
              </from>
              <to>
                <xdr:col>14</xdr:col>
                <xdr:colOff>0</xdr:colOff>
                <xdr:row>2</xdr:row>
                <xdr:rowOff>28575</xdr:rowOff>
              </to>
            </anchor>
          </controlPr>
        </control>
      </mc:Choice>
      <mc:Fallback>
        <control shapeId="60418" r:id="rId9" name="CommandButton2"/>
      </mc:Fallback>
    </mc:AlternateContent>
    <mc:AlternateContent xmlns:mc="http://schemas.openxmlformats.org/markup-compatibility/2006">
      <mc:Choice Requires="x14">
        <control shapeId="60419" r:id="rId11" name="CommandButton3">
          <controlPr autoLine="0" r:id="rId12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8</xdr:col>
                <xdr:colOff>9525</xdr:colOff>
                <xdr:row>2</xdr:row>
                <xdr:rowOff>19050</xdr:rowOff>
              </to>
            </anchor>
          </controlPr>
        </control>
      </mc:Choice>
      <mc:Fallback>
        <control shapeId="60419" r:id="rId11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9">
    <pageSetUpPr fitToPage="1"/>
  </sheetPr>
  <dimension ref="A1:AM136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x14ac:dyDescent="0.25">
      <c r="B1" s="7" t="s">
        <v>325</v>
      </c>
      <c r="C1" s="7" t="str">
        <f ca="1">MID(CELL("filename",A1),FIND("]",CELL("filename",A1))+1,256)</f>
        <v>mst (template)save-as (6)</v>
      </c>
      <c r="F1" s="6" t="s">
        <v>339</v>
      </c>
      <c r="J1" s="6" t="s">
        <v>288</v>
      </c>
      <c r="O1" s="6" t="s">
        <v>295</v>
      </c>
    </row>
    <row r="2" spans="1:15" ht="26.25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365</v>
      </c>
      <c r="J3" s="6"/>
    </row>
    <row r="4" spans="1:15" ht="18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J7" s="6"/>
    </row>
    <row r="8" spans="1:15" ht="18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customHeight="1" x14ac:dyDescent="0.25">
      <c r="A15" s="10" t="s">
        <v>117</v>
      </c>
      <c r="B15" s="10" t="s">
        <v>118</v>
      </c>
      <c r="C15" s="10" t="s">
        <v>376</v>
      </c>
      <c r="J15" s="6"/>
    </row>
    <row r="16" spans="1:15" ht="18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J20" s="6"/>
    </row>
    <row r="21" spans="1:10" ht="18" customHeight="1" x14ac:dyDescent="0.25">
      <c r="A21" s="10"/>
      <c r="B21" s="10"/>
      <c r="C21" s="10" t="s">
        <v>366</v>
      </c>
      <c r="J21" s="6"/>
    </row>
    <row r="22" spans="1:10" ht="18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J24" s="6"/>
    </row>
    <row r="25" spans="1:10" ht="18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customHeight="1" x14ac:dyDescent="0.25">
      <c r="A26" s="10" t="s">
        <v>9</v>
      </c>
      <c r="B26" s="10" t="s">
        <v>25</v>
      </c>
      <c r="C26" s="10" t="s">
        <v>313</v>
      </c>
      <c r="J26" s="6"/>
    </row>
    <row r="27" spans="1:10" ht="18" customHeight="1" x14ac:dyDescent="0.25">
      <c r="A27" s="4" t="s">
        <v>52</v>
      </c>
      <c r="B27" s="4" t="s">
        <v>213</v>
      </c>
      <c r="C27" s="4" t="s">
        <v>214</v>
      </c>
      <c r="J27" s="6"/>
    </row>
    <row r="28" spans="1:10" ht="18" customHeight="1" x14ac:dyDescent="0.25">
      <c r="A28" s="4" t="s">
        <v>138</v>
      </c>
      <c r="B28" s="4" t="s">
        <v>141</v>
      </c>
      <c r="C28" s="4" t="s">
        <v>142</v>
      </c>
      <c r="J28" s="6"/>
    </row>
    <row r="29" spans="1:10" ht="18" customHeight="1" x14ac:dyDescent="0.25">
      <c r="A29" s="4" t="s">
        <v>7</v>
      </c>
      <c r="B29" s="4" t="s">
        <v>8</v>
      </c>
      <c r="C29" s="4" t="s">
        <v>303</v>
      </c>
      <c r="J29" s="6"/>
    </row>
    <row r="30" spans="1:10" ht="18" customHeight="1" x14ac:dyDescent="0.25">
      <c r="A30" s="4" t="s">
        <v>7</v>
      </c>
      <c r="B30" s="4" t="s">
        <v>196</v>
      </c>
      <c r="C30" s="4" t="s">
        <v>302</v>
      </c>
      <c r="J30" s="6"/>
    </row>
    <row r="31" spans="1:10" x14ac:dyDescent="0.25">
      <c r="A31" s="4" t="s">
        <v>47</v>
      </c>
      <c r="B31" s="4" t="s">
        <v>205</v>
      </c>
      <c r="C31" s="4" t="s">
        <v>206</v>
      </c>
    </row>
    <row r="32" spans="1:10" x14ac:dyDescent="0.25">
      <c r="A32" s="4" t="s">
        <v>47</v>
      </c>
      <c r="B32" s="4" t="s">
        <v>207</v>
      </c>
      <c r="C32" s="4" t="s">
        <v>208</v>
      </c>
      <c r="J32" s="6"/>
    </row>
    <row r="33" spans="1:3" x14ac:dyDescent="0.25">
      <c r="A33" s="4" t="s">
        <v>47</v>
      </c>
      <c r="B33" s="4" t="s">
        <v>209</v>
      </c>
      <c r="C33" s="4" t="s">
        <v>210</v>
      </c>
    </row>
    <row r="34" spans="1:3" x14ac:dyDescent="0.25">
      <c r="A34" s="4" t="s">
        <v>47</v>
      </c>
      <c r="B34" s="4" t="s">
        <v>211</v>
      </c>
      <c r="C34" s="4" t="s">
        <v>212</v>
      </c>
    </row>
    <row r="35" spans="1:3" x14ac:dyDescent="0.25">
      <c r="A35" s="4" t="s">
        <v>47</v>
      </c>
      <c r="B35" s="4" t="s">
        <v>48</v>
      </c>
      <c r="C35" s="4" t="s">
        <v>49</v>
      </c>
    </row>
    <row r="36" spans="1:3" x14ac:dyDescent="0.25">
      <c r="A36" s="4" t="s">
        <v>47</v>
      </c>
      <c r="B36" s="4" t="s">
        <v>50</v>
      </c>
      <c r="C36" s="4" t="s">
        <v>51</v>
      </c>
    </row>
    <row r="37" spans="1:3" x14ac:dyDescent="0.25">
      <c r="A37" s="4" t="s">
        <v>55</v>
      </c>
      <c r="B37" s="4" t="s">
        <v>56</v>
      </c>
      <c r="C37" s="4" t="s">
        <v>57</v>
      </c>
    </row>
    <row r="38" spans="1:3" x14ac:dyDescent="0.25">
      <c r="A38" s="4" t="s">
        <v>30</v>
      </c>
      <c r="B38" s="4" t="s">
        <v>58</v>
      </c>
      <c r="C38" s="4" t="s">
        <v>59</v>
      </c>
    </row>
    <row r="39" spans="1:3" x14ac:dyDescent="0.25">
      <c r="A39" s="4" t="s">
        <v>30</v>
      </c>
      <c r="B39" s="4" t="s">
        <v>60</v>
      </c>
      <c r="C39" s="4" t="s">
        <v>61</v>
      </c>
    </row>
    <row r="40" spans="1:3" x14ac:dyDescent="0.25">
      <c r="A40" s="4" t="s">
        <v>30</v>
      </c>
      <c r="B40" s="4" t="s">
        <v>62</v>
      </c>
      <c r="C40" s="4" t="s">
        <v>63</v>
      </c>
    </row>
    <row r="41" spans="1:3" x14ac:dyDescent="0.25">
      <c r="A41" s="4" t="s">
        <v>30</v>
      </c>
      <c r="B41" s="4" t="s">
        <v>31</v>
      </c>
      <c r="C41" s="4" t="s">
        <v>32</v>
      </c>
    </row>
    <row r="42" spans="1:3" x14ac:dyDescent="0.25">
      <c r="A42" s="4" t="s">
        <v>30</v>
      </c>
      <c r="B42" s="4" t="s">
        <v>39</v>
      </c>
      <c r="C42" s="4" t="s">
        <v>40</v>
      </c>
    </row>
    <row r="43" spans="1:3" x14ac:dyDescent="0.25">
      <c r="A43" s="4" t="s">
        <v>30</v>
      </c>
      <c r="B43" s="4" t="s">
        <v>217</v>
      </c>
      <c r="C43" s="4" t="s">
        <v>218</v>
      </c>
    </row>
    <row r="44" spans="1:3" x14ac:dyDescent="0.25">
      <c r="A44" s="4" t="s">
        <v>30</v>
      </c>
      <c r="B44" s="4" t="s">
        <v>219</v>
      </c>
      <c r="C44" s="4" t="s">
        <v>220</v>
      </c>
    </row>
    <row r="45" spans="1:3" x14ac:dyDescent="0.25">
      <c r="A45" s="4" t="s">
        <v>200</v>
      </c>
      <c r="B45" s="4" t="s">
        <v>221</v>
      </c>
      <c r="C45" s="4" t="s">
        <v>222</v>
      </c>
    </row>
    <row r="46" spans="1:3" x14ac:dyDescent="0.25">
      <c r="A46" s="4" t="s">
        <v>223</v>
      </c>
      <c r="B46" s="4" t="s">
        <v>224</v>
      </c>
      <c r="C46" s="4" t="s">
        <v>225</v>
      </c>
    </row>
    <row r="47" spans="1:3" x14ac:dyDescent="0.25">
      <c r="A47" s="4" t="s">
        <v>0</v>
      </c>
      <c r="B47" s="4" t="s">
        <v>134</v>
      </c>
      <c r="C47" s="4" t="s">
        <v>135</v>
      </c>
    </row>
    <row r="48" spans="1:3" x14ac:dyDescent="0.25">
      <c r="A48" s="4" t="s">
        <v>0</v>
      </c>
      <c r="B48" s="4" t="s">
        <v>1</v>
      </c>
      <c r="C48" s="4" t="s">
        <v>2</v>
      </c>
    </row>
    <row r="49" spans="1:3" x14ac:dyDescent="0.25">
      <c r="A49" s="4" t="s">
        <v>0</v>
      </c>
      <c r="B49" s="4" t="s">
        <v>174</v>
      </c>
      <c r="C49" s="4" t="s">
        <v>175</v>
      </c>
    </row>
    <row r="50" spans="1:3" x14ac:dyDescent="0.25">
      <c r="A50" s="4" t="s">
        <v>0</v>
      </c>
      <c r="B50" s="4" t="s">
        <v>176</v>
      </c>
      <c r="C50" s="4" t="s">
        <v>177</v>
      </c>
    </row>
    <row r="51" spans="1:3" x14ac:dyDescent="0.25">
      <c r="A51" s="4" t="s">
        <v>0</v>
      </c>
      <c r="B51" s="4" t="s">
        <v>226</v>
      </c>
      <c r="C51" s="4" t="s">
        <v>227</v>
      </c>
    </row>
    <row r="52" spans="1:3" x14ac:dyDescent="0.25">
      <c r="A52" s="4" t="s">
        <v>3</v>
      </c>
      <c r="B52" s="4" t="s">
        <v>228</v>
      </c>
      <c r="C52" s="4" t="s">
        <v>229</v>
      </c>
    </row>
    <row r="53" spans="1:3" x14ac:dyDescent="0.25">
      <c r="A53" s="4" t="s">
        <v>3</v>
      </c>
      <c r="B53" s="4" t="s">
        <v>178</v>
      </c>
      <c r="C53" s="4" t="s">
        <v>179</v>
      </c>
    </row>
    <row r="54" spans="1:3" x14ac:dyDescent="0.25">
      <c r="A54" s="4" t="s">
        <v>3</v>
      </c>
      <c r="B54" s="4" t="s">
        <v>289</v>
      </c>
      <c r="C54" s="4" t="s">
        <v>290</v>
      </c>
    </row>
    <row r="55" spans="1:3" x14ac:dyDescent="0.25">
      <c r="A55" s="4" t="s">
        <v>3</v>
      </c>
      <c r="B55" s="4" t="s">
        <v>64</v>
      </c>
      <c r="C55" s="4" t="s">
        <v>65</v>
      </c>
    </row>
    <row r="56" spans="1:3" x14ac:dyDescent="0.25">
      <c r="A56" s="4" t="s">
        <v>3</v>
      </c>
      <c r="B56" s="4" t="s">
        <v>180</v>
      </c>
      <c r="C56" s="4" t="s">
        <v>181</v>
      </c>
    </row>
    <row r="57" spans="1:3" x14ac:dyDescent="0.25">
      <c r="A57" s="4" t="s">
        <v>3</v>
      </c>
      <c r="B57" s="4" t="s">
        <v>230</v>
      </c>
      <c r="C57" s="4" t="s">
        <v>231</v>
      </c>
    </row>
    <row r="58" spans="1:3" x14ac:dyDescent="0.25">
      <c r="A58" s="4" t="s">
        <v>66</v>
      </c>
      <c r="B58" s="4" t="s">
        <v>232</v>
      </c>
      <c r="C58" s="4" t="s">
        <v>233</v>
      </c>
    </row>
    <row r="59" spans="1:3" x14ac:dyDescent="0.25">
      <c r="A59" s="4" t="s">
        <v>66</v>
      </c>
      <c r="B59" s="4" t="s">
        <v>234</v>
      </c>
      <c r="C59" s="4" t="s">
        <v>235</v>
      </c>
    </row>
    <row r="60" spans="1:3" x14ac:dyDescent="0.25">
      <c r="A60" s="4" t="s">
        <v>66</v>
      </c>
      <c r="B60" s="4" t="s">
        <v>67</v>
      </c>
      <c r="C60" s="4" t="s">
        <v>68</v>
      </c>
    </row>
    <row r="61" spans="1:3" x14ac:dyDescent="0.25">
      <c r="A61" s="4" t="s">
        <v>66</v>
      </c>
      <c r="B61" s="4" t="s">
        <v>236</v>
      </c>
      <c r="C61" s="4" t="s">
        <v>237</v>
      </c>
    </row>
    <row r="62" spans="1:3" x14ac:dyDescent="0.25">
      <c r="A62" s="4" t="s">
        <v>66</v>
      </c>
      <c r="B62" s="4" t="s">
        <v>238</v>
      </c>
      <c r="C62" s="4" t="s">
        <v>239</v>
      </c>
    </row>
    <row r="63" spans="1:3" x14ac:dyDescent="0.25">
      <c r="A63" s="4" t="s">
        <v>66</v>
      </c>
      <c r="B63" s="4" t="s">
        <v>182</v>
      </c>
      <c r="C63" s="4" t="s">
        <v>183</v>
      </c>
    </row>
    <row r="64" spans="1:3" x14ac:dyDescent="0.25">
      <c r="A64" s="4" t="s">
        <v>66</v>
      </c>
      <c r="B64" s="4" t="s">
        <v>69</v>
      </c>
      <c r="C64" s="4" t="s">
        <v>70</v>
      </c>
    </row>
    <row r="65" spans="1:3" x14ac:dyDescent="0.25">
      <c r="A65" s="4" t="s">
        <v>66</v>
      </c>
      <c r="B65" s="4" t="s">
        <v>240</v>
      </c>
      <c r="C65" s="4" t="s">
        <v>241</v>
      </c>
    </row>
    <row r="66" spans="1:3" x14ac:dyDescent="0.25">
      <c r="A66" s="4" t="s">
        <v>66</v>
      </c>
      <c r="B66" s="4" t="s">
        <v>242</v>
      </c>
      <c r="C66" s="4" t="s">
        <v>243</v>
      </c>
    </row>
    <row r="67" spans="1:3" x14ac:dyDescent="0.25">
      <c r="A67" s="4" t="s">
        <v>66</v>
      </c>
      <c r="B67" s="4" t="s">
        <v>71</v>
      </c>
      <c r="C67" s="4" t="s">
        <v>72</v>
      </c>
    </row>
    <row r="68" spans="1:3" x14ac:dyDescent="0.25">
      <c r="A68" s="4" t="s">
        <v>66</v>
      </c>
      <c r="B68" s="4" t="s">
        <v>73</v>
      </c>
      <c r="C68" s="4" t="s">
        <v>74</v>
      </c>
    </row>
    <row r="69" spans="1:3" x14ac:dyDescent="0.25">
      <c r="A69" s="4" t="s">
        <v>4</v>
      </c>
      <c r="B69" s="4" t="s">
        <v>75</v>
      </c>
      <c r="C69" s="4" t="s">
        <v>76</v>
      </c>
    </row>
    <row r="70" spans="1:3" x14ac:dyDescent="0.25">
      <c r="A70" s="4" t="s">
        <v>4</v>
      </c>
      <c r="B70" s="4" t="s">
        <v>77</v>
      </c>
      <c r="C70" s="4" t="s">
        <v>78</v>
      </c>
    </row>
    <row r="71" spans="1:3" x14ac:dyDescent="0.25">
      <c r="A71" s="4" t="s">
        <v>4</v>
      </c>
      <c r="B71" s="4" t="s">
        <v>79</v>
      </c>
      <c r="C71" s="4" t="s">
        <v>80</v>
      </c>
    </row>
    <row r="72" spans="1:3" x14ac:dyDescent="0.25">
      <c r="A72" s="4" t="s">
        <v>4</v>
      </c>
      <c r="B72" s="4" t="s">
        <v>136</v>
      </c>
      <c r="C72" s="4" t="s">
        <v>137</v>
      </c>
    </row>
    <row r="73" spans="1:3" x14ac:dyDescent="0.25">
      <c r="A73" s="4" t="s">
        <v>4</v>
      </c>
      <c r="B73" s="4" t="s">
        <v>81</v>
      </c>
      <c r="C73" s="4" t="s">
        <v>82</v>
      </c>
    </row>
    <row r="74" spans="1:3" x14ac:dyDescent="0.25">
      <c r="A74" s="4" t="s">
        <v>4</v>
      </c>
      <c r="B74" s="4" t="s">
        <v>83</v>
      </c>
      <c r="C74" s="4" t="s">
        <v>84</v>
      </c>
    </row>
    <row r="75" spans="1:3" x14ac:dyDescent="0.25">
      <c r="A75" s="4" t="s">
        <v>4</v>
      </c>
      <c r="B75" s="4" t="s">
        <v>5</v>
      </c>
      <c r="C75" s="4" t="s">
        <v>6</v>
      </c>
    </row>
    <row r="76" spans="1:3" x14ac:dyDescent="0.25">
      <c r="A76" s="4" t="s">
        <v>4</v>
      </c>
      <c r="B76" s="4" t="s">
        <v>127</v>
      </c>
      <c r="C76" s="4" t="s">
        <v>128</v>
      </c>
    </row>
    <row r="77" spans="1:3" x14ac:dyDescent="0.25">
      <c r="A77" s="4" t="s">
        <v>4</v>
      </c>
      <c r="B77" s="4" t="s">
        <v>184</v>
      </c>
      <c r="C77" s="4" t="s">
        <v>185</v>
      </c>
    </row>
    <row r="78" spans="1:3" x14ac:dyDescent="0.25">
      <c r="A78" s="4" t="s">
        <v>4</v>
      </c>
      <c r="B78" s="4" t="s">
        <v>186</v>
      </c>
      <c r="C78" s="4" t="s">
        <v>187</v>
      </c>
    </row>
    <row r="79" spans="1:3" x14ac:dyDescent="0.25">
      <c r="A79" s="4" t="s">
        <v>4</v>
      </c>
      <c r="B79" s="4" t="s">
        <v>190</v>
      </c>
      <c r="C79" s="4" t="s">
        <v>191</v>
      </c>
    </row>
    <row r="80" spans="1:3" x14ac:dyDescent="0.25">
      <c r="A80" s="4" t="s">
        <v>4</v>
      </c>
      <c r="B80" s="4" t="s">
        <v>192</v>
      </c>
      <c r="C80" s="4" t="s">
        <v>193</v>
      </c>
    </row>
    <row r="81" spans="1:35" x14ac:dyDescent="0.25">
      <c r="A81" s="4" t="s">
        <v>4</v>
      </c>
      <c r="B81" s="4" t="s">
        <v>194</v>
      </c>
      <c r="C81" s="4" t="s">
        <v>195</v>
      </c>
    </row>
    <row r="82" spans="1:35" x14ac:dyDescent="0.25">
      <c r="A82" s="4" t="s">
        <v>4</v>
      </c>
      <c r="B82" s="4" t="s">
        <v>291</v>
      </c>
      <c r="C82" s="4" t="s">
        <v>292</v>
      </c>
    </row>
    <row r="83" spans="1:35" x14ac:dyDescent="0.25">
      <c r="A83" s="4" t="s">
        <v>4</v>
      </c>
      <c r="B83" s="4" t="s">
        <v>244</v>
      </c>
      <c r="C83" s="4" t="s">
        <v>245</v>
      </c>
    </row>
    <row r="84" spans="1:35" x14ac:dyDescent="0.25">
      <c r="A84" s="4" t="s">
        <v>4</v>
      </c>
      <c r="B84" s="4" t="s">
        <v>246</v>
      </c>
      <c r="C84" s="4" t="s">
        <v>247</v>
      </c>
    </row>
    <row r="85" spans="1:35" x14ac:dyDescent="0.25">
      <c r="A85" s="4" t="s">
        <v>138</v>
      </c>
      <c r="B85" s="4" t="s">
        <v>158</v>
      </c>
      <c r="C85" s="4" t="s">
        <v>157</v>
      </c>
    </row>
    <row r="86" spans="1:35" x14ac:dyDescent="0.25">
      <c r="A86" s="4" t="s">
        <v>145</v>
      </c>
      <c r="B86" s="4" t="s">
        <v>146</v>
      </c>
      <c r="C86" s="4" t="s">
        <v>147</v>
      </c>
    </row>
    <row r="87" spans="1:35" x14ac:dyDescent="0.25">
      <c r="A87" s="4" t="s">
        <v>9</v>
      </c>
      <c r="B87" s="4" t="s">
        <v>87</v>
      </c>
      <c r="C87" s="4" t="s">
        <v>88</v>
      </c>
    </row>
    <row r="88" spans="1:35" x14ac:dyDescent="0.25">
      <c r="A88" s="4" t="s">
        <v>9</v>
      </c>
      <c r="B88" s="4" t="s">
        <v>89</v>
      </c>
      <c r="C88" s="4" t="s">
        <v>90</v>
      </c>
    </row>
    <row r="89" spans="1:35" x14ac:dyDescent="0.25">
      <c r="A89" s="4" t="s">
        <v>9</v>
      </c>
      <c r="B89" s="4" t="s">
        <v>10</v>
      </c>
      <c r="C89" s="4" t="s">
        <v>11</v>
      </c>
      <c r="Z89" s="3"/>
      <c r="AH89" s="3"/>
      <c r="AI89" s="3"/>
    </row>
    <row r="90" spans="1:35" x14ac:dyDescent="0.25">
      <c r="A90" s="4" t="s">
        <v>9</v>
      </c>
      <c r="B90" s="4" t="s">
        <v>12</v>
      </c>
      <c r="C90" s="4" t="s">
        <v>13</v>
      </c>
      <c r="Z90" s="3"/>
      <c r="AH90" s="3"/>
      <c r="AI90" s="3"/>
    </row>
    <row r="91" spans="1:35" x14ac:dyDescent="0.25">
      <c r="A91" s="4" t="s">
        <v>9</v>
      </c>
      <c r="B91" s="4" t="s">
        <v>19</v>
      </c>
      <c r="C91" s="4" t="s">
        <v>20</v>
      </c>
      <c r="Z91" s="3"/>
      <c r="AH91" s="3"/>
      <c r="AI91" s="3"/>
    </row>
    <row r="92" spans="1:35" x14ac:dyDescent="0.25">
      <c r="A92" s="4" t="s">
        <v>9</v>
      </c>
      <c r="B92" s="4" t="s">
        <v>21</v>
      </c>
      <c r="C92" s="4" t="s">
        <v>22</v>
      </c>
      <c r="Z92" s="3"/>
      <c r="AH92" s="3"/>
      <c r="AI92" s="3"/>
    </row>
    <row r="93" spans="1:35" x14ac:dyDescent="0.25">
      <c r="A93" s="4" t="s">
        <v>9</v>
      </c>
      <c r="B93" s="4" t="s">
        <v>132</v>
      </c>
      <c r="C93" s="4" t="s">
        <v>133</v>
      </c>
      <c r="Z93" s="3"/>
      <c r="AH93" s="3"/>
      <c r="AI93" s="3"/>
    </row>
    <row r="94" spans="1:35" x14ac:dyDescent="0.25">
      <c r="A94" s="4" t="s">
        <v>9</v>
      </c>
      <c r="B94" s="4" t="s">
        <v>23</v>
      </c>
      <c r="C94" s="4" t="s">
        <v>24</v>
      </c>
    </row>
    <row r="95" spans="1:35" x14ac:dyDescent="0.25">
      <c r="A95" s="4" t="s">
        <v>9</v>
      </c>
      <c r="B95" s="4" t="s">
        <v>91</v>
      </c>
      <c r="C95" s="4" t="s">
        <v>92</v>
      </c>
    </row>
    <row r="96" spans="1:35" x14ac:dyDescent="0.25">
      <c r="A96" s="4" t="s">
        <v>9</v>
      </c>
      <c r="B96" s="4" t="s">
        <v>93</v>
      </c>
      <c r="C96" s="4" t="s">
        <v>94</v>
      </c>
    </row>
    <row r="97" spans="1:3" x14ac:dyDescent="0.25">
      <c r="A97" s="4" t="s">
        <v>9</v>
      </c>
      <c r="B97" s="4" t="s">
        <v>164</v>
      </c>
      <c r="C97" s="4" t="s">
        <v>163</v>
      </c>
    </row>
    <row r="98" spans="1:3" x14ac:dyDescent="0.25">
      <c r="A98" s="4" t="s">
        <v>9</v>
      </c>
      <c r="B98" s="4" t="s">
        <v>293</v>
      </c>
      <c r="C98" s="4" t="s">
        <v>294</v>
      </c>
    </row>
    <row r="99" spans="1:3" x14ac:dyDescent="0.25">
      <c r="A99" s="4" t="s">
        <v>9</v>
      </c>
      <c r="B99" s="4" t="s">
        <v>248</v>
      </c>
      <c r="C99" s="4" t="s">
        <v>249</v>
      </c>
    </row>
    <row r="100" spans="1:3" x14ac:dyDescent="0.25">
      <c r="A100" s="4" t="s">
        <v>27</v>
      </c>
      <c r="B100" s="4" t="s">
        <v>95</v>
      </c>
      <c r="C100" s="4" t="s">
        <v>96</v>
      </c>
    </row>
    <row r="101" spans="1:3" x14ac:dyDescent="0.25">
      <c r="A101" s="4" t="s">
        <v>27</v>
      </c>
      <c r="B101" s="4" t="s">
        <v>97</v>
      </c>
      <c r="C101" s="4" t="s">
        <v>98</v>
      </c>
    </row>
    <row r="102" spans="1:3" x14ac:dyDescent="0.25">
      <c r="A102" s="4" t="s">
        <v>27</v>
      </c>
      <c r="B102" s="4" t="s">
        <v>99</v>
      </c>
      <c r="C102" s="4" t="s">
        <v>100</v>
      </c>
    </row>
    <row r="103" spans="1:3" x14ac:dyDescent="0.25">
      <c r="A103" s="4" t="s">
        <v>27</v>
      </c>
      <c r="B103" s="4" t="s">
        <v>101</v>
      </c>
      <c r="C103" s="4" t="s">
        <v>102</v>
      </c>
    </row>
    <row r="104" spans="1:3" x14ac:dyDescent="0.25">
      <c r="A104" s="4" t="s">
        <v>27</v>
      </c>
      <c r="B104" s="4" t="s">
        <v>103</v>
      </c>
      <c r="C104" s="4" t="s">
        <v>104</v>
      </c>
    </row>
    <row r="105" spans="1:3" x14ac:dyDescent="0.25">
      <c r="A105" s="4" t="s">
        <v>27</v>
      </c>
      <c r="B105" s="4" t="s">
        <v>105</v>
      </c>
      <c r="C105" s="4" t="s">
        <v>106</v>
      </c>
    </row>
    <row r="106" spans="1:3" x14ac:dyDescent="0.25">
      <c r="A106" s="4" t="s">
        <v>27</v>
      </c>
      <c r="B106" s="4" t="s">
        <v>28</v>
      </c>
      <c r="C106" s="4" t="s">
        <v>29</v>
      </c>
    </row>
    <row r="107" spans="1:3" x14ac:dyDescent="0.25">
      <c r="A107" s="4" t="s">
        <v>107</v>
      </c>
      <c r="B107" s="4" t="s">
        <v>108</v>
      </c>
      <c r="C107" s="4" t="s">
        <v>109</v>
      </c>
    </row>
    <row r="108" spans="1:3" x14ac:dyDescent="0.25">
      <c r="A108" s="4" t="s">
        <v>107</v>
      </c>
      <c r="B108" s="4" t="s">
        <v>110</v>
      </c>
      <c r="C108" s="4" t="s">
        <v>111</v>
      </c>
    </row>
    <row r="109" spans="1:3" x14ac:dyDescent="0.25">
      <c r="A109" s="4" t="s">
        <v>107</v>
      </c>
      <c r="B109" s="4" t="s">
        <v>250</v>
      </c>
      <c r="C109" s="4" t="s">
        <v>251</v>
      </c>
    </row>
    <row r="110" spans="1:3" x14ac:dyDescent="0.25">
      <c r="A110" s="4" t="s">
        <v>107</v>
      </c>
      <c r="B110" s="4" t="s">
        <v>252</v>
      </c>
      <c r="C110" s="4" t="s">
        <v>253</v>
      </c>
    </row>
    <row r="111" spans="1:3" x14ac:dyDescent="0.25">
      <c r="A111" s="4" t="s">
        <v>107</v>
      </c>
      <c r="B111" s="4" t="s">
        <v>254</v>
      </c>
      <c r="C111" s="4" t="s">
        <v>255</v>
      </c>
    </row>
    <row r="112" spans="1:3" x14ac:dyDescent="0.25">
      <c r="A112" s="4" t="s">
        <v>107</v>
      </c>
      <c r="B112" s="4" t="s">
        <v>256</v>
      </c>
      <c r="C112" s="4" t="s">
        <v>257</v>
      </c>
    </row>
    <row r="113" spans="1:3" x14ac:dyDescent="0.25">
      <c r="A113" s="4" t="s">
        <v>33</v>
      </c>
      <c r="B113" s="4" t="s">
        <v>34</v>
      </c>
      <c r="C113" s="4" t="s">
        <v>35</v>
      </c>
    </row>
    <row r="114" spans="1:3" x14ac:dyDescent="0.25">
      <c r="A114" s="4" t="s">
        <v>258</v>
      </c>
      <c r="B114" s="4" t="s">
        <v>259</v>
      </c>
      <c r="C114" s="4" t="s">
        <v>260</v>
      </c>
    </row>
    <row r="115" spans="1:3" x14ac:dyDescent="0.25">
      <c r="A115" s="4" t="s">
        <v>258</v>
      </c>
      <c r="B115" s="4" t="s">
        <v>261</v>
      </c>
      <c r="C115" s="4" t="s">
        <v>262</v>
      </c>
    </row>
    <row r="116" spans="1:3" x14ac:dyDescent="0.25">
      <c r="A116" s="4" t="s">
        <v>41</v>
      </c>
      <c r="B116" s="4" t="s">
        <v>42</v>
      </c>
      <c r="C116" s="4" t="s">
        <v>43</v>
      </c>
    </row>
    <row r="117" spans="1:3" x14ac:dyDescent="0.25">
      <c r="A117" s="4" t="s">
        <v>263</v>
      </c>
      <c r="B117" s="4" t="s">
        <v>264</v>
      </c>
      <c r="C117" s="4" t="s">
        <v>265</v>
      </c>
    </row>
    <row r="118" spans="1:3" x14ac:dyDescent="0.25">
      <c r="A118" s="4" t="s">
        <v>263</v>
      </c>
      <c r="B118" s="4" t="s">
        <v>266</v>
      </c>
      <c r="C118" s="4" t="s">
        <v>267</v>
      </c>
    </row>
    <row r="119" spans="1:3" x14ac:dyDescent="0.25">
      <c r="A119" s="4" t="s">
        <v>114</v>
      </c>
      <c r="B119" s="4" t="s">
        <v>115</v>
      </c>
      <c r="C119" s="4" t="s">
        <v>116</v>
      </c>
    </row>
    <row r="120" spans="1:3" x14ac:dyDescent="0.25">
      <c r="A120" s="4" t="s">
        <v>44</v>
      </c>
      <c r="B120" s="4" t="s">
        <v>45</v>
      </c>
      <c r="C120" s="4" t="s">
        <v>46</v>
      </c>
    </row>
    <row r="121" spans="1:3" x14ac:dyDescent="0.25">
      <c r="A121" s="4" t="s">
        <v>120</v>
      </c>
      <c r="B121" s="4" t="s">
        <v>271</v>
      </c>
      <c r="C121" s="4" t="s">
        <v>272</v>
      </c>
    </row>
    <row r="122" spans="1:3" x14ac:dyDescent="0.25">
      <c r="A122" s="4" t="s">
        <v>120</v>
      </c>
      <c r="B122" s="4" t="s">
        <v>273</v>
      </c>
      <c r="C122" s="4" t="s">
        <v>274</v>
      </c>
    </row>
    <row r="123" spans="1:3" x14ac:dyDescent="0.25">
      <c r="A123" s="4" t="s">
        <v>120</v>
      </c>
      <c r="B123" s="4" t="s">
        <v>121</v>
      </c>
      <c r="C123" s="4" t="s">
        <v>122</v>
      </c>
    </row>
    <row r="124" spans="1:3" x14ac:dyDescent="0.25">
      <c r="A124" s="4" t="s">
        <v>120</v>
      </c>
      <c r="B124" s="4" t="s">
        <v>275</v>
      </c>
      <c r="C124" s="4" t="s">
        <v>276</v>
      </c>
    </row>
    <row r="125" spans="1:3" x14ac:dyDescent="0.25">
      <c r="A125" s="4" t="s">
        <v>120</v>
      </c>
      <c r="B125" s="4" t="s">
        <v>198</v>
      </c>
      <c r="C125" s="4" t="s">
        <v>199</v>
      </c>
    </row>
    <row r="126" spans="1:3" x14ac:dyDescent="0.25">
      <c r="A126" s="4" t="s">
        <v>120</v>
      </c>
      <c r="B126" s="4" t="s">
        <v>277</v>
      </c>
      <c r="C126" s="4" t="s">
        <v>278</v>
      </c>
    </row>
    <row r="127" spans="1:3" x14ac:dyDescent="0.25">
      <c r="A127" s="4" t="s">
        <v>279</v>
      </c>
      <c r="B127" s="4" t="s">
        <v>280</v>
      </c>
      <c r="C127" s="4" t="s">
        <v>281</v>
      </c>
    </row>
    <row r="128" spans="1:3" x14ac:dyDescent="0.25">
      <c r="A128" s="4" t="s">
        <v>282</v>
      </c>
      <c r="B128" s="4" t="s">
        <v>283</v>
      </c>
      <c r="C128" s="4" t="s">
        <v>284</v>
      </c>
    </row>
    <row r="129" spans="1:39" x14ac:dyDescent="0.25">
      <c r="A129" s="4" t="s">
        <v>285</v>
      </c>
      <c r="B129" s="4" t="s">
        <v>286</v>
      </c>
      <c r="C129" s="4" t="s">
        <v>287</v>
      </c>
    </row>
    <row r="130" spans="1:39" x14ac:dyDescent="0.25">
      <c r="A130" s="4" t="s">
        <v>14</v>
      </c>
      <c r="B130" s="4" t="s">
        <v>15</v>
      </c>
      <c r="C130" s="4" t="s">
        <v>16</v>
      </c>
    </row>
    <row r="131" spans="1:39" x14ac:dyDescent="0.25">
      <c r="A131" s="4" t="s">
        <v>14</v>
      </c>
      <c r="B131" s="4" t="s">
        <v>17</v>
      </c>
      <c r="C131" s="4" t="s">
        <v>18</v>
      </c>
    </row>
    <row r="132" spans="1:39" x14ac:dyDescent="0.25">
      <c r="A132" s="4" t="s">
        <v>14</v>
      </c>
      <c r="B132" s="4" t="s">
        <v>201</v>
      </c>
      <c r="C132" s="4" t="s">
        <v>202</v>
      </c>
    </row>
    <row r="133" spans="1:39" x14ac:dyDescent="0.25">
      <c r="A133" s="4" t="s">
        <v>14</v>
      </c>
      <c r="B133" s="4" t="s">
        <v>203</v>
      </c>
      <c r="C133" s="4" t="s">
        <v>204</v>
      </c>
    </row>
    <row r="134" spans="1:39" x14ac:dyDescent="0.25">
      <c r="A134" s="4" t="s">
        <v>36</v>
      </c>
      <c r="B134" s="4" t="s">
        <v>37</v>
      </c>
      <c r="C134" s="4" t="s">
        <v>38</v>
      </c>
      <c r="AD134" s="3"/>
      <c r="AL134" s="3"/>
      <c r="AM134" s="3"/>
    </row>
    <row r="135" spans="1:39" x14ac:dyDescent="0.25">
      <c r="A135" s="4"/>
      <c r="B135" s="4"/>
      <c r="C135" s="4"/>
      <c r="AD135" s="3"/>
      <c r="AL135" s="3"/>
      <c r="AM135" s="3"/>
    </row>
    <row r="136" spans="1:39" x14ac:dyDescent="0.25">
      <c r="AD136" s="3"/>
      <c r="AL136" s="3"/>
      <c r="AM136" s="3"/>
    </row>
  </sheetData>
  <autoFilter ref="A1:D1"/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57345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57345" r:id="rId7" name="CommandButton1"/>
      </mc:Fallback>
    </mc:AlternateContent>
    <mc:AlternateContent xmlns:mc="http://schemas.openxmlformats.org/markup-compatibility/2006">
      <mc:Choice Requires="x14">
        <control shapeId="57346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57346" r:id="rId9" name="CommandButton2"/>
      </mc:Fallback>
    </mc:AlternateContent>
    <mc:AlternateContent xmlns:mc="http://schemas.openxmlformats.org/markup-compatibility/2006">
      <mc:Choice Requires="x14">
        <control shapeId="57347" r:id="rId11" name="CommandButton3">
          <controlPr autoLine="0" r:id="rId12">
            <anchor moveWithCells="1">
              <from>
                <xdr:col>4</xdr:col>
                <xdr:colOff>323850</xdr:colOff>
                <xdr:row>2</xdr:row>
                <xdr:rowOff>200025</xdr:rowOff>
              </from>
              <to>
                <xdr:col>6</xdr:col>
                <xdr:colOff>19050</xdr:colOff>
                <xdr:row>4</xdr:row>
                <xdr:rowOff>47625</xdr:rowOff>
              </to>
            </anchor>
          </controlPr>
        </control>
      </mc:Choice>
      <mc:Fallback>
        <control shapeId="57347" r:id="rId11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7" filterMode="1">
    <tabColor rgb="FFFFC000"/>
    <pageSetUpPr fitToPage="1"/>
  </sheetPr>
  <dimension ref="A1:AJ164"/>
  <sheetViews>
    <sheetView zoomScaleNormal="100" workbookViewId="0">
      <selection activeCell="D179" sqref="D179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1.5703125" style="23" bestFit="1" customWidth="1"/>
    <col min="5" max="5" width="13.28515625" style="21" customWidth="1"/>
    <col min="6" max="6" width="16.28515625" style="20" customWidth="1"/>
    <col min="7" max="8" width="16.28515625" style="22" customWidth="1"/>
  </cols>
  <sheetData>
    <row r="1" spans="1:9" x14ac:dyDescent="0.25">
      <c r="A1" s="6" t="s">
        <v>288</v>
      </c>
      <c r="B1"/>
      <c r="C1" s="3">
        <v>43522</v>
      </c>
      <c r="D1" s="6" t="s">
        <v>339</v>
      </c>
      <c r="E1"/>
      <c r="F1"/>
      <c r="G1"/>
      <c r="H1"/>
      <c r="I1" s="6" t="s">
        <v>295</v>
      </c>
    </row>
    <row r="2" spans="1:9" x14ac:dyDescent="0.25">
      <c r="A2"/>
      <c r="B2"/>
      <c r="C2"/>
      <c r="D2"/>
      <c r="E2"/>
      <c r="F2"/>
      <c r="G2"/>
      <c r="H2"/>
    </row>
    <row r="3" spans="1:9" x14ac:dyDescent="0.25">
      <c r="A3"/>
      <c r="B3"/>
      <c r="C3"/>
      <c r="D3"/>
      <c r="E3"/>
      <c r="F3"/>
      <c r="G3"/>
      <c r="H3"/>
    </row>
    <row r="4" spans="1:9" x14ac:dyDescent="0.25">
      <c r="A4"/>
      <c r="B4"/>
      <c r="C4"/>
      <c r="D4"/>
      <c r="E4"/>
      <c r="F4"/>
      <c r="G4" t="s">
        <v>377</v>
      </c>
      <c r="H4"/>
    </row>
    <row r="5" spans="1:9" ht="17.25" customHeight="1" x14ac:dyDescent="0.25">
      <c r="A5" s="24"/>
      <c r="B5" s="24" t="s">
        <v>325</v>
      </c>
      <c r="C5" s="24" t="str">
        <f ca="1">MID(CELL("filename",A5),FIND("]",CELL("filename",A5))+1,256)</f>
        <v>rgo190011</v>
      </c>
      <c r="D5" s="25" t="s">
        <v>382</v>
      </c>
      <c r="E5" s="26" t="s">
        <v>379</v>
      </c>
      <c r="F5" s="26" t="s">
        <v>380</v>
      </c>
      <c r="G5" s="27" t="s">
        <v>378</v>
      </c>
      <c r="H5" s="27" t="s">
        <v>386</v>
      </c>
    </row>
    <row r="6" spans="1:9" ht="17.25" customHeight="1" x14ac:dyDescent="0.25">
      <c r="A6" s="28" t="s">
        <v>307</v>
      </c>
      <c r="B6" s="28" t="s">
        <v>324</v>
      </c>
      <c r="C6" s="28" t="s">
        <v>323</v>
      </c>
      <c r="D6" s="25" t="str">
        <f>(E6+F6+G6) &amp;H6</f>
        <v>60</v>
      </c>
      <c r="E6" s="26"/>
      <c r="F6" s="26"/>
      <c r="G6" s="27">
        <v>60</v>
      </c>
      <c r="H6" s="27"/>
    </row>
    <row r="7" spans="1:9" ht="18" customHeight="1" x14ac:dyDescent="0.25">
      <c r="A7" s="28" t="s">
        <v>314</v>
      </c>
      <c r="B7" s="28" t="s">
        <v>315</v>
      </c>
      <c r="C7" s="28" t="s">
        <v>365</v>
      </c>
      <c r="D7" s="25" t="str">
        <f t="shared" ref="D7:D70" si="0">(E7+F7+G7) &amp;H7</f>
        <v>2</v>
      </c>
      <c r="E7" s="26">
        <v>1</v>
      </c>
      <c r="F7" s="26">
        <v>1</v>
      </c>
      <c r="G7" s="27"/>
      <c r="H7" s="27"/>
    </row>
    <row r="8" spans="1:9" ht="18" hidden="1" customHeight="1" x14ac:dyDescent="0.25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</row>
    <row r="9" spans="1:9" ht="18" hidden="1" customHeight="1" x14ac:dyDescent="0.25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</row>
    <row r="10" spans="1:9" ht="18" hidden="1" customHeight="1" x14ac:dyDescent="0.25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</row>
    <row r="11" spans="1:9" ht="18" customHeight="1" x14ac:dyDescent="0.25">
      <c r="A11" s="29" t="s">
        <v>52</v>
      </c>
      <c r="B11" s="29" t="s">
        <v>53</v>
      </c>
      <c r="C11" s="29" t="s">
        <v>54</v>
      </c>
      <c r="D11" s="25" t="str">
        <f t="shared" si="0"/>
        <v>2</v>
      </c>
      <c r="E11" s="27">
        <v>1</v>
      </c>
      <c r="F11" s="27">
        <v>1</v>
      </c>
      <c r="G11" s="27"/>
      <c r="H11" s="27"/>
    </row>
    <row r="12" spans="1:9" ht="18" hidden="1" customHeight="1" x14ac:dyDescent="0.25">
      <c r="A12" s="29" t="s">
        <v>138</v>
      </c>
      <c r="B12" s="29" t="s">
        <v>160</v>
      </c>
      <c r="C12" s="29" t="s">
        <v>159</v>
      </c>
      <c r="D12" s="25" t="str">
        <f t="shared" si="0"/>
        <v>0</v>
      </c>
      <c r="E12" s="27"/>
      <c r="F12" s="27"/>
      <c r="G12" s="27"/>
      <c r="H12" s="27"/>
    </row>
    <row r="13" spans="1:9" ht="18" hidden="1" customHeight="1" x14ac:dyDescent="0.25">
      <c r="A13" s="29" t="s">
        <v>138</v>
      </c>
      <c r="B13" s="29" t="s">
        <v>162</v>
      </c>
      <c r="C13" s="29" t="s">
        <v>161</v>
      </c>
      <c r="D13" s="25" t="str">
        <f t="shared" si="0"/>
        <v>0</v>
      </c>
      <c r="E13" s="27"/>
      <c r="F13" s="27"/>
      <c r="G13" s="27"/>
      <c r="H13" s="27"/>
    </row>
    <row r="14" spans="1:9" ht="18" customHeight="1" x14ac:dyDescent="0.25">
      <c r="A14" s="29" t="s">
        <v>138</v>
      </c>
      <c r="B14" s="29" t="s">
        <v>139</v>
      </c>
      <c r="C14" s="29" t="s">
        <v>140</v>
      </c>
      <c r="D14" s="25" t="str">
        <f t="shared" si="0"/>
        <v>2</v>
      </c>
      <c r="E14" s="27">
        <v>1</v>
      </c>
      <c r="F14" s="27">
        <v>1</v>
      </c>
      <c r="G14" s="27"/>
      <c r="H14" s="27"/>
    </row>
    <row r="15" spans="1:9" ht="18" hidden="1" customHeight="1" x14ac:dyDescent="0.25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</row>
    <row r="16" spans="1:9" ht="18" hidden="1" customHeight="1" x14ac:dyDescent="0.25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</row>
    <row r="17" spans="1:8" ht="18" hidden="1" customHeight="1" x14ac:dyDescent="0.25">
      <c r="A17" s="29" t="s">
        <v>268</v>
      </c>
      <c r="B17" s="29" t="s">
        <v>337</v>
      </c>
      <c r="C17" s="29" t="s">
        <v>338</v>
      </c>
      <c r="D17" s="25" t="str">
        <f t="shared" si="0"/>
        <v>0</v>
      </c>
      <c r="E17" s="27"/>
      <c r="F17" s="27"/>
      <c r="G17" s="27"/>
      <c r="H17" s="27"/>
    </row>
    <row r="18" spans="1:8" ht="18" hidden="1" customHeight="1" x14ac:dyDescent="0.25">
      <c r="A18" s="29" t="s">
        <v>268</v>
      </c>
      <c r="B18" s="29" t="s">
        <v>269</v>
      </c>
      <c r="C18" s="29" t="s">
        <v>336</v>
      </c>
      <c r="D18" s="25" t="str">
        <f t="shared" si="0"/>
        <v>0</v>
      </c>
      <c r="E18" s="27"/>
      <c r="F18" s="27"/>
      <c r="G18" s="27"/>
      <c r="H18" s="27"/>
    </row>
    <row r="19" spans="1:8" ht="18" hidden="1" customHeight="1" x14ac:dyDescent="0.25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</row>
    <row r="20" spans="1:8" ht="18" hidden="1" customHeight="1" x14ac:dyDescent="0.25">
      <c r="A20" s="29" t="s">
        <v>107</v>
      </c>
      <c r="B20" s="29" t="s">
        <v>112</v>
      </c>
      <c r="C20" s="29" t="s">
        <v>312</v>
      </c>
      <c r="D20" s="25" t="str">
        <f t="shared" si="0"/>
        <v>0</v>
      </c>
      <c r="E20" s="27"/>
      <c r="F20" s="27"/>
      <c r="G20" s="27"/>
      <c r="H20" s="27"/>
    </row>
    <row r="21" spans="1:8" ht="18" hidden="1" customHeight="1" x14ac:dyDescent="0.25">
      <c r="A21" s="29" t="s">
        <v>9</v>
      </c>
      <c r="B21" s="29" t="s">
        <v>166</v>
      </c>
      <c r="C21" s="29" t="s">
        <v>310</v>
      </c>
      <c r="D21" s="25" t="str">
        <f t="shared" si="0"/>
        <v>0</v>
      </c>
      <c r="E21" s="27"/>
      <c r="F21" s="27"/>
      <c r="G21" s="27"/>
      <c r="H21" s="27"/>
    </row>
    <row r="22" spans="1:8" ht="18" hidden="1" customHeight="1" x14ac:dyDescent="0.25">
      <c r="A22" s="29" t="s">
        <v>9</v>
      </c>
      <c r="B22" s="29" t="s">
        <v>168</v>
      </c>
      <c r="C22" s="29" t="s">
        <v>311</v>
      </c>
      <c r="D22" s="25" t="str">
        <f t="shared" si="0"/>
        <v>0</v>
      </c>
      <c r="E22" s="27"/>
      <c r="F22" s="27"/>
      <c r="G22" s="27"/>
      <c r="H22" s="27"/>
    </row>
    <row r="23" spans="1:8" ht="18" hidden="1" customHeight="1" x14ac:dyDescent="0.25">
      <c r="A23" s="29" t="s">
        <v>9</v>
      </c>
      <c r="B23" s="29" t="s">
        <v>155</v>
      </c>
      <c r="C23" s="29" t="s">
        <v>156</v>
      </c>
      <c r="D23" s="25" t="str">
        <f t="shared" si="0"/>
        <v>0</v>
      </c>
      <c r="E23" s="27"/>
      <c r="F23" s="27"/>
      <c r="G23" s="27"/>
      <c r="H23" s="27"/>
    </row>
    <row r="24" spans="1:8" ht="18" hidden="1" customHeight="1" x14ac:dyDescent="0.25">
      <c r="A24" s="29" t="s">
        <v>138</v>
      </c>
      <c r="B24" s="29" t="s">
        <v>149</v>
      </c>
      <c r="C24" s="29" t="s">
        <v>345</v>
      </c>
      <c r="D24" s="25" t="str">
        <f t="shared" si="0"/>
        <v>0</v>
      </c>
      <c r="E24" s="27"/>
      <c r="F24" s="27"/>
      <c r="G24" s="27"/>
      <c r="H24" s="27"/>
    </row>
    <row r="25" spans="1:8" ht="18" hidden="1" customHeight="1" x14ac:dyDescent="0.25">
      <c r="A25" s="29"/>
      <c r="B25" s="29"/>
      <c r="C25" s="29" t="s">
        <v>366</v>
      </c>
      <c r="D25" s="25" t="str">
        <f t="shared" si="0"/>
        <v>0</v>
      </c>
      <c r="E25" s="27"/>
      <c r="F25" s="27"/>
      <c r="G25" s="27"/>
      <c r="H25" s="27"/>
    </row>
    <row r="26" spans="1:8" ht="18" hidden="1" customHeight="1" x14ac:dyDescent="0.25">
      <c r="A26" s="29" t="s">
        <v>4</v>
      </c>
      <c r="B26" s="29" t="s">
        <v>188</v>
      </c>
      <c r="C26" s="29" t="s">
        <v>189</v>
      </c>
      <c r="D26" s="25" t="str">
        <f t="shared" si="0"/>
        <v>0</v>
      </c>
      <c r="E26" s="27"/>
      <c r="F26" s="27"/>
      <c r="G26" s="27"/>
      <c r="H26" s="27"/>
    </row>
    <row r="27" spans="1:8" ht="18" hidden="1" customHeight="1" x14ac:dyDescent="0.25">
      <c r="A27" s="29" t="s">
        <v>129</v>
      </c>
      <c r="B27" s="29" t="s">
        <v>130</v>
      </c>
      <c r="C27" s="29" t="s">
        <v>131</v>
      </c>
      <c r="D27" s="25" t="str">
        <f t="shared" si="0"/>
        <v>0</v>
      </c>
      <c r="E27" s="27"/>
      <c r="F27" s="27"/>
      <c r="G27" s="27"/>
      <c r="H27" s="27"/>
    </row>
    <row r="28" spans="1:8" ht="18" customHeight="1" x14ac:dyDescent="0.25">
      <c r="A28" s="29" t="s">
        <v>138</v>
      </c>
      <c r="B28" s="29" t="s">
        <v>143</v>
      </c>
      <c r="C28" s="29" t="s">
        <v>144</v>
      </c>
      <c r="D28" s="25" t="str">
        <f t="shared" si="0"/>
        <v>4</v>
      </c>
      <c r="E28" s="27">
        <v>2</v>
      </c>
      <c r="F28" s="27">
        <v>2</v>
      </c>
      <c r="G28" s="27"/>
      <c r="H28" s="27"/>
    </row>
    <row r="29" spans="1:8" ht="18" hidden="1" customHeight="1" x14ac:dyDescent="0.25">
      <c r="A29" s="29" t="s">
        <v>4</v>
      </c>
      <c r="B29" s="29" t="s">
        <v>85</v>
      </c>
      <c r="C29" s="29" t="s">
        <v>86</v>
      </c>
      <c r="D29" s="25" t="str">
        <f t="shared" si="0"/>
        <v>0</v>
      </c>
      <c r="E29" s="27"/>
      <c r="F29" s="27"/>
      <c r="G29" s="27"/>
      <c r="H29" s="27"/>
    </row>
    <row r="30" spans="1:8" ht="18" customHeight="1" x14ac:dyDescent="0.25">
      <c r="A30" s="29" t="s">
        <v>9</v>
      </c>
      <c r="B30" s="29" t="s">
        <v>25</v>
      </c>
      <c r="C30" s="29" t="s">
        <v>313</v>
      </c>
      <c r="D30" s="25" t="str">
        <f t="shared" si="0"/>
        <v>1optie klant wil geen</v>
      </c>
      <c r="E30" s="27"/>
      <c r="F30" s="27"/>
      <c r="G30" s="27">
        <v>1</v>
      </c>
      <c r="H30" s="27" t="s">
        <v>420</v>
      </c>
    </row>
    <row r="31" spans="1:8" ht="18" hidden="1" customHeight="1" x14ac:dyDescent="0.25">
      <c r="A31" s="30" t="s">
        <v>52</v>
      </c>
      <c r="B31" s="30" t="s">
        <v>213</v>
      </c>
      <c r="C31" s="30" t="s">
        <v>214</v>
      </c>
      <c r="D31" s="25" t="str">
        <f t="shared" si="0"/>
        <v>0</v>
      </c>
      <c r="E31" s="27"/>
      <c r="F31" s="27"/>
      <c r="G31" s="27"/>
      <c r="H31" s="27"/>
    </row>
    <row r="32" spans="1:8" ht="18" hidden="1" customHeight="1" x14ac:dyDescent="0.25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</row>
    <row r="33" spans="1:8" ht="18" hidden="1" customHeight="1" x14ac:dyDescent="0.25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</row>
    <row r="34" spans="1:8" ht="18" hidden="1" customHeight="1" x14ac:dyDescent="0.25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</row>
    <row r="35" spans="1:8" hidden="1" x14ac:dyDescent="0.25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</row>
    <row r="36" spans="1:8" hidden="1" x14ac:dyDescent="0.25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</row>
    <row r="37" spans="1:8" hidden="1" x14ac:dyDescent="0.25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</row>
    <row r="38" spans="1:8" hidden="1" x14ac:dyDescent="0.25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</row>
    <row r="39" spans="1:8" hidden="1" x14ac:dyDescent="0.25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</row>
    <row r="40" spans="1:8" hidden="1" x14ac:dyDescent="0.25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</row>
    <row r="41" spans="1:8" hidden="1" x14ac:dyDescent="0.25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</row>
    <row r="42" spans="1:8" hidden="1" x14ac:dyDescent="0.25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</row>
    <row r="43" spans="1:8" hidden="1" x14ac:dyDescent="0.25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</row>
    <row r="44" spans="1:8" hidden="1" x14ac:dyDescent="0.25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</row>
    <row r="45" spans="1:8" hidden="1" x14ac:dyDescent="0.25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</row>
    <row r="46" spans="1:8" hidden="1" x14ac:dyDescent="0.25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</row>
    <row r="47" spans="1:8" hidden="1" x14ac:dyDescent="0.25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</row>
    <row r="48" spans="1:8" hidden="1" x14ac:dyDescent="0.25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</row>
    <row r="49" spans="1:8" hidden="1" x14ac:dyDescent="0.25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</row>
    <row r="50" spans="1:8" hidden="1" x14ac:dyDescent="0.25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</row>
    <row r="51" spans="1:8" hidden="1" x14ac:dyDescent="0.25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</row>
    <row r="52" spans="1:8" hidden="1" x14ac:dyDescent="0.25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</row>
    <row r="53" spans="1:8" hidden="1" x14ac:dyDescent="0.25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</row>
    <row r="54" spans="1:8" hidden="1" x14ac:dyDescent="0.25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</row>
    <row r="55" spans="1:8" hidden="1" x14ac:dyDescent="0.25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</row>
    <row r="56" spans="1:8" hidden="1" x14ac:dyDescent="0.25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</row>
    <row r="57" spans="1:8" hidden="1" x14ac:dyDescent="0.25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</row>
    <row r="58" spans="1:8" hidden="1" x14ac:dyDescent="0.25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</row>
    <row r="59" spans="1:8" hidden="1" x14ac:dyDescent="0.25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</row>
    <row r="60" spans="1:8" hidden="1" x14ac:dyDescent="0.25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</row>
    <row r="61" spans="1:8" hidden="1" x14ac:dyDescent="0.25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</row>
    <row r="62" spans="1:8" hidden="1" x14ac:dyDescent="0.25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</row>
    <row r="63" spans="1:8" hidden="1" x14ac:dyDescent="0.25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</row>
    <row r="64" spans="1:8" hidden="1" x14ac:dyDescent="0.25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</row>
    <row r="65" spans="1:8" hidden="1" x14ac:dyDescent="0.25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</row>
    <row r="66" spans="1:8" hidden="1" x14ac:dyDescent="0.25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</row>
    <row r="67" spans="1:8" hidden="1" x14ac:dyDescent="0.25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</row>
    <row r="68" spans="1:8" hidden="1" x14ac:dyDescent="0.25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</row>
    <row r="69" spans="1:8" hidden="1" x14ac:dyDescent="0.25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</row>
    <row r="70" spans="1:8" hidden="1" x14ac:dyDescent="0.25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</row>
    <row r="71" spans="1:8" hidden="1" x14ac:dyDescent="0.25">
      <c r="A71" s="30" t="s">
        <v>66</v>
      </c>
      <c r="B71" s="30" t="s">
        <v>71</v>
      </c>
      <c r="C71" s="30" t="s">
        <v>72</v>
      </c>
      <c r="D71" s="25" t="str">
        <f t="shared" ref="D71:D134" si="1">(E71+F71+G71) &amp;H71</f>
        <v>0</v>
      </c>
      <c r="E71" s="27"/>
      <c r="F71" s="27"/>
      <c r="G71" s="27"/>
      <c r="H71" s="27"/>
    </row>
    <row r="72" spans="1:8" hidden="1" x14ac:dyDescent="0.25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</row>
    <row r="73" spans="1:8" hidden="1" x14ac:dyDescent="0.25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</row>
    <row r="74" spans="1:8" hidden="1" x14ac:dyDescent="0.25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</row>
    <row r="75" spans="1:8" hidden="1" x14ac:dyDescent="0.25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</row>
    <row r="76" spans="1:8" hidden="1" x14ac:dyDescent="0.25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</row>
    <row r="77" spans="1:8" hidden="1" x14ac:dyDescent="0.25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</row>
    <row r="78" spans="1:8" hidden="1" x14ac:dyDescent="0.25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</row>
    <row r="79" spans="1:8" hidden="1" x14ac:dyDescent="0.25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</row>
    <row r="80" spans="1:8" hidden="1" x14ac:dyDescent="0.25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</row>
    <row r="81" spans="1:32" hidden="1" x14ac:dyDescent="0.25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</row>
    <row r="82" spans="1:32" hidden="1" x14ac:dyDescent="0.25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</row>
    <row r="83" spans="1:32" hidden="1" x14ac:dyDescent="0.25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</row>
    <row r="84" spans="1:32" hidden="1" x14ac:dyDescent="0.25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</row>
    <row r="85" spans="1:32" hidden="1" x14ac:dyDescent="0.25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</row>
    <row r="86" spans="1:32" hidden="1" x14ac:dyDescent="0.25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</row>
    <row r="87" spans="1:32" hidden="1" x14ac:dyDescent="0.25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</row>
    <row r="88" spans="1:32" hidden="1" x14ac:dyDescent="0.25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</row>
    <row r="89" spans="1:32" hidden="1" x14ac:dyDescent="0.25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</row>
    <row r="90" spans="1:32" hidden="1" x14ac:dyDescent="0.25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</row>
    <row r="91" spans="1:32" hidden="1" x14ac:dyDescent="0.25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</row>
    <row r="92" spans="1:32" hidden="1" x14ac:dyDescent="0.25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</row>
    <row r="93" spans="1:32" hidden="1" x14ac:dyDescent="0.25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W93" s="3"/>
      <c r="AE93" s="3"/>
      <c r="AF93" s="3"/>
    </row>
    <row r="94" spans="1:32" hidden="1" x14ac:dyDescent="0.25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W94" s="3"/>
      <c r="AE94" s="3"/>
      <c r="AF94" s="3"/>
    </row>
    <row r="95" spans="1:32" hidden="1" x14ac:dyDescent="0.25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W95" s="3"/>
      <c r="AE95" s="3"/>
      <c r="AF95" s="3"/>
    </row>
    <row r="96" spans="1:32" hidden="1" x14ac:dyDescent="0.25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W96" s="3"/>
      <c r="AE96" s="3"/>
      <c r="AF96" s="3"/>
    </row>
    <row r="97" spans="1:32" hidden="1" x14ac:dyDescent="0.25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W97" s="3"/>
      <c r="AE97" s="3"/>
      <c r="AF97" s="3"/>
    </row>
    <row r="98" spans="1:32" hidden="1" x14ac:dyDescent="0.25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</row>
    <row r="99" spans="1:32" hidden="1" x14ac:dyDescent="0.25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</row>
    <row r="100" spans="1:32" hidden="1" x14ac:dyDescent="0.25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</row>
    <row r="101" spans="1:32" hidden="1" x14ac:dyDescent="0.25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</row>
    <row r="102" spans="1:32" hidden="1" x14ac:dyDescent="0.25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</row>
    <row r="103" spans="1:32" hidden="1" x14ac:dyDescent="0.25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</row>
    <row r="104" spans="1:32" hidden="1" x14ac:dyDescent="0.25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</row>
    <row r="105" spans="1:32" hidden="1" x14ac:dyDescent="0.25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</row>
    <row r="106" spans="1:32" hidden="1" x14ac:dyDescent="0.25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</row>
    <row r="107" spans="1:32" hidden="1" x14ac:dyDescent="0.25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</row>
    <row r="108" spans="1:32" hidden="1" x14ac:dyDescent="0.25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</row>
    <row r="109" spans="1:32" hidden="1" x14ac:dyDescent="0.25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</row>
    <row r="110" spans="1:32" hidden="1" x14ac:dyDescent="0.25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</row>
    <row r="111" spans="1:32" hidden="1" x14ac:dyDescent="0.25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</row>
    <row r="112" spans="1:32" hidden="1" x14ac:dyDescent="0.25">
      <c r="A112" s="30" t="s">
        <v>107</v>
      </c>
      <c r="B112" s="30" t="s">
        <v>110</v>
      </c>
      <c r="C112" s="30" t="s">
        <v>111</v>
      </c>
      <c r="D112" s="25" t="str">
        <f t="shared" si="1"/>
        <v>0</v>
      </c>
      <c r="E112" s="27"/>
      <c r="F112" s="27"/>
      <c r="G112" s="27"/>
      <c r="H112" s="27"/>
    </row>
    <row r="113" spans="1:8" hidden="1" x14ac:dyDescent="0.25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</row>
    <row r="114" spans="1:8" hidden="1" x14ac:dyDescent="0.25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</row>
    <row r="115" spans="1:8" hidden="1" x14ac:dyDescent="0.25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</row>
    <row r="116" spans="1:8" hidden="1" x14ac:dyDescent="0.25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</row>
    <row r="117" spans="1:8" hidden="1" x14ac:dyDescent="0.25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</row>
    <row r="118" spans="1:8" hidden="1" x14ac:dyDescent="0.25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</row>
    <row r="119" spans="1:8" hidden="1" x14ac:dyDescent="0.25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</row>
    <row r="120" spans="1:8" hidden="1" x14ac:dyDescent="0.25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</row>
    <row r="121" spans="1:8" hidden="1" x14ac:dyDescent="0.25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</row>
    <row r="122" spans="1:8" hidden="1" x14ac:dyDescent="0.25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</row>
    <row r="123" spans="1:8" hidden="1" x14ac:dyDescent="0.25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</row>
    <row r="124" spans="1:8" hidden="1" x14ac:dyDescent="0.25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</row>
    <row r="125" spans="1:8" hidden="1" x14ac:dyDescent="0.25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</row>
    <row r="126" spans="1:8" hidden="1" x14ac:dyDescent="0.25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</row>
    <row r="127" spans="1:8" hidden="1" x14ac:dyDescent="0.25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</row>
    <row r="128" spans="1:8" hidden="1" x14ac:dyDescent="0.25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</row>
    <row r="129" spans="1:36" hidden="1" x14ac:dyDescent="0.25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</row>
    <row r="130" spans="1:36" hidden="1" x14ac:dyDescent="0.25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</row>
    <row r="131" spans="1:36" hidden="1" x14ac:dyDescent="0.25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</row>
    <row r="132" spans="1:36" hidden="1" x14ac:dyDescent="0.25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</row>
    <row r="133" spans="1:36" hidden="1" x14ac:dyDescent="0.25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</row>
    <row r="134" spans="1:36" hidden="1" x14ac:dyDescent="0.25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</row>
    <row r="135" spans="1:36" hidden="1" x14ac:dyDescent="0.25">
      <c r="A135" s="30" t="s">
        <v>14</v>
      </c>
      <c r="B135" s="30" t="s">
        <v>17</v>
      </c>
      <c r="C135" s="30" t="s">
        <v>18</v>
      </c>
      <c r="D135" s="25" t="str">
        <f t="shared" ref="D135:D164" si="2">(E135+F135+G135) &amp;H135</f>
        <v>0</v>
      </c>
      <c r="E135" s="27"/>
      <c r="F135" s="27"/>
      <c r="G135" s="27"/>
      <c r="H135" s="27"/>
    </row>
    <row r="136" spans="1:36" hidden="1" x14ac:dyDescent="0.25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</row>
    <row r="137" spans="1:36" hidden="1" x14ac:dyDescent="0.25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</row>
    <row r="138" spans="1:36" hidden="1" x14ac:dyDescent="0.25">
      <c r="A138" s="30" t="s">
        <v>36</v>
      </c>
      <c r="B138" s="30" t="s">
        <v>37</v>
      </c>
      <c r="C138" s="30" t="s">
        <v>38</v>
      </c>
      <c r="D138" s="25" t="str">
        <f t="shared" si="2"/>
        <v>0</v>
      </c>
      <c r="E138" s="27"/>
      <c r="F138" s="27"/>
      <c r="G138" s="27"/>
      <c r="H138" s="27"/>
      <c r="AA138" s="3"/>
      <c r="AI138" s="3"/>
      <c r="AJ138" s="3"/>
    </row>
    <row r="139" spans="1:36" x14ac:dyDescent="0.25">
      <c r="A139" s="30" t="s">
        <v>383</v>
      </c>
      <c r="B139" s="30" t="s">
        <v>384</v>
      </c>
      <c r="C139" s="30" t="s">
        <v>385</v>
      </c>
      <c r="D139" s="25" t="str">
        <f t="shared" si="2"/>
        <v>1</v>
      </c>
      <c r="E139" s="27"/>
      <c r="F139" s="27"/>
      <c r="G139" s="27">
        <v>1</v>
      </c>
      <c r="H139" s="27"/>
      <c r="AA139" s="3"/>
      <c r="AI139" s="3"/>
      <c r="AJ139" s="3"/>
    </row>
    <row r="140" spans="1:36" x14ac:dyDescent="0.25">
      <c r="A140" t="s">
        <v>30</v>
      </c>
      <c r="B140" t="s">
        <v>39</v>
      </c>
      <c r="C140" t="s">
        <v>40</v>
      </c>
      <c r="D140" s="25" t="str">
        <f t="shared" si="2"/>
        <v>1</v>
      </c>
      <c r="F140" s="20">
        <v>1</v>
      </c>
      <c r="AA140" s="3"/>
      <c r="AI140" s="3"/>
      <c r="AJ140" s="3"/>
    </row>
    <row r="141" spans="1:36" hidden="1" x14ac:dyDescent="0.25">
      <c r="A141" t="s">
        <v>41</v>
      </c>
      <c r="B141" t="s">
        <v>42</v>
      </c>
      <c r="C141" t="s">
        <v>43</v>
      </c>
      <c r="D141" s="25" t="str">
        <f t="shared" si="2"/>
        <v>0</v>
      </c>
    </row>
    <row r="142" spans="1:36" hidden="1" x14ac:dyDescent="0.25">
      <c r="A142"/>
      <c r="B142"/>
      <c r="C142"/>
      <c r="D142" s="25" t="str">
        <f t="shared" si="2"/>
        <v>0</v>
      </c>
    </row>
    <row r="143" spans="1:36" hidden="1" x14ac:dyDescent="0.25">
      <c r="A143"/>
      <c r="B143"/>
      <c r="C143"/>
      <c r="D143" s="25" t="str">
        <f t="shared" si="2"/>
        <v>0</v>
      </c>
    </row>
    <row r="144" spans="1:36" hidden="1" x14ac:dyDescent="0.25">
      <c r="A144"/>
      <c r="B144"/>
      <c r="C144"/>
      <c r="D144" s="25" t="str">
        <f t="shared" si="2"/>
        <v>0</v>
      </c>
    </row>
    <row r="145" spans="4:22" hidden="1" x14ac:dyDescent="0.25">
      <c r="D145" s="25" t="str">
        <f t="shared" si="2"/>
        <v>0</v>
      </c>
    </row>
    <row r="146" spans="4:22" hidden="1" x14ac:dyDescent="0.25">
      <c r="D146" s="25" t="str">
        <f t="shared" si="2"/>
        <v>0</v>
      </c>
    </row>
    <row r="147" spans="4:22" hidden="1" x14ac:dyDescent="0.25">
      <c r="D147" s="25" t="str">
        <f t="shared" si="2"/>
        <v>0</v>
      </c>
      <c r="K147" t="s">
        <v>388</v>
      </c>
      <c r="L147" t="s">
        <v>389</v>
      </c>
      <c r="M147" t="s">
        <v>390</v>
      </c>
      <c r="N147" t="s">
        <v>391</v>
      </c>
      <c r="O147" t="s">
        <v>392</v>
      </c>
      <c r="P147" t="s">
        <v>393</v>
      </c>
      <c r="Q147" t="s">
        <v>394</v>
      </c>
      <c r="R147" t="s">
        <v>395</v>
      </c>
      <c r="S147" t="s">
        <v>396</v>
      </c>
      <c r="T147" t="s">
        <v>397</v>
      </c>
      <c r="U147" t="s">
        <v>398</v>
      </c>
    </row>
    <row r="148" spans="4:22" hidden="1" x14ac:dyDescent="0.25">
      <c r="D148" s="25" t="str">
        <f t="shared" si="2"/>
        <v>0</v>
      </c>
      <c r="L148" t="s">
        <v>399</v>
      </c>
      <c r="M148" t="s">
        <v>400</v>
      </c>
      <c r="Q148" t="s">
        <v>401</v>
      </c>
      <c r="R148" t="s">
        <v>402</v>
      </c>
      <c r="S148" t="s">
        <v>403</v>
      </c>
      <c r="T148" t="s">
        <v>404</v>
      </c>
      <c r="U148" t="s">
        <v>405</v>
      </c>
      <c r="V148" t="s">
        <v>404</v>
      </c>
    </row>
    <row r="149" spans="4:22" hidden="1" x14ac:dyDescent="0.25">
      <c r="D149" s="25" t="str">
        <f t="shared" si="2"/>
        <v>0</v>
      </c>
      <c r="L149" t="s">
        <v>406</v>
      </c>
      <c r="M149" t="s">
        <v>407</v>
      </c>
      <c r="Q149" t="s">
        <v>408</v>
      </c>
      <c r="R149" t="s">
        <v>409</v>
      </c>
      <c r="S149" t="s">
        <v>403</v>
      </c>
      <c r="T149" t="s">
        <v>410</v>
      </c>
      <c r="U149" t="s">
        <v>405</v>
      </c>
      <c r="V149" t="s">
        <v>410</v>
      </c>
    </row>
    <row r="150" spans="4:22" hidden="1" x14ac:dyDescent="0.25">
      <c r="D150" s="25" t="str">
        <f t="shared" si="2"/>
        <v>0</v>
      </c>
      <c r="L150" t="s">
        <v>411</v>
      </c>
      <c r="M150" t="s">
        <v>400</v>
      </c>
      <c r="Q150" t="s">
        <v>412</v>
      </c>
      <c r="R150" t="s">
        <v>409</v>
      </c>
      <c r="S150" t="s">
        <v>403</v>
      </c>
      <c r="T150" t="s">
        <v>413</v>
      </c>
      <c r="U150" t="s">
        <v>405</v>
      </c>
      <c r="V150" t="s">
        <v>413</v>
      </c>
    </row>
    <row r="151" spans="4:22" hidden="1" x14ac:dyDescent="0.25">
      <c r="D151" s="25" t="str">
        <f t="shared" si="2"/>
        <v>0</v>
      </c>
      <c r="L151" t="s">
        <v>414</v>
      </c>
      <c r="M151" t="s">
        <v>400</v>
      </c>
      <c r="Q151" t="s">
        <v>415</v>
      </c>
      <c r="R151" t="s">
        <v>409</v>
      </c>
      <c r="S151" t="s">
        <v>416</v>
      </c>
      <c r="T151" t="s">
        <v>417</v>
      </c>
      <c r="U151" t="s">
        <v>405</v>
      </c>
      <c r="V151" t="s">
        <v>417</v>
      </c>
    </row>
    <row r="152" spans="4:22" hidden="1" x14ac:dyDescent="0.25">
      <c r="D152" s="25" t="str">
        <f t="shared" si="2"/>
        <v>0</v>
      </c>
      <c r="L152" t="s">
        <v>414</v>
      </c>
      <c r="M152" t="s">
        <v>400</v>
      </c>
      <c r="Q152" t="s">
        <v>418</v>
      </c>
      <c r="R152" t="s">
        <v>409</v>
      </c>
      <c r="S152" t="s">
        <v>416</v>
      </c>
      <c r="T152" t="s">
        <v>419</v>
      </c>
      <c r="U152" t="s">
        <v>405</v>
      </c>
      <c r="V152" t="s">
        <v>419</v>
      </c>
    </row>
    <row r="153" spans="4:22" hidden="1" x14ac:dyDescent="0.25">
      <c r="D153" s="25" t="str">
        <f t="shared" si="2"/>
        <v>0</v>
      </c>
    </row>
    <row r="154" spans="4:22" hidden="1" x14ac:dyDescent="0.25">
      <c r="D154" s="25" t="str">
        <f t="shared" si="2"/>
        <v>0</v>
      </c>
    </row>
    <row r="155" spans="4:22" hidden="1" x14ac:dyDescent="0.25">
      <c r="D155" s="25" t="str">
        <f t="shared" si="2"/>
        <v>0</v>
      </c>
    </row>
    <row r="156" spans="4:22" hidden="1" x14ac:dyDescent="0.25">
      <c r="D156" s="25" t="str">
        <f t="shared" si="2"/>
        <v>0</v>
      </c>
    </row>
    <row r="157" spans="4:22" hidden="1" x14ac:dyDescent="0.25">
      <c r="D157" s="25" t="str">
        <f t="shared" si="2"/>
        <v>0</v>
      </c>
    </row>
    <row r="158" spans="4:22" hidden="1" x14ac:dyDescent="0.25">
      <c r="D158" s="25" t="str">
        <f t="shared" si="2"/>
        <v>0</v>
      </c>
    </row>
    <row r="159" spans="4:22" hidden="1" x14ac:dyDescent="0.25">
      <c r="D159" s="25" t="str">
        <f t="shared" si="2"/>
        <v>0</v>
      </c>
    </row>
    <row r="160" spans="4:22" hidden="1" x14ac:dyDescent="0.25">
      <c r="D160" s="25" t="str">
        <f t="shared" si="2"/>
        <v>0</v>
      </c>
    </row>
    <row r="161" spans="4:4" hidden="1" x14ac:dyDescent="0.25">
      <c r="D161" s="25" t="str">
        <f t="shared" si="2"/>
        <v>0</v>
      </c>
    </row>
    <row r="162" spans="4:4" hidden="1" x14ac:dyDescent="0.25">
      <c r="D162" s="25" t="str">
        <f t="shared" si="2"/>
        <v>0</v>
      </c>
    </row>
    <row r="163" spans="4:4" hidden="1" x14ac:dyDescent="0.25">
      <c r="D163" s="25" t="str">
        <f t="shared" si="2"/>
        <v>0</v>
      </c>
    </row>
    <row r="164" spans="4:4" hidden="1" x14ac:dyDescent="0.25">
      <c r="D164" s="25" t="str">
        <f t="shared" si="2"/>
        <v>0</v>
      </c>
    </row>
  </sheetData>
  <autoFilter ref="A5:H164">
    <filterColumn colId="3">
      <filters>
        <filter val="1"/>
        <filter val="1optie"/>
        <filter val="2"/>
        <filter val="4"/>
        <filter val="60"/>
      </filters>
    </filterColumn>
  </autoFilter>
  <hyperlinks>
    <hyperlink ref="A1" r:id="rId1"/>
    <hyperlink ref="I1" r:id="rId2"/>
    <hyperlink ref="D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34817" r:id="rId7" name="CommandButton1">
          <controlPr autoLine="0" r:id="rId8">
            <anchor moveWithCells="1">
              <from>
                <xdr:col>7</xdr:col>
                <xdr:colOff>371475</xdr:colOff>
                <xdr:row>1</xdr:row>
                <xdr:rowOff>47625</xdr:rowOff>
              </from>
              <to>
                <xdr:col>9</xdr:col>
                <xdr:colOff>104775</xdr:colOff>
                <xdr:row>2</xdr:row>
                <xdr:rowOff>171450</xdr:rowOff>
              </to>
            </anchor>
          </controlPr>
        </control>
      </mc:Choice>
      <mc:Fallback>
        <control shapeId="34817" r:id="rId7" name="CommandButton1"/>
      </mc:Fallback>
    </mc:AlternateContent>
    <mc:AlternateContent xmlns:mc="http://schemas.openxmlformats.org/markup-compatibility/2006">
      <mc:Choice Requires="x14">
        <control shapeId="34818" r:id="rId9" name="CommandButton2">
          <controlPr autoLine="0" r:id="rId10">
            <anchor moveWithCells="1">
              <from>
                <xdr:col>6</xdr:col>
                <xdr:colOff>123825</xdr:colOff>
                <xdr:row>0</xdr:row>
                <xdr:rowOff>104775</xdr:rowOff>
              </from>
              <to>
                <xdr:col>7</xdr:col>
                <xdr:colOff>323850</xdr:colOff>
                <xdr:row>2</xdr:row>
                <xdr:rowOff>28575</xdr:rowOff>
              </to>
            </anchor>
          </controlPr>
        </control>
      </mc:Choice>
      <mc:Fallback>
        <control shapeId="34818" r:id="rId9" name="CommandButton2"/>
      </mc:Fallback>
    </mc:AlternateContent>
    <mc:AlternateContent xmlns:mc="http://schemas.openxmlformats.org/markup-compatibility/2006">
      <mc:Choice Requires="x14">
        <control shapeId="34819" r:id="rId11" name="CommandButton3">
          <controlPr autoLine="0" autoPict="0" r:id="rId12">
            <anchor moveWithCells="1">
              <from>
                <xdr:col>4</xdr:col>
                <xdr:colOff>781050</xdr:colOff>
                <xdr:row>0</xdr:row>
                <xdr:rowOff>95250</xdr:rowOff>
              </from>
              <to>
                <xdr:col>6</xdr:col>
                <xdr:colOff>19050</xdr:colOff>
                <xdr:row>2</xdr:row>
                <xdr:rowOff>19050</xdr:rowOff>
              </to>
            </anchor>
          </controlPr>
        </control>
      </mc:Choice>
      <mc:Fallback>
        <control shapeId="34819" r:id="rId11" name="CommandButton3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6" filterMode="1">
    <pageSetUpPr fitToPage="1"/>
  </sheetPr>
  <dimension ref="A1:AM138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x14ac:dyDescent="0.25">
      <c r="B1" s="7" t="s">
        <v>325</v>
      </c>
      <c r="C1" s="19" t="str">
        <f ca="1">MID(CELL("filename",A1),FIND("]",CELL("filename",A1))+1,256)</f>
        <v>rgo190010</v>
      </c>
      <c r="F1" s="6" t="s">
        <v>339</v>
      </c>
      <c r="J1" s="6" t="s">
        <v>288</v>
      </c>
      <c r="O1" s="6" t="s">
        <v>295</v>
      </c>
    </row>
    <row r="2" spans="1:15" ht="26.25" customHeight="1" x14ac:dyDescent="0.25">
      <c r="A2" s="11" t="s">
        <v>307</v>
      </c>
      <c r="B2" s="11" t="s">
        <v>324</v>
      </c>
      <c r="C2" s="11" t="s">
        <v>323</v>
      </c>
      <c r="D2" s="5">
        <v>30</v>
      </c>
      <c r="J2" s="6"/>
      <c r="O2" s="6"/>
    </row>
    <row r="3" spans="1:15" ht="18" hidden="1" customHeight="1" x14ac:dyDescent="0.25">
      <c r="A3" s="11" t="s">
        <v>314</v>
      </c>
      <c r="B3" s="11" t="s">
        <v>315</v>
      </c>
      <c r="C3" s="11" t="s">
        <v>365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1</v>
      </c>
      <c r="F7" s="10" t="s">
        <v>369</v>
      </c>
      <c r="G7" s="10" t="s">
        <v>370</v>
      </c>
      <c r="J7" s="6" t="s">
        <v>368</v>
      </c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hidden="1" customHeight="1" x14ac:dyDescent="0.25">
      <c r="A20" s="10" t="s">
        <v>138</v>
      </c>
      <c r="B20" s="10" t="s">
        <v>149</v>
      </c>
      <c r="C20" s="10" t="s">
        <v>345</v>
      </c>
      <c r="J20" s="6"/>
    </row>
    <row r="21" spans="1:10" ht="18" hidden="1" customHeight="1" x14ac:dyDescent="0.25">
      <c r="A21" s="10"/>
      <c r="B21" s="10"/>
      <c r="C21" s="10" t="s">
        <v>366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hidden="1" customHeight="1" x14ac:dyDescent="0.25">
      <c r="A24" s="10" t="s">
        <v>138</v>
      </c>
      <c r="B24" s="10" t="s">
        <v>143</v>
      </c>
      <c r="C24" s="10" t="s">
        <v>144</v>
      </c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10" t="s">
        <v>9</v>
      </c>
      <c r="B26" s="10" t="s">
        <v>25</v>
      </c>
      <c r="C26" s="10" t="s">
        <v>313</v>
      </c>
      <c r="J26" s="6"/>
    </row>
    <row r="27" spans="1:10" ht="18" hidden="1" customHeight="1" x14ac:dyDescent="0.25">
      <c r="A27" s="4" t="s">
        <v>52</v>
      </c>
      <c r="B27" s="4" t="s">
        <v>213</v>
      </c>
      <c r="C27" s="4" t="s">
        <v>214</v>
      </c>
      <c r="J27" s="6"/>
    </row>
    <row r="28" spans="1:10" ht="18" hidden="1" customHeight="1" x14ac:dyDescent="0.25">
      <c r="A28" s="4" t="s">
        <v>138</v>
      </c>
      <c r="B28" s="4" t="s">
        <v>141</v>
      </c>
      <c r="C28" s="4" t="s">
        <v>142</v>
      </c>
      <c r="J28" s="6"/>
    </row>
    <row r="29" spans="1:10" ht="18" hidden="1" customHeight="1" x14ac:dyDescent="0.25">
      <c r="A29" s="4" t="s">
        <v>7</v>
      </c>
      <c r="B29" s="4" t="s">
        <v>8</v>
      </c>
      <c r="C29" s="4" t="s">
        <v>303</v>
      </c>
      <c r="J29" s="6"/>
    </row>
    <row r="30" spans="1:10" ht="18" hidden="1" customHeight="1" x14ac:dyDescent="0.25">
      <c r="A30" s="4" t="s">
        <v>7</v>
      </c>
      <c r="B30" s="4" t="s">
        <v>196</v>
      </c>
      <c r="C30" s="4" t="s">
        <v>302</v>
      </c>
      <c r="J30" s="6"/>
    </row>
    <row r="31" spans="1:10" hidden="1" x14ac:dyDescent="0.25">
      <c r="A31" s="4" t="s">
        <v>47</v>
      </c>
      <c r="B31" s="4" t="s">
        <v>205</v>
      </c>
      <c r="C31" s="4" t="s">
        <v>206</v>
      </c>
    </row>
    <row r="32" spans="1:10" hidden="1" x14ac:dyDescent="0.25">
      <c r="A32" s="4" t="s">
        <v>47</v>
      </c>
      <c r="B32" s="4" t="s">
        <v>207</v>
      </c>
      <c r="C32" s="4" t="s">
        <v>208</v>
      </c>
      <c r="J32" s="6"/>
    </row>
    <row r="33" spans="1:3" hidden="1" x14ac:dyDescent="0.25">
      <c r="A33" s="4" t="s">
        <v>47</v>
      </c>
      <c r="B33" s="4" t="s">
        <v>209</v>
      </c>
      <c r="C33" s="4" t="s">
        <v>210</v>
      </c>
    </row>
    <row r="34" spans="1:3" hidden="1" x14ac:dyDescent="0.25">
      <c r="A34" s="4" t="s">
        <v>47</v>
      </c>
      <c r="B34" s="4" t="s">
        <v>211</v>
      </c>
      <c r="C34" s="4" t="s">
        <v>212</v>
      </c>
    </row>
    <row r="35" spans="1:3" hidden="1" x14ac:dyDescent="0.25">
      <c r="A35" s="4" t="s">
        <v>47</v>
      </c>
      <c r="B35" s="4" t="s">
        <v>48</v>
      </c>
      <c r="C35" s="4" t="s">
        <v>49</v>
      </c>
    </row>
    <row r="36" spans="1:3" hidden="1" x14ac:dyDescent="0.25">
      <c r="A36" s="4" t="s">
        <v>47</v>
      </c>
      <c r="B36" s="4" t="s">
        <v>50</v>
      </c>
      <c r="C36" s="4" t="s">
        <v>51</v>
      </c>
    </row>
    <row r="37" spans="1:3" hidden="1" x14ac:dyDescent="0.25">
      <c r="A37" s="4" t="s">
        <v>55</v>
      </c>
      <c r="B37" s="4" t="s">
        <v>56</v>
      </c>
      <c r="C37" s="4" t="s">
        <v>57</v>
      </c>
    </row>
    <row r="38" spans="1:3" hidden="1" x14ac:dyDescent="0.25">
      <c r="A38" s="4" t="s">
        <v>30</v>
      </c>
      <c r="B38" s="4" t="s">
        <v>58</v>
      </c>
      <c r="C38" s="4" t="s">
        <v>59</v>
      </c>
    </row>
    <row r="39" spans="1:3" hidden="1" x14ac:dyDescent="0.25">
      <c r="A39" s="4" t="s">
        <v>30</v>
      </c>
      <c r="B39" s="4" t="s">
        <v>60</v>
      </c>
      <c r="C39" s="4" t="s">
        <v>61</v>
      </c>
    </row>
    <row r="40" spans="1:3" hidden="1" x14ac:dyDescent="0.25">
      <c r="A40" s="4" t="s">
        <v>30</v>
      </c>
      <c r="B40" s="4" t="s">
        <v>62</v>
      </c>
      <c r="C40" s="4" t="s">
        <v>63</v>
      </c>
    </row>
    <row r="41" spans="1:3" hidden="1" x14ac:dyDescent="0.25">
      <c r="A41" s="4" t="s">
        <v>30</v>
      </c>
      <c r="B41" s="4" t="s">
        <v>31</v>
      </c>
      <c r="C41" s="4" t="s">
        <v>32</v>
      </c>
    </row>
    <row r="42" spans="1:3" hidden="1" x14ac:dyDescent="0.25">
      <c r="A42" s="4" t="s">
        <v>30</v>
      </c>
      <c r="B42" s="4" t="s">
        <v>39</v>
      </c>
      <c r="C42" s="4" t="s">
        <v>40</v>
      </c>
    </row>
    <row r="43" spans="1:3" hidden="1" x14ac:dyDescent="0.25">
      <c r="A43" s="4" t="s">
        <v>30</v>
      </c>
      <c r="B43" s="4" t="s">
        <v>217</v>
      </c>
      <c r="C43" s="4" t="s">
        <v>218</v>
      </c>
    </row>
    <row r="44" spans="1:3" hidden="1" x14ac:dyDescent="0.25">
      <c r="A44" s="4" t="s">
        <v>30</v>
      </c>
      <c r="B44" s="4" t="s">
        <v>219</v>
      </c>
      <c r="C44" s="4" t="s">
        <v>220</v>
      </c>
    </row>
    <row r="45" spans="1:3" hidden="1" x14ac:dyDescent="0.25">
      <c r="A45" s="4" t="s">
        <v>200</v>
      </c>
      <c r="B45" s="4" t="s">
        <v>221</v>
      </c>
      <c r="C45" s="4" t="s">
        <v>222</v>
      </c>
    </row>
    <row r="46" spans="1:3" hidden="1" x14ac:dyDescent="0.25">
      <c r="A46" s="4" t="s">
        <v>223</v>
      </c>
      <c r="B46" s="4" t="s">
        <v>224</v>
      </c>
      <c r="C46" s="4" t="s">
        <v>225</v>
      </c>
    </row>
    <row r="47" spans="1:3" hidden="1" x14ac:dyDescent="0.25">
      <c r="A47" s="4" t="s">
        <v>0</v>
      </c>
      <c r="B47" s="4" t="s">
        <v>134</v>
      </c>
      <c r="C47" s="4" t="s">
        <v>135</v>
      </c>
    </row>
    <row r="48" spans="1:3" hidden="1" x14ac:dyDescent="0.25">
      <c r="A48" s="4" t="s">
        <v>0</v>
      </c>
      <c r="B48" s="4" t="s">
        <v>1</v>
      </c>
      <c r="C48" s="4" t="s">
        <v>2</v>
      </c>
    </row>
    <row r="49" spans="1:3" hidden="1" x14ac:dyDescent="0.25">
      <c r="A49" s="4" t="s">
        <v>0</v>
      </c>
      <c r="B49" s="4" t="s">
        <v>174</v>
      </c>
      <c r="C49" s="4" t="s">
        <v>175</v>
      </c>
    </row>
    <row r="50" spans="1:3" hidden="1" x14ac:dyDescent="0.25">
      <c r="A50" s="4" t="s">
        <v>0</v>
      </c>
      <c r="B50" s="4" t="s">
        <v>176</v>
      </c>
      <c r="C50" s="4" t="s">
        <v>177</v>
      </c>
    </row>
    <row r="51" spans="1:3" hidden="1" x14ac:dyDescent="0.25">
      <c r="A51" s="4" t="s">
        <v>0</v>
      </c>
      <c r="B51" s="4" t="s">
        <v>226</v>
      </c>
      <c r="C51" s="4" t="s">
        <v>227</v>
      </c>
    </row>
    <row r="52" spans="1:3" hidden="1" x14ac:dyDescent="0.25">
      <c r="A52" s="4" t="s">
        <v>3</v>
      </c>
      <c r="B52" s="4" t="s">
        <v>228</v>
      </c>
      <c r="C52" s="4" t="s">
        <v>229</v>
      </c>
    </row>
    <row r="53" spans="1:3" hidden="1" x14ac:dyDescent="0.25">
      <c r="A53" s="4" t="s">
        <v>3</v>
      </c>
      <c r="B53" s="4" t="s">
        <v>178</v>
      </c>
      <c r="C53" s="4" t="s">
        <v>179</v>
      </c>
    </row>
    <row r="54" spans="1:3" hidden="1" x14ac:dyDescent="0.25">
      <c r="A54" s="4" t="s">
        <v>3</v>
      </c>
      <c r="B54" s="4" t="s">
        <v>289</v>
      </c>
      <c r="C54" s="4" t="s">
        <v>290</v>
      </c>
    </row>
    <row r="55" spans="1:3" hidden="1" x14ac:dyDescent="0.25">
      <c r="A55" s="4" t="s">
        <v>3</v>
      </c>
      <c r="B55" s="4" t="s">
        <v>64</v>
      </c>
      <c r="C55" s="4" t="s">
        <v>65</v>
      </c>
    </row>
    <row r="56" spans="1:3" hidden="1" x14ac:dyDescent="0.25">
      <c r="A56" s="4" t="s">
        <v>3</v>
      </c>
      <c r="B56" s="4" t="s">
        <v>180</v>
      </c>
      <c r="C56" s="4" t="s">
        <v>181</v>
      </c>
    </row>
    <row r="57" spans="1:3" hidden="1" x14ac:dyDescent="0.25">
      <c r="A57" s="4" t="s">
        <v>3</v>
      </c>
      <c r="B57" s="4" t="s">
        <v>230</v>
      </c>
      <c r="C57" s="4" t="s">
        <v>231</v>
      </c>
    </row>
    <row r="58" spans="1:3" hidden="1" x14ac:dyDescent="0.25">
      <c r="A58" s="4" t="s">
        <v>66</v>
      </c>
      <c r="B58" s="4" t="s">
        <v>232</v>
      </c>
      <c r="C58" s="4" t="s">
        <v>233</v>
      </c>
    </row>
    <row r="59" spans="1:3" hidden="1" x14ac:dyDescent="0.25">
      <c r="A59" s="4" t="s">
        <v>66</v>
      </c>
      <c r="B59" s="4" t="s">
        <v>234</v>
      </c>
      <c r="C59" s="4" t="s">
        <v>235</v>
      </c>
    </row>
    <row r="60" spans="1:3" hidden="1" x14ac:dyDescent="0.25">
      <c r="A60" s="4" t="s">
        <v>66</v>
      </c>
      <c r="B60" s="4" t="s">
        <v>67</v>
      </c>
      <c r="C60" s="4" t="s">
        <v>68</v>
      </c>
    </row>
    <row r="61" spans="1:3" hidden="1" x14ac:dyDescent="0.25">
      <c r="A61" s="4" t="s">
        <v>66</v>
      </c>
      <c r="B61" s="4" t="s">
        <v>236</v>
      </c>
      <c r="C61" s="4" t="s">
        <v>237</v>
      </c>
    </row>
    <row r="62" spans="1:3" hidden="1" x14ac:dyDescent="0.25">
      <c r="A62" s="4" t="s">
        <v>66</v>
      </c>
      <c r="B62" s="4" t="s">
        <v>238</v>
      </c>
      <c r="C62" s="4" t="s">
        <v>239</v>
      </c>
    </row>
    <row r="63" spans="1:3" hidden="1" x14ac:dyDescent="0.25">
      <c r="A63" s="4" t="s">
        <v>66</v>
      </c>
      <c r="B63" s="4" t="s">
        <v>182</v>
      </c>
      <c r="C63" s="4" t="s">
        <v>183</v>
      </c>
    </row>
    <row r="64" spans="1:3" hidden="1" x14ac:dyDescent="0.25">
      <c r="A64" s="4" t="s">
        <v>66</v>
      </c>
      <c r="B64" s="4" t="s">
        <v>69</v>
      </c>
      <c r="C64" s="4" t="s">
        <v>70</v>
      </c>
    </row>
    <row r="65" spans="1:3" hidden="1" x14ac:dyDescent="0.25">
      <c r="A65" s="4" t="s">
        <v>66</v>
      </c>
      <c r="B65" s="4" t="s">
        <v>240</v>
      </c>
      <c r="C65" s="4" t="s">
        <v>241</v>
      </c>
    </row>
    <row r="66" spans="1:3" hidden="1" x14ac:dyDescent="0.25">
      <c r="A66" s="4" t="s">
        <v>66</v>
      </c>
      <c r="B66" s="4" t="s">
        <v>242</v>
      </c>
      <c r="C66" s="4" t="s">
        <v>243</v>
      </c>
    </row>
    <row r="67" spans="1:3" hidden="1" x14ac:dyDescent="0.25">
      <c r="A67" s="4" t="s">
        <v>66</v>
      </c>
      <c r="B67" s="4" t="s">
        <v>71</v>
      </c>
      <c r="C67" s="4" t="s">
        <v>72</v>
      </c>
    </row>
    <row r="68" spans="1:3" hidden="1" x14ac:dyDescent="0.25">
      <c r="A68" s="4" t="s">
        <v>66</v>
      </c>
      <c r="B68" s="4" t="s">
        <v>73</v>
      </c>
      <c r="C68" s="4" t="s">
        <v>74</v>
      </c>
    </row>
    <row r="69" spans="1:3" hidden="1" x14ac:dyDescent="0.25">
      <c r="A69" s="4" t="s">
        <v>4</v>
      </c>
      <c r="B69" s="4" t="s">
        <v>75</v>
      </c>
      <c r="C69" s="4" t="s">
        <v>76</v>
      </c>
    </row>
    <row r="70" spans="1:3" hidden="1" x14ac:dyDescent="0.25">
      <c r="A70" s="4" t="s">
        <v>4</v>
      </c>
      <c r="B70" s="4" t="s">
        <v>77</v>
      </c>
      <c r="C70" s="4" t="s">
        <v>78</v>
      </c>
    </row>
    <row r="71" spans="1:3" hidden="1" x14ac:dyDescent="0.25">
      <c r="A71" s="4" t="s">
        <v>4</v>
      </c>
      <c r="B71" s="4" t="s">
        <v>79</v>
      </c>
      <c r="C71" s="4" t="s">
        <v>80</v>
      </c>
    </row>
    <row r="72" spans="1:3" hidden="1" x14ac:dyDescent="0.25">
      <c r="A72" s="4" t="s">
        <v>4</v>
      </c>
      <c r="B72" s="4" t="s">
        <v>136</v>
      </c>
      <c r="C72" s="4" t="s">
        <v>137</v>
      </c>
    </row>
    <row r="73" spans="1:3" hidden="1" x14ac:dyDescent="0.25">
      <c r="A73" s="4" t="s">
        <v>4</v>
      </c>
      <c r="B73" s="4" t="s">
        <v>81</v>
      </c>
      <c r="C73" s="4" t="s">
        <v>82</v>
      </c>
    </row>
    <row r="74" spans="1:3" hidden="1" x14ac:dyDescent="0.25">
      <c r="A74" s="4" t="s">
        <v>4</v>
      </c>
      <c r="B74" s="4" t="s">
        <v>83</v>
      </c>
      <c r="C74" s="4" t="s">
        <v>84</v>
      </c>
    </row>
    <row r="75" spans="1:3" hidden="1" x14ac:dyDescent="0.25">
      <c r="A75" s="4" t="s">
        <v>4</v>
      </c>
      <c r="B75" s="4" t="s">
        <v>5</v>
      </c>
      <c r="C75" s="4" t="s">
        <v>6</v>
      </c>
    </row>
    <row r="76" spans="1:3" hidden="1" x14ac:dyDescent="0.25">
      <c r="A76" s="4" t="s">
        <v>4</v>
      </c>
      <c r="B76" s="4" t="s">
        <v>127</v>
      </c>
      <c r="C76" s="4" t="s">
        <v>128</v>
      </c>
    </row>
    <row r="77" spans="1:3" hidden="1" x14ac:dyDescent="0.25">
      <c r="A77" s="4" t="s">
        <v>4</v>
      </c>
      <c r="B77" s="4" t="s">
        <v>184</v>
      </c>
      <c r="C77" s="4" t="s">
        <v>185</v>
      </c>
    </row>
    <row r="78" spans="1:3" hidden="1" x14ac:dyDescent="0.25">
      <c r="A78" s="4" t="s">
        <v>4</v>
      </c>
      <c r="B78" s="4" t="s">
        <v>186</v>
      </c>
      <c r="C78" s="4" t="s">
        <v>187</v>
      </c>
    </row>
    <row r="79" spans="1:3" hidden="1" x14ac:dyDescent="0.25">
      <c r="A79" s="4" t="s">
        <v>4</v>
      </c>
      <c r="B79" s="4" t="s">
        <v>190</v>
      </c>
      <c r="C79" s="4" t="s">
        <v>191</v>
      </c>
    </row>
    <row r="80" spans="1:3" hidden="1" x14ac:dyDescent="0.25">
      <c r="A80" s="4" t="s">
        <v>4</v>
      </c>
      <c r="B80" s="4" t="s">
        <v>192</v>
      </c>
      <c r="C80" s="4" t="s">
        <v>193</v>
      </c>
    </row>
    <row r="81" spans="1:35" hidden="1" x14ac:dyDescent="0.25">
      <c r="A81" s="4" t="s">
        <v>4</v>
      </c>
      <c r="B81" s="4" t="s">
        <v>194</v>
      </c>
      <c r="C81" s="4" t="s">
        <v>195</v>
      </c>
    </row>
    <row r="82" spans="1:35" hidden="1" x14ac:dyDescent="0.25">
      <c r="A82" s="4" t="s">
        <v>4</v>
      </c>
      <c r="B82" s="4" t="s">
        <v>291</v>
      </c>
      <c r="C82" s="4" t="s">
        <v>292</v>
      </c>
    </row>
    <row r="83" spans="1:35" hidden="1" x14ac:dyDescent="0.25">
      <c r="A83" s="4" t="s">
        <v>4</v>
      </c>
      <c r="B83" s="4" t="s">
        <v>244</v>
      </c>
      <c r="C83" s="4" t="s">
        <v>245</v>
      </c>
    </row>
    <row r="84" spans="1:35" hidden="1" x14ac:dyDescent="0.25">
      <c r="A84" s="4" t="s">
        <v>4</v>
      </c>
      <c r="B84" s="4" t="s">
        <v>246</v>
      </c>
      <c r="C84" s="4" t="s">
        <v>247</v>
      </c>
    </row>
    <row r="85" spans="1:35" hidden="1" x14ac:dyDescent="0.25">
      <c r="A85" s="4" t="s">
        <v>138</v>
      </c>
      <c r="B85" s="4" t="s">
        <v>158</v>
      </c>
      <c r="C85" s="4" t="s">
        <v>157</v>
      </c>
    </row>
    <row r="86" spans="1:35" hidden="1" x14ac:dyDescent="0.25">
      <c r="A86" s="4" t="s">
        <v>145</v>
      </c>
      <c r="B86" s="4" t="s">
        <v>146</v>
      </c>
      <c r="C86" s="4" t="s">
        <v>147</v>
      </c>
    </row>
    <row r="87" spans="1:35" hidden="1" x14ac:dyDescent="0.25">
      <c r="A87" s="4" t="s">
        <v>9</v>
      </c>
      <c r="B87" s="4" t="s">
        <v>87</v>
      </c>
      <c r="C87" s="4" t="s">
        <v>88</v>
      </c>
    </row>
    <row r="88" spans="1:35" hidden="1" x14ac:dyDescent="0.25">
      <c r="A88" s="4" t="s">
        <v>9</v>
      </c>
      <c r="B88" s="4" t="s">
        <v>89</v>
      </c>
      <c r="C88" s="4" t="s">
        <v>90</v>
      </c>
    </row>
    <row r="89" spans="1:35" hidden="1" x14ac:dyDescent="0.25">
      <c r="A89" s="4" t="s">
        <v>9</v>
      </c>
      <c r="B89" s="4" t="s">
        <v>10</v>
      </c>
      <c r="C89" s="4" t="s">
        <v>11</v>
      </c>
      <c r="Z89" s="3"/>
      <c r="AH89" s="3"/>
      <c r="AI89" s="3"/>
    </row>
    <row r="90" spans="1:35" hidden="1" x14ac:dyDescent="0.25">
      <c r="A90" s="4" t="s">
        <v>9</v>
      </c>
      <c r="B90" s="4" t="s">
        <v>12</v>
      </c>
      <c r="C90" s="4" t="s">
        <v>13</v>
      </c>
      <c r="Z90" s="3"/>
      <c r="AH90" s="3"/>
      <c r="AI90" s="3"/>
    </row>
    <row r="91" spans="1:35" hidden="1" x14ac:dyDescent="0.25">
      <c r="A91" s="4" t="s">
        <v>9</v>
      </c>
      <c r="B91" s="4" t="s">
        <v>19</v>
      </c>
      <c r="C91" s="4" t="s">
        <v>20</v>
      </c>
      <c r="Z91" s="3"/>
      <c r="AH91" s="3"/>
      <c r="AI91" s="3"/>
    </row>
    <row r="92" spans="1:35" hidden="1" x14ac:dyDescent="0.25">
      <c r="A92" s="4" t="s">
        <v>9</v>
      </c>
      <c r="B92" s="4" t="s">
        <v>21</v>
      </c>
      <c r="C92" s="4" t="s">
        <v>22</v>
      </c>
      <c r="Z92" s="3"/>
      <c r="AH92" s="3"/>
      <c r="AI92" s="3"/>
    </row>
    <row r="93" spans="1:35" hidden="1" x14ac:dyDescent="0.25">
      <c r="A93" s="4" t="s">
        <v>9</v>
      </c>
      <c r="B93" s="4" t="s">
        <v>132</v>
      </c>
      <c r="C93" s="4" t="s">
        <v>133</v>
      </c>
      <c r="Z93" s="3"/>
      <c r="AH93" s="3"/>
      <c r="AI93" s="3"/>
    </row>
    <row r="94" spans="1:35" hidden="1" x14ac:dyDescent="0.25">
      <c r="A94" s="4" t="s">
        <v>9</v>
      </c>
      <c r="B94" s="4" t="s">
        <v>23</v>
      </c>
      <c r="C94" s="4" t="s">
        <v>24</v>
      </c>
    </row>
    <row r="95" spans="1:35" hidden="1" x14ac:dyDescent="0.25">
      <c r="A95" s="4" t="s">
        <v>9</v>
      </c>
      <c r="B95" s="4" t="s">
        <v>91</v>
      </c>
      <c r="C95" s="4" t="s">
        <v>92</v>
      </c>
    </row>
    <row r="96" spans="1:35" hidden="1" x14ac:dyDescent="0.25">
      <c r="A96" s="4" t="s">
        <v>9</v>
      </c>
      <c r="B96" s="4" t="s">
        <v>93</v>
      </c>
      <c r="C96" s="4" t="s">
        <v>94</v>
      </c>
    </row>
    <row r="97" spans="1:3" hidden="1" x14ac:dyDescent="0.25">
      <c r="A97" s="4" t="s">
        <v>9</v>
      </c>
      <c r="B97" s="4" t="s">
        <v>164</v>
      </c>
      <c r="C97" s="4" t="s">
        <v>163</v>
      </c>
    </row>
    <row r="98" spans="1:3" hidden="1" x14ac:dyDescent="0.25">
      <c r="A98" s="4" t="s">
        <v>9</v>
      </c>
      <c r="B98" s="4" t="s">
        <v>293</v>
      </c>
      <c r="C98" s="4" t="s">
        <v>294</v>
      </c>
    </row>
    <row r="99" spans="1:3" hidden="1" x14ac:dyDescent="0.25">
      <c r="A99" s="4" t="s">
        <v>9</v>
      </c>
      <c r="B99" s="4" t="s">
        <v>248</v>
      </c>
      <c r="C99" s="4" t="s">
        <v>249</v>
      </c>
    </row>
    <row r="100" spans="1:3" hidden="1" x14ac:dyDescent="0.25">
      <c r="A100" s="4" t="s">
        <v>27</v>
      </c>
      <c r="B100" s="4" t="s">
        <v>95</v>
      </c>
      <c r="C100" s="4" t="s">
        <v>96</v>
      </c>
    </row>
    <row r="101" spans="1:3" hidden="1" x14ac:dyDescent="0.25">
      <c r="A101" s="4" t="s">
        <v>27</v>
      </c>
      <c r="B101" s="4" t="s">
        <v>97</v>
      </c>
      <c r="C101" s="4" t="s">
        <v>98</v>
      </c>
    </row>
    <row r="102" spans="1:3" hidden="1" x14ac:dyDescent="0.25">
      <c r="A102" s="4" t="s">
        <v>27</v>
      </c>
      <c r="B102" s="4" t="s">
        <v>99</v>
      </c>
      <c r="C102" s="4" t="s">
        <v>100</v>
      </c>
    </row>
    <row r="103" spans="1:3" hidden="1" x14ac:dyDescent="0.25">
      <c r="A103" s="4" t="s">
        <v>27</v>
      </c>
      <c r="B103" s="4" t="s">
        <v>101</v>
      </c>
      <c r="C103" s="4" t="s">
        <v>102</v>
      </c>
    </row>
    <row r="104" spans="1:3" hidden="1" x14ac:dyDescent="0.25">
      <c r="A104" s="4" t="s">
        <v>27</v>
      </c>
      <c r="B104" s="4" t="s">
        <v>103</v>
      </c>
      <c r="C104" s="4" t="s">
        <v>104</v>
      </c>
    </row>
    <row r="105" spans="1:3" hidden="1" x14ac:dyDescent="0.25">
      <c r="A105" s="4" t="s">
        <v>27</v>
      </c>
      <c r="B105" s="4" t="s">
        <v>105</v>
      </c>
      <c r="C105" s="4" t="s">
        <v>106</v>
      </c>
    </row>
    <row r="106" spans="1:3" hidden="1" x14ac:dyDescent="0.25">
      <c r="A106" s="4" t="s">
        <v>27</v>
      </c>
      <c r="B106" s="4" t="s">
        <v>28</v>
      </c>
      <c r="C106" s="4" t="s">
        <v>29</v>
      </c>
    </row>
    <row r="107" spans="1:3" hidden="1" x14ac:dyDescent="0.25">
      <c r="A107" s="4" t="s">
        <v>107</v>
      </c>
      <c r="B107" s="4" t="s">
        <v>108</v>
      </c>
      <c r="C107" s="4" t="s">
        <v>109</v>
      </c>
    </row>
    <row r="108" spans="1:3" hidden="1" x14ac:dyDescent="0.25">
      <c r="A108" s="4" t="s">
        <v>107</v>
      </c>
      <c r="B108" s="4" t="s">
        <v>110</v>
      </c>
      <c r="C108" s="4" t="s">
        <v>111</v>
      </c>
    </row>
    <row r="109" spans="1:3" hidden="1" x14ac:dyDescent="0.25">
      <c r="A109" s="4" t="s">
        <v>107</v>
      </c>
      <c r="B109" s="4" t="s">
        <v>250</v>
      </c>
      <c r="C109" s="4" t="s">
        <v>251</v>
      </c>
    </row>
    <row r="110" spans="1:3" hidden="1" x14ac:dyDescent="0.25">
      <c r="A110" s="4" t="s">
        <v>107</v>
      </c>
      <c r="B110" s="4" t="s">
        <v>252</v>
      </c>
      <c r="C110" s="4" t="s">
        <v>253</v>
      </c>
    </row>
    <row r="111" spans="1:3" hidden="1" x14ac:dyDescent="0.25">
      <c r="A111" s="4" t="s">
        <v>107</v>
      </c>
      <c r="B111" s="4" t="s">
        <v>254</v>
      </c>
      <c r="C111" s="4" t="s">
        <v>255</v>
      </c>
    </row>
    <row r="112" spans="1:3" hidden="1" x14ac:dyDescent="0.25">
      <c r="A112" s="4" t="s">
        <v>107</v>
      </c>
      <c r="B112" s="4" t="s">
        <v>256</v>
      </c>
      <c r="C112" s="4" t="s">
        <v>257</v>
      </c>
    </row>
    <row r="113" spans="1:3" hidden="1" x14ac:dyDescent="0.25">
      <c r="A113" s="4" t="s">
        <v>33</v>
      </c>
      <c r="B113" s="4" t="s">
        <v>34</v>
      </c>
      <c r="C113" s="4" t="s">
        <v>35</v>
      </c>
    </row>
    <row r="114" spans="1:3" hidden="1" x14ac:dyDescent="0.25">
      <c r="A114" s="4" t="s">
        <v>258</v>
      </c>
      <c r="B114" s="4" t="s">
        <v>259</v>
      </c>
      <c r="C114" s="4" t="s">
        <v>260</v>
      </c>
    </row>
    <row r="115" spans="1:3" hidden="1" x14ac:dyDescent="0.25">
      <c r="A115" s="4" t="s">
        <v>258</v>
      </c>
      <c r="B115" s="4" t="s">
        <v>261</v>
      </c>
      <c r="C115" s="4" t="s">
        <v>262</v>
      </c>
    </row>
    <row r="116" spans="1:3" hidden="1" x14ac:dyDescent="0.25">
      <c r="A116" s="4" t="s">
        <v>41</v>
      </c>
      <c r="B116" s="4" t="s">
        <v>42</v>
      </c>
      <c r="C116" s="4" t="s">
        <v>43</v>
      </c>
    </row>
    <row r="117" spans="1:3" hidden="1" x14ac:dyDescent="0.25">
      <c r="A117" s="4" t="s">
        <v>263</v>
      </c>
      <c r="B117" s="4" t="s">
        <v>264</v>
      </c>
      <c r="C117" s="4" t="s">
        <v>265</v>
      </c>
    </row>
    <row r="118" spans="1:3" hidden="1" x14ac:dyDescent="0.25">
      <c r="A118" s="4" t="s">
        <v>263</v>
      </c>
      <c r="B118" s="4" t="s">
        <v>266</v>
      </c>
      <c r="C118" s="4" t="s">
        <v>267</v>
      </c>
    </row>
    <row r="119" spans="1:3" hidden="1" x14ac:dyDescent="0.25">
      <c r="A119" s="4" t="s">
        <v>114</v>
      </c>
      <c r="B119" s="4" t="s">
        <v>115</v>
      </c>
      <c r="C119" s="4" t="s">
        <v>116</v>
      </c>
    </row>
    <row r="120" spans="1:3" hidden="1" x14ac:dyDescent="0.25">
      <c r="A120" s="4" t="s">
        <v>44</v>
      </c>
      <c r="B120" s="4" t="s">
        <v>45</v>
      </c>
      <c r="C120" s="4" t="s">
        <v>46</v>
      </c>
    </row>
    <row r="121" spans="1:3" hidden="1" x14ac:dyDescent="0.25">
      <c r="A121" s="4" t="s">
        <v>120</v>
      </c>
      <c r="B121" s="4" t="s">
        <v>271</v>
      </c>
      <c r="C121" s="4" t="s">
        <v>272</v>
      </c>
    </row>
    <row r="122" spans="1:3" hidden="1" x14ac:dyDescent="0.25">
      <c r="A122" s="4" t="s">
        <v>120</v>
      </c>
      <c r="B122" s="4" t="s">
        <v>273</v>
      </c>
      <c r="C122" s="4" t="s">
        <v>274</v>
      </c>
    </row>
    <row r="123" spans="1:3" hidden="1" x14ac:dyDescent="0.25">
      <c r="A123" s="4" t="s">
        <v>120</v>
      </c>
      <c r="B123" s="4" t="s">
        <v>121</v>
      </c>
      <c r="C123" s="4" t="s">
        <v>122</v>
      </c>
    </row>
    <row r="124" spans="1:3" hidden="1" x14ac:dyDescent="0.25">
      <c r="A124" s="4" t="s">
        <v>120</v>
      </c>
      <c r="B124" s="4" t="s">
        <v>275</v>
      </c>
      <c r="C124" s="4" t="s">
        <v>276</v>
      </c>
    </row>
    <row r="125" spans="1:3" hidden="1" x14ac:dyDescent="0.25">
      <c r="A125" s="4" t="s">
        <v>120</v>
      </c>
      <c r="B125" s="4" t="s">
        <v>198</v>
      </c>
      <c r="C125" s="4" t="s">
        <v>199</v>
      </c>
    </row>
    <row r="126" spans="1:3" hidden="1" x14ac:dyDescent="0.25">
      <c r="A126" s="4" t="s">
        <v>120</v>
      </c>
      <c r="B126" s="4" t="s">
        <v>277</v>
      </c>
      <c r="C126" s="4" t="s">
        <v>278</v>
      </c>
    </row>
    <row r="127" spans="1:3" hidden="1" x14ac:dyDescent="0.25">
      <c r="A127" s="4" t="s">
        <v>279</v>
      </c>
      <c r="B127" s="4" t="s">
        <v>280</v>
      </c>
      <c r="C127" s="4" t="s">
        <v>281</v>
      </c>
    </row>
    <row r="128" spans="1:3" hidden="1" x14ac:dyDescent="0.25">
      <c r="A128" s="4" t="s">
        <v>282</v>
      </c>
      <c r="B128" s="4" t="s">
        <v>283</v>
      </c>
      <c r="C128" s="4" t="s">
        <v>284</v>
      </c>
    </row>
    <row r="129" spans="1:39" hidden="1" x14ac:dyDescent="0.25">
      <c r="A129" s="4" t="s">
        <v>285</v>
      </c>
      <c r="B129" s="4" t="s">
        <v>286</v>
      </c>
      <c r="C129" s="4" t="s">
        <v>287</v>
      </c>
    </row>
    <row r="130" spans="1:39" hidden="1" x14ac:dyDescent="0.25">
      <c r="A130" s="4" t="s">
        <v>14</v>
      </c>
      <c r="B130" s="4" t="s">
        <v>15</v>
      </c>
      <c r="C130" s="4" t="s">
        <v>16</v>
      </c>
    </row>
    <row r="131" spans="1:39" hidden="1" x14ac:dyDescent="0.25">
      <c r="A131" s="4" t="s">
        <v>14</v>
      </c>
      <c r="B131" s="4" t="s">
        <v>17</v>
      </c>
      <c r="C131" s="4" t="s">
        <v>18</v>
      </c>
    </row>
    <row r="132" spans="1:39" hidden="1" x14ac:dyDescent="0.25">
      <c r="A132" s="4" t="s">
        <v>14</v>
      </c>
      <c r="B132" s="4" t="s">
        <v>201</v>
      </c>
      <c r="C132" s="4" t="s">
        <v>202</v>
      </c>
    </row>
    <row r="133" spans="1:39" hidden="1" x14ac:dyDescent="0.25">
      <c r="A133" s="4" t="s">
        <v>14</v>
      </c>
      <c r="B133" s="4" t="s">
        <v>203</v>
      </c>
      <c r="C133" s="4" t="s">
        <v>204</v>
      </c>
    </row>
    <row r="134" spans="1:39" hidden="1" x14ac:dyDescent="0.25">
      <c r="A134" s="4" t="s">
        <v>36</v>
      </c>
      <c r="B134" s="4" t="s">
        <v>37</v>
      </c>
      <c r="C134" s="4" t="s">
        <v>38</v>
      </c>
      <c r="AD134" s="3"/>
      <c r="AL134" s="3"/>
      <c r="AM134" s="3"/>
    </row>
    <row r="135" spans="1:39" x14ac:dyDescent="0.25">
      <c r="A135" s="4"/>
      <c r="B135" s="4"/>
      <c r="C135" s="4"/>
      <c r="AD135" s="3"/>
      <c r="AL135" s="3"/>
      <c r="AM135" s="3"/>
    </row>
    <row r="136" spans="1:39" x14ac:dyDescent="0.25">
      <c r="AD136" s="3"/>
      <c r="AL136" s="3"/>
      <c r="AM136" s="3"/>
    </row>
    <row r="138" spans="1:39" x14ac:dyDescent="0.25">
      <c r="G138" s="8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47" orientation="landscape" r:id="rId4"/>
  <drawing r:id="rId5"/>
  <legacyDrawing r:id="rId6"/>
  <controls>
    <mc:AlternateContent xmlns:mc="http://schemas.openxmlformats.org/markup-compatibility/2006">
      <mc:Choice Requires="x14">
        <control shapeId="24577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24577" r:id="rId7" name="CommandButton1"/>
      </mc:Fallback>
    </mc:AlternateContent>
    <mc:AlternateContent xmlns:mc="http://schemas.openxmlformats.org/markup-compatibility/2006">
      <mc:Choice Requires="x14">
        <control shapeId="24578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24578" r:id="rId9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3" filterMode="1">
    <pageSetUpPr fitToPage="1"/>
  </sheetPr>
  <dimension ref="A1:AM136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6" max="6" width="13.140625" customWidth="1"/>
    <col min="10" max="10" width="37.5703125" customWidth="1"/>
    <col min="11" max="11" width="13.5703125" customWidth="1"/>
  </cols>
  <sheetData>
    <row r="1" spans="1:15" ht="54" customHeight="1" x14ac:dyDescent="0.25">
      <c r="B1" s="7" t="s">
        <v>325</v>
      </c>
      <c r="F1" s="6" t="s">
        <v>339</v>
      </c>
      <c r="J1" s="6" t="s">
        <v>288</v>
      </c>
      <c r="K1" t="s">
        <v>359</v>
      </c>
      <c r="L1" t="s">
        <v>360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K2" t="s">
        <v>361</v>
      </c>
      <c r="L2" t="s">
        <v>362</v>
      </c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5">
        <v>1</v>
      </c>
      <c r="J3" s="6"/>
      <c r="K3" t="s">
        <v>361</v>
      </c>
      <c r="L3" t="s">
        <v>362</v>
      </c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1</v>
      </c>
      <c r="J7" s="6"/>
      <c r="K7" t="s">
        <v>367</v>
      </c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D20" s="5">
        <v>1</v>
      </c>
      <c r="J20" s="6"/>
    </row>
    <row r="21" spans="1:10" ht="18" hidden="1" customHeight="1" x14ac:dyDescent="0.25">
      <c r="A21" s="10">
        <v>21</v>
      </c>
      <c r="B21" s="10">
        <v>1</v>
      </c>
      <c r="C21" s="10">
        <v>21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2</v>
      </c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10" t="s">
        <v>9</v>
      </c>
      <c r="B26" s="10" t="s">
        <v>25</v>
      </c>
      <c r="C26" s="10" t="s">
        <v>313</v>
      </c>
      <c r="J26" s="6"/>
    </row>
    <row r="27" spans="1:10" ht="18" hidden="1" customHeight="1" x14ac:dyDescent="0.25">
      <c r="A27" s="4" t="s">
        <v>52</v>
      </c>
      <c r="B27" s="4" t="s">
        <v>213</v>
      </c>
      <c r="C27" s="4" t="s">
        <v>214</v>
      </c>
      <c r="J27" s="6"/>
    </row>
    <row r="28" spans="1:10" ht="18" hidden="1" customHeight="1" x14ac:dyDescent="0.25">
      <c r="A28" s="4" t="s">
        <v>138</v>
      </c>
      <c r="B28" s="4" t="s">
        <v>141</v>
      </c>
      <c r="C28" s="4" t="s">
        <v>142</v>
      </c>
      <c r="J28" s="6"/>
    </row>
    <row r="29" spans="1:10" ht="18" hidden="1" customHeight="1" x14ac:dyDescent="0.25">
      <c r="A29" s="4" t="s">
        <v>7</v>
      </c>
      <c r="B29" s="4" t="s">
        <v>8</v>
      </c>
      <c r="C29" s="4" t="s">
        <v>303</v>
      </c>
      <c r="J29" s="6"/>
    </row>
    <row r="30" spans="1:10" ht="18" hidden="1" customHeight="1" x14ac:dyDescent="0.25">
      <c r="A30" s="4" t="s">
        <v>7</v>
      </c>
      <c r="B30" s="4" t="s">
        <v>196</v>
      </c>
      <c r="C30" s="4" t="s">
        <v>302</v>
      </c>
      <c r="J30" s="6"/>
    </row>
    <row r="31" spans="1:10" hidden="1" x14ac:dyDescent="0.25">
      <c r="A31" s="4" t="s">
        <v>47</v>
      </c>
      <c r="B31" s="4" t="s">
        <v>205</v>
      </c>
      <c r="C31" s="4" t="s">
        <v>206</v>
      </c>
    </row>
    <row r="32" spans="1:10" hidden="1" x14ac:dyDescent="0.25">
      <c r="A32" s="4" t="s">
        <v>47</v>
      </c>
      <c r="B32" s="4" t="s">
        <v>207</v>
      </c>
      <c r="C32" s="4" t="s">
        <v>208</v>
      </c>
      <c r="J32" s="6"/>
    </row>
    <row r="33" spans="1:3" hidden="1" x14ac:dyDescent="0.25">
      <c r="A33" s="4" t="s">
        <v>47</v>
      </c>
      <c r="B33" s="4" t="s">
        <v>209</v>
      </c>
      <c r="C33" s="4" t="s">
        <v>210</v>
      </c>
    </row>
    <row r="34" spans="1:3" hidden="1" x14ac:dyDescent="0.25">
      <c r="A34" s="4" t="s">
        <v>47</v>
      </c>
      <c r="B34" s="4" t="s">
        <v>211</v>
      </c>
      <c r="C34" s="4" t="s">
        <v>212</v>
      </c>
    </row>
    <row r="35" spans="1:3" hidden="1" x14ac:dyDescent="0.25">
      <c r="A35" s="4" t="s">
        <v>47</v>
      </c>
      <c r="B35" s="4" t="s">
        <v>48</v>
      </c>
      <c r="C35" s="4" t="s">
        <v>49</v>
      </c>
    </row>
    <row r="36" spans="1:3" hidden="1" x14ac:dyDescent="0.25">
      <c r="A36" s="4" t="s">
        <v>47</v>
      </c>
      <c r="B36" s="4" t="s">
        <v>50</v>
      </c>
      <c r="C36" s="4" t="s">
        <v>51</v>
      </c>
    </row>
    <row r="37" spans="1:3" hidden="1" x14ac:dyDescent="0.25">
      <c r="A37" s="4" t="s">
        <v>55</v>
      </c>
      <c r="B37" s="4" t="s">
        <v>56</v>
      </c>
      <c r="C37" s="4" t="s">
        <v>57</v>
      </c>
    </row>
    <row r="38" spans="1:3" hidden="1" x14ac:dyDescent="0.25">
      <c r="A38" s="4" t="s">
        <v>30</v>
      </c>
      <c r="B38" s="4" t="s">
        <v>58</v>
      </c>
      <c r="C38" s="4" t="s">
        <v>59</v>
      </c>
    </row>
    <row r="39" spans="1:3" hidden="1" x14ac:dyDescent="0.25">
      <c r="A39" s="4" t="s">
        <v>30</v>
      </c>
      <c r="B39" s="4" t="s">
        <v>60</v>
      </c>
      <c r="C39" s="4" t="s">
        <v>61</v>
      </c>
    </row>
    <row r="40" spans="1:3" hidden="1" x14ac:dyDescent="0.25">
      <c r="A40" s="4" t="s">
        <v>30</v>
      </c>
      <c r="B40" s="4" t="s">
        <v>62</v>
      </c>
      <c r="C40" s="4" t="s">
        <v>63</v>
      </c>
    </row>
    <row r="41" spans="1:3" hidden="1" x14ac:dyDescent="0.25">
      <c r="A41" s="4" t="s">
        <v>30</v>
      </c>
      <c r="B41" s="4" t="s">
        <v>31</v>
      </c>
      <c r="C41" s="4" t="s">
        <v>32</v>
      </c>
    </row>
    <row r="42" spans="1:3" hidden="1" x14ac:dyDescent="0.25">
      <c r="A42" s="4" t="s">
        <v>30</v>
      </c>
      <c r="B42" s="4" t="s">
        <v>39</v>
      </c>
      <c r="C42" s="4" t="s">
        <v>40</v>
      </c>
    </row>
    <row r="43" spans="1:3" hidden="1" x14ac:dyDescent="0.25">
      <c r="A43" s="4" t="s">
        <v>30</v>
      </c>
      <c r="B43" s="4" t="s">
        <v>217</v>
      </c>
      <c r="C43" s="4" t="s">
        <v>218</v>
      </c>
    </row>
    <row r="44" spans="1:3" hidden="1" x14ac:dyDescent="0.25">
      <c r="A44" s="4" t="s">
        <v>30</v>
      </c>
      <c r="B44" s="4" t="s">
        <v>219</v>
      </c>
      <c r="C44" s="4" t="s">
        <v>220</v>
      </c>
    </row>
    <row r="45" spans="1:3" hidden="1" x14ac:dyDescent="0.25">
      <c r="A45" s="4" t="s">
        <v>200</v>
      </c>
      <c r="B45" s="4" t="s">
        <v>221</v>
      </c>
      <c r="C45" s="4" t="s">
        <v>222</v>
      </c>
    </row>
    <row r="46" spans="1:3" hidden="1" x14ac:dyDescent="0.25">
      <c r="A46" s="4" t="s">
        <v>223</v>
      </c>
      <c r="B46" s="4" t="s">
        <v>224</v>
      </c>
      <c r="C46" s="4" t="s">
        <v>225</v>
      </c>
    </row>
    <row r="47" spans="1:3" hidden="1" x14ac:dyDescent="0.25">
      <c r="A47" s="4" t="s">
        <v>0</v>
      </c>
      <c r="B47" s="4" t="s">
        <v>134</v>
      </c>
      <c r="C47" s="4" t="s">
        <v>135</v>
      </c>
    </row>
    <row r="48" spans="1:3" hidden="1" x14ac:dyDescent="0.25">
      <c r="A48" s="4" t="s">
        <v>0</v>
      </c>
      <c r="B48" s="4" t="s">
        <v>1</v>
      </c>
      <c r="C48" s="4" t="s">
        <v>2</v>
      </c>
    </row>
    <row r="49" spans="1:3" hidden="1" x14ac:dyDescent="0.25">
      <c r="A49" s="4" t="s">
        <v>0</v>
      </c>
      <c r="B49" s="4" t="s">
        <v>174</v>
      </c>
      <c r="C49" s="4" t="s">
        <v>175</v>
      </c>
    </row>
    <row r="50" spans="1:3" hidden="1" x14ac:dyDescent="0.25">
      <c r="A50" s="4" t="s">
        <v>0</v>
      </c>
      <c r="B50" s="4" t="s">
        <v>176</v>
      </c>
      <c r="C50" s="4" t="s">
        <v>177</v>
      </c>
    </row>
    <row r="51" spans="1:3" hidden="1" x14ac:dyDescent="0.25">
      <c r="A51" s="4" t="s">
        <v>0</v>
      </c>
      <c r="B51" s="4" t="s">
        <v>226</v>
      </c>
      <c r="C51" s="4" t="s">
        <v>227</v>
      </c>
    </row>
    <row r="52" spans="1:3" hidden="1" x14ac:dyDescent="0.25">
      <c r="A52" s="4" t="s">
        <v>3</v>
      </c>
      <c r="B52" s="4" t="s">
        <v>228</v>
      </c>
      <c r="C52" s="4" t="s">
        <v>229</v>
      </c>
    </row>
    <row r="53" spans="1:3" hidden="1" x14ac:dyDescent="0.25">
      <c r="A53" s="4" t="s">
        <v>3</v>
      </c>
      <c r="B53" s="4" t="s">
        <v>178</v>
      </c>
      <c r="C53" s="4" t="s">
        <v>179</v>
      </c>
    </row>
    <row r="54" spans="1:3" hidden="1" x14ac:dyDescent="0.25">
      <c r="A54" s="4" t="s">
        <v>3</v>
      </c>
      <c r="B54" s="4" t="s">
        <v>289</v>
      </c>
      <c r="C54" s="4" t="s">
        <v>290</v>
      </c>
    </row>
    <row r="55" spans="1:3" hidden="1" x14ac:dyDescent="0.25">
      <c r="A55" s="4" t="s">
        <v>3</v>
      </c>
      <c r="B55" s="4" t="s">
        <v>64</v>
      </c>
      <c r="C55" s="4" t="s">
        <v>65</v>
      </c>
    </row>
    <row r="56" spans="1:3" hidden="1" x14ac:dyDescent="0.25">
      <c r="A56" s="4" t="s">
        <v>3</v>
      </c>
      <c r="B56" s="4" t="s">
        <v>180</v>
      </c>
      <c r="C56" s="4" t="s">
        <v>181</v>
      </c>
    </row>
    <row r="57" spans="1:3" hidden="1" x14ac:dyDescent="0.25">
      <c r="A57" s="4" t="s">
        <v>3</v>
      </c>
      <c r="B57" s="4" t="s">
        <v>230</v>
      </c>
      <c r="C57" s="4" t="s">
        <v>231</v>
      </c>
    </row>
    <row r="58" spans="1:3" hidden="1" x14ac:dyDescent="0.25">
      <c r="A58" s="4" t="s">
        <v>66</v>
      </c>
      <c r="B58" s="4" t="s">
        <v>232</v>
      </c>
      <c r="C58" s="4" t="s">
        <v>233</v>
      </c>
    </row>
    <row r="59" spans="1:3" hidden="1" x14ac:dyDescent="0.25">
      <c r="A59" s="4" t="s">
        <v>66</v>
      </c>
      <c r="B59" s="4" t="s">
        <v>234</v>
      </c>
      <c r="C59" s="4" t="s">
        <v>235</v>
      </c>
    </row>
    <row r="60" spans="1:3" hidden="1" x14ac:dyDescent="0.25">
      <c r="A60" s="4" t="s">
        <v>66</v>
      </c>
      <c r="B60" s="4" t="s">
        <v>67</v>
      </c>
      <c r="C60" s="4" t="s">
        <v>68</v>
      </c>
    </row>
    <row r="61" spans="1:3" hidden="1" x14ac:dyDescent="0.25">
      <c r="A61" s="4" t="s">
        <v>66</v>
      </c>
      <c r="B61" s="4" t="s">
        <v>236</v>
      </c>
      <c r="C61" s="4" t="s">
        <v>237</v>
      </c>
    </row>
    <row r="62" spans="1:3" hidden="1" x14ac:dyDescent="0.25">
      <c r="A62" s="4" t="s">
        <v>66</v>
      </c>
      <c r="B62" s="4" t="s">
        <v>238</v>
      </c>
      <c r="C62" s="4" t="s">
        <v>239</v>
      </c>
    </row>
    <row r="63" spans="1:3" hidden="1" x14ac:dyDescent="0.25">
      <c r="A63" s="4" t="s">
        <v>66</v>
      </c>
      <c r="B63" s="4" t="s">
        <v>182</v>
      </c>
      <c r="C63" s="4" t="s">
        <v>183</v>
      </c>
    </row>
    <row r="64" spans="1:3" hidden="1" x14ac:dyDescent="0.25">
      <c r="A64" s="4" t="s">
        <v>66</v>
      </c>
      <c r="B64" s="4" t="s">
        <v>69</v>
      </c>
      <c r="C64" s="4" t="s">
        <v>70</v>
      </c>
    </row>
    <row r="65" spans="1:3" hidden="1" x14ac:dyDescent="0.25">
      <c r="A65" s="4" t="s">
        <v>66</v>
      </c>
      <c r="B65" s="4" t="s">
        <v>240</v>
      </c>
      <c r="C65" s="4" t="s">
        <v>241</v>
      </c>
    </row>
    <row r="66" spans="1:3" hidden="1" x14ac:dyDescent="0.25">
      <c r="A66" s="4" t="s">
        <v>66</v>
      </c>
      <c r="B66" s="4" t="s">
        <v>242</v>
      </c>
      <c r="C66" s="4" t="s">
        <v>243</v>
      </c>
    </row>
    <row r="67" spans="1:3" hidden="1" x14ac:dyDescent="0.25">
      <c r="A67" s="4" t="s">
        <v>66</v>
      </c>
      <c r="B67" s="4" t="s">
        <v>71</v>
      </c>
      <c r="C67" s="4" t="s">
        <v>72</v>
      </c>
    </row>
    <row r="68" spans="1:3" hidden="1" x14ac:dyDescent="0.25">
      <c r="A68" s="4" t="s">
        <v>66</v>
      </c>
      <c r="B68" s="4" t="s">
        <v>73</v>
      </c>
      <c r="C68" s="4" t="s">
        <v>74</v>
      </c>
    </row>
    <row r="69" spans="1:3" hidden="1" x14ac:dyDescent="0.25">
      <c r="A69" s="4" t="s">
        <v>4</v>
      </c>
      <c r="B69" s="4" t="s">
        <v>75</v>
      </c>
      <c r="C69" s="4" t="s">
        <v>76</v>
      </c>
    </row>
    <row r="70" spans="1:3" hidden="1" x14ac:dyDescent="0.25">
      <c r="A70" s="4" t="s">
        <v>4</v>
      </c>
      <c r="B70" s="4" t="s">
        <v>77</v>
      </c>
      <c r="C70" s="4" t="s">
        <v>78</v>
      </c>
    </row>
    <row r="71" spans="1:3" hidden="1" x14ac:dyDescent="0.25">
      <c r="A71" s="4" t="s">
        <v>4</v>
      </c>
      <c r="B71" s="4" t="s">
        <v>79</v>
      </c>
      <c r="C71" s="4" t="s">
        <v>80</v>
      </c>
    </row>
    <row r="72" spans="1:3" hidden="1" x14ac:dyDescent="0.25">
      <c r="A72" s="4" t="s">
        <v>4</v>
      </c>
      <c r="B72" s="4" t="s">
        <v>136</v>
      </c>
      <c r="C72" s="4" t="s">
        <v>137</v>
      </c>
    </row>
    <row r="73" spans="1:3" hidden="1" x14ac:dyDescent="0.25">
      <c r="A73" s="4" t="s">
        <v>4</v>
      </c>
      <c r="B73" s="4" t="s">
        <v>81</v>
      </c>
      <c r="C73" s="4" t="s">
        <v>82</v>
      </c>
    </row>
    <row r="74" spans="1:3" hidden="1" x14ac:dyDescent="0.25">
      <c r="A74" s="4" t="s">
        <v>4</v>
      </c>
      <c r="B74" s="4" t="s">
        <v>83</v>
      </c>
      <c r="C74" s="4" t="s">
        <v>84</v>
      </c>
    </row>
    <row r="75" spans="1:3" hidden="1" x14ac:dyDescent="0.25">
      <c r="A75" s="4" t="s">
        <v>4</v>
      </c>
      <c r="B75" s="4" t="s">
        <v>5</v>
      </c>
      <c r="C75" s="4" t="s">
        <v>6</v>
      </c>
    </row>
    <row r="76" spans="1:3" hidden="1" x14ac:dyDescent="0.25">
      <c r="A76" s="4" t="s">
        <v>4</v>
      </c>
      <c r="B76" s="4" t="s">
        <v>127</v>
      </c>
      <c r="C76" s="4" t="s">
        <v>128</v>
      </c>
    </row>
    <row r="77" spans="1:3" hidden="1" x14ac:dyDescent="0.25">
      <c r="A77" s="4" t="s">
        <v>4</v>
      </c>
      <c r="B77" s="4" t="s">
        <v>184</v>
      </c>
      <c r="C77" s="4" t="s">
        <v>185</v>
      </c>
    </row>
    <row r="78" spans="1:3" hidden="1" x14ac:dyDescent="0.25">
      <c r="A78" s="4" t="s">
        <v>4</v>
      </c>
      <c r="B78" s="4" t="s">
        <v>186</v>
      </c>
      <c r="C78" s="4" t="s">
        <v>187</v>
      </c>
    </row>
    <row r="79" spans="1:3" hidden="1" x14ac:dyDescent="0.25">
      <c r="A79" s="4" t="s">
        <v>4</v>
      </c>
      <c r="B79" s="4" t="s">
        <v>190</v>
      </c>
      <c r="C79" s="4" t="s">
        <v>191</v>
      </c>
    </row>
    <row r="80" spans="1:3" hidden="1" x14ac:dyDescent="0.25">
      <c r="A80" s="4" t="s">
        <v>4</v>
      </c>
      <c r="B80" s="4" t="s">
        <v>192</v>
      </c>
      <c r="C80" s="4" t="s">
        <v>193</v>
      </c>
    </row>
    <row r="81" spans="1:35" hidden="1" x14ac:dyDescent="0.25">
      <c r="A81" s="4" t="s">
        <v>4</v>
      </c>
      <c r="B81" s="4" t="s">
        <v>194</v>
      </c>
      <c r="C81" s="4" t="s">
        <v>195</v>
      </c>
    </row>
    <row r="82" spans="1:35" hidden="1" x14ac:dyDescent="0.25">
      <c r="A82" s="4" t="s">
        <v>4</v>
      </c>
      <c r="B82" s="4" t="s">
        <v>291</v>
      </c>
      <c r="C82" s="4" t="s">
        <v>292</v>
      </c>
    </row>
    <row r="83" spans="1:35" hidden="1" x14ac:dyDescent="0.25">
      <c r="A83" s="4" t="s">
        <v>4</v>
      </c>
      <c r="B83" s="4" t="s">
        <v>244</v>
      </c>
      <c r="C83" s="4" t="s">
        <v>245</v>
      </c>
    </row>
    <row r="84" spans="1:35" hidden="1" x14ac:dyDescent="0.25">
      <c r="A84" s="4" t="s">
        <v>4</v>
      </c>
      <c r="B84" s="4" t="s">
        <v>246</v>
      </c>
      <c r="C84" s="4" t="s">
        <v>247</v>
      </c>
    </row>
    <row r="85" spans="1:35" hidden="1" x14ac:dyDescent="0.25">
      <c r="A85" s="4" t="s">
        <v>138</v>
      </c>
      <c r="B85" s="4" t="s">
        <v>158</v>
      </c>
      <c r="C85" s="4" t="s">
        <v>157</v>
      </c>
    </row>
    <row r="86" spans="1:35" hidden="1" x14ac:dyDescent="0.25">
      <c r="A86" s="4" t="s">
        <v>145</v>
      </c>
      <c r="B86" s="4" t="s">
        <v>146</v>
      </c>
      <c r="C86" s="4" t="s">
        <v>147</v>
      </c>
    </row>
    <row r="87" spans="1:35" hidden="1" x14ac:dyDescent="0.25">
      <c r="A87" s="4" t="s">
        <v>9</v>
      </c>
      <c r="B87" s="4" t="s">
        <v>87</v>
      </c>
      <c r="C87" s="4" t="s">
        <v>88</v>
      </c>
    </row>
    <row r="88" spans="1:35" hidden="1" x14ac:dyDescent="0.25">
      <c r="A88" s="4" t="s">
        <v>9</v>
      </c>
      <c r="B88" s="4" t="s">
        <v>89</v>
      </c>
      <c r="C88" s="4" t="s">
        <v>90</v>
      </c>
    </row>
    <row r="89" spans="1:35" hidden="1" x14ac:dyDescent="0.25">
      <c r="A89" s="4" t="s">
        <v>9</v>
      </c>
      <c r="B89" s="4" t="s">
        <v>10</v>
      </c>
      <c r="C89" s="4" t="s">
        <v>11</v>
      </c>
      <c r="Z89" s="3"/>
      <c r="AH89" s="3"/>
      <c r="AI89" s="3"/>
    </row>
    <row r="90" spans="1:35" hidden="1" x14ac:dyDescent="0.25">
      <c r="A90" s="4" t="s">
        <v>9</v>
      </c>
      <c r="B90" s="4" t="s">
        <v>12</v>
      </c>
      <c r="C90" s="4" t="s">
        <v>13</v>
      </c>
      <c r="Z90" s="3"/>
      <c r="AH90" s="3"/>
      <c r="AI90" s="3"/>
    </row>
    <row r="91" spans="1:35" hidden="1" x14ac:dyDescent="0.25">
      <c r="A91" s="4" t="s">
        <v>9</v>
      </c>
      <c r="B91" s="4" t="s">
        <v>19</v>
      </c>
      <c r="C91" s="4" t="s">
        <v>20</v>
      </c>
      <c r="Z91" s="3"/>
      <c r="AH91" s="3"/>
      <c r="AI91" s="3"/>
    </row>
    <row r="92" spans="1:35" hidden="1" x14ac:dyDescent="0.25">
      <c r="A92" s="4" t="s">
        <v>9</v>
      </c>
      <c r="B92" s="4" t="s">
        <v>21</v>
      </c>
      <c r="C92" s="4" t="s">
        <v>22</v>
      </c>
      <c r="Z92" s="3"/>
      <c r="AH92" s="3"/>
      <c r="AI92" s="3"/>
    </row>
    <row r="93" spans="1:35" hidden="1" x14ac:dyDescent="0.25">
      <c r="A93" s="4" t="s">
        <v>9</v>
      </c>
      <c r="B93" s="4" t="s">
        <v>132</v>
      </c>
      <c r="C93" s="4" t="s">
        <v>133</v>
      </c>
      <c r="Z93" s="3"/>
      <c r="AH93" s="3"/>
      <c r="AI93" s="3"/>
    </row>
    <row r="94" spans="1:35" hidden="1" x14ac:dyDescent="0.25">
      <c r="A94" s="4" t="s">
        <v>9</v>
      </c>
      <c r="B94" s="4" t="s">
        <v>23</v>
      </c>
      <c r="C94" s="4" t="s">
        <v>24</v>
      </c>
    </row>
    <row r="95" spans="1:35" hidden="1" x14ac:dyDescent="0.25">
      <c r="A95" s="4" t="s">
        <v>9</v>
      </c>
      <c r="B95" s="4" t="s">
        <v>91</v>
      </c>
      <c r="C95" s="4" t="s">
        <v>92</v>
      </c>
    </row>
    <row r="96" spans="1:35" hidden="1" x14ac:dyDescent="0.25">
      <c r="A96" s="4" t="s">
        <v>9</v>
      </c>
      <c r="B96" s="4" t="s">
        <v>93</v>
      </c>
      <c r="C96" s="4" t="s">
        <v>94</v>
      </c>
    </row>
    <row r="97" spans="1:3" hidden="1" x14ac:dyDescent="0.25">
      <c r="A97" s="4" t="s">
        <v>9</v>
      </c>
      <c r="B97" s="4" t="s">
        <v>164</v>
      </c>
      <c r="C97" s="4" t="s">
        <v>163</v>
      </c>
    </row>
    <row r="98" spans="1:3" hidden="1" x14ac:dyDescent="0.25">
      <c r="A98" s="4" t="s">
        <v>9</v>
      </c>
      <c r="B98" s="4" t="s">
        <v>293</v>
      </c>
      <c r="C98" s="4" t="s">
        <v>294</v>
      </c>
    </row>
    <row r="99" spans="1:3" hidden="1" x14ac:dyDescent="0.25">
      <c r="A99" s="4" t="s">
        <v>9</v>
      </c>
      <c r="B99" s="4" t="s">
        <v>248</v>
      </c>
      <c r="C99" s="4" t="s">
        <v>249</v>
      </c>
    </row>
    <row r="100" spans="1:3" hidden="1" x14ac:dyDescent="0.25">
      <c r="A100" s="4" t="s">
        <v>27</v>
      </c>
      <c r="B100" s="4" t="s">
        <v>95</v>
      </c>
      <c r="C100" s="4" t="s">
        <v>96</v>
      </c>
    </row>
    <row r="101" spans="1:3" hidden="1" x14ac:dyDescent="0.25">
      <c r="A101" s="4" t="s">
        <v>27</v>
      </c>
      <c r="B101" s="4" t="s">
        <v>97</v>
      </c>
      <c r="C101" s="4" t="s">
        <v>98</v>
      </c>
    </row>
    <row r="102" spans="1:3" hidden="1" x14ac:dyDescent="0.25">
      <c r="A102" s="4" t="s">
        <v>27</v>
      </c>
      <c r="B102" s="4" t="s">
        <v>99</v>
      </c>
      <c r="C102" s="4" t="s">
        <v>100</v>
      </c>
    </row>
    <row r="103" spans="1:3" hidden="1" x14ac:dyDescent="0.25">
      <c r="A103" s="4" t="s">
        <v>27</v>
      </c>
      <c r="B103" s="4" t="s">
        <v>101</v>
      </c>
      <c r="C103" s="4" t="s">
        <v>102</v>
      </c>
    </row>
    <row r="104" spans="1:3" hidden="1" x14ac:dyDescent="0.25">
      <c r="A104" s="4" t="s">
        <v>27</v>
      </c>
      <c r="B104" s="4" t="s">
        <v>103</v>
      </c>
      <c r="C104" s="4" t="s">
        <v>104</v>
      </c>
    </row>
    <row r="105" spans="1:3" hidden="1" x14ac:dyDescent="0.25">
      <c r="A105" s="4" t="s">
        <v>27</v>
      </c>
      <c r="B105" s="4" t="s">
        <v>105</v>
      </c>
      <c r="C105" s="4" t="s">
        <v>106</v>
      </c>
    </row>
    <row r="106" spans="1:3" hidden="1" x14ac:dyDescent="0.25">
      <c r="A106" s="4" t="s">
        <v>27</v>
      </c>
      <c r="B106" s="4" t="s">
        <v>28</v>
      </c>
      <c r="C106" s="4" t="s">
        <v>29</v>
      </c>
    </row>
    <row r="107" spans="1:3" hidden="1" x14ac:dyDescent="0.25">
      <c r="A107" s="4" t="s">
        <v>107</v>
      </c>
      <c r="B107" s="4" t="s">
        <v>108</v>
      </c>
      <c r="C107" s="4" t="s">
        <v>109</v>
      </c>
    </row>
    <row r="108" spans="1:3" hidden="1" x14ac:dyDescent="0.25">
      <c r="A108" s="4" t="s">
        <v>107</v>
      </c>
      <c r="B108" s="4" t="s">
        <v>110</v>
      </c>
      <c r="C108" s="4" t="s">
        <v>111</v>
      </c>
    </row>
    <row r="109" spans="1:3" hidden="1" x14ac:dyDescent="0.25">
      <c r="A109" s="4" t="s">
        <v>107</v>
      </c>
      <c r="B109" s="4" t="s">
        <v>250</v>
      </c>
      <c r="C109" s="4" t="s">
        <v>251</v>
      </c>
    </row>
    <row r="110" spans="1:3" hidden="1" x14ac:dyDescent="0.25">
      <c r="A110" s="4" t="s">
        <v>107</v>
      </c>
      <c r="B110" s="4" t="s">
        <v>252</v>
      </c>
      <c r="C110" s="4" t="s">
        <v>253</v>
      </c>
    </row>
    <row r="111" spans="1:3" hidden="1" x14ac:dyDescent="0.25">
      <c r="A111" s="4" t="s">
        <v>107</v>
      </c>
      <c r="B111" s="4" t="s">
        <v>254</v>
      </c>
      <c r="C111" s="4" t="s">
        <v>255</v>
      </c>
    </row>
    <row r="112" spans="1:3" hidden="1" x14ac:dyDescent="0.25">
      <c r="A112" s="4" t="s">
        <v>107</v>
      </c>
      <c r="B112" s="4" t="s">
        <v>256</v>
      </c>
      <c r="C112" s="4" t="s">
        <v>257</v>
      </c>
    </row>
    <row r="113" spans="1:3" hidden="1" x14ac:dyDescent="0.25">
      <c r="A113" s="4" t="s">
        <v>33</v>
      </c>
      <c r="B113" s="4" t="s">
        <v>34</v>
      </c>
      <c r="C113" s="4" t="s">
        <v>35</v>
      </c>
    </row>
    <row r="114" spans="1:3" hidden="1" x14ac:dyDescent="0.25">
      <c r="A114" s="4" t="s">
        <v>258</v>
      </c>
      <c r="B114" s="4" t="s">
        <v>259</v>
      </c>
      <c r="C114" s="4" t="s">
        <v>260</v>
      </c>
    </row>
    <row r="115" spans="1:3" hidden="1" x14ac:dyDescent="0.25">
      <c r="A115" s="4" t="s">
        <v>258</v>
      </c>
      <c r="B115" s="4" t="s">
        <v>261</v>
      </c>
      <c r="C115" s="4" t="s">
        <v>262</v>
      </c>
    </row>
    <row r="116" spans="1:3" hidden="1" x14ac:dyDescent="0.25">
      <c r="A116" s="4" t="s">
        <v>41</v>
      </c>
      <c r="B116" s="4" t="s">
        <v>42</v>
      </c>
      <c r="C116" s="4" t="s">
        <v>43</v>
      </c>
    </row>
    <row r="117" spans="1:3" hidden="1" x14ac:dyDescent="0.25">
      <c r="A117" s="4" t="s">
        <v>263</v>
      </c>
      <c r="B117" s="4" t="s">
        <v>264</v>
      </c>
      <c r="C117" s="4" t="s">
        <v>265</v>
      </c>
    </row>
    <row r="118" spans="1:3" hidden="1" x14ac:dyDescent="0.25">
      <c r="A118" s="4" t="s">
        <v>263</v>
      </c>
      <c r="B118" s="4" t="s">
        <v>266</v>
      </c>
      <c r="C118" s="4" t="s">
        <v>267</v>
      </c>
    </row>
    <row r="119" spans="1:3" hidden="1" x14ac:dyDescent="0.25">
      <c r="A119" s="4" t="s">
        <v>114</v>
      </c>
      <c r="B119" s="4" t="s">
        <v>115</v>
      </c>
      <c r="C119" s="4" t="s">
        <v>116</v>
      </c>
    </row>
    <row r="120" spans="1:3" hidden="1" x14ac:dyDescent="0.25">
      <c r="A120" s="4" t="s">
        <v>44</v>
      </c>
      <c r="B120" s="4" t="s">
        <v>45</v>
      </c>
      <c r="C120" s="4" t="s">
        <v>46</v>
      </c>
    </row>
    <row r="121" spans="1:3" hidden="1" x14ac:dyDescent="0.25">
      <c r="A121" s="4" t="s">
        <v>120</v>
      </c>
      <c r="B121" s="4" t="s">
        <v>271</v>
      </c>
      <c r="C121" s="4" t="s">
        <v>272</v>
      </c>
    </row>
    <row r="122" spans="1:3" hidden="1" x14ac:dyDescent="0.25">
      <c r="A122" s="4" t="s">
        <v>120</v>
      </c>
      <c r="B122" s="4" t="s">
        <v>273</v>
      </c>
      <c r="C122" s="4" t="s">
        <v>274</v>
      </c>
    </row>
    <row r="123" spans="1:3" hidden="1" x14ac:dyDescent="0.25">
      <c r="A123" s="4" t="s">
        <v>120</v>
      </c>
      <c r="B123" s="4" t="s">
        <v>121</v>
      </c>
      <c r="C123" s="4" t="s">
        <v>122</v>
      </c>
    </row>
    <row r="124" spans="1:3" hidden="1" x14ac:dyDescent="0.25">
      <c r="A124" s="4" t="s">
        <v>120</v>
      </c>
      <c r="B124" s="4" t="s">
        <v>275</v>
      </c>
      <c r="C124" s="4" t="s">
        <v>276</v>
      </c>
    </row>
    <row r="125" spans="1:3" hidden="1" x14ac:dyDescent="0.25">
      <c r="A125" s="4" t="s">
        <v>120</v>
      </c>
      <c r="B125" s="4" t="s">
        <v>198</v>
      </c>
      <c r="C125" s="4" t="s">
        <v>199</v>
      </c>
    </row>
    <row r="126" spans="1:3" hidden="1" x14ac:dyDescent="0.25">
      <c r="A126" s="4" t="s">
        <v>120</v>
      </c>
      <c r="B126" s="4" t="s">
        <v>277</v>
      </c>
      <c r="C126" s="4" t="s">
        <v>278</v>
      </c>
    </row>
    <row r="127" spans="1:3" hidden="1" x14ac:dyDescent="0.25">
      <c r="A127" s="4" t="s">
        <v>279</v>
      </c>
      <c r="B127" s="4" t="s">
        <v>280</v>
      </c>
      <c r="C127" s="4" t="s">
        <v>281</v>
      </c>
    </row>
    <row r="128" spans="1:3" hidden="1" x14ac:dyDescent="0.25">
      <c r="A128" s="4" t="s">
        <v>282</v>
      </c>
      <c r="B128" s="4" t="s">
        <v>283</v>
      </c>
      <c r="C128" s="4" t="s">
        <v>284</v>
      </c>
    </row>
    <row r="129" spans="1:39" hidden="1" x14ac:dyDescent="0.25">
      <c r="A129" s="4" t="s">
        <v>285</v>
      </c>
      <c r="B129" s="4" t="s">
        <v>286</v>
      </c>
      <c r="C129" s="4" t="s">
        <v>287</v>
      </c>
    </row>
    <row r="130" spans="1:39" hidden="1" x14ac:dyDescent="0.25">
      <c r="A130" s="4" t="s">
        <v>14</v>
      </c>
      <c r="B130" s="4" t="s">
        <v>15</v>
      </c>
      <c r="C130" s="4" t="s">
        <v>16</v>
      </c>
    </row>
    <row r="131" spans="1:39" hidden="1" x14ac:dyDescent="0.25">
      <c r="A131" s="4" t="s">
        <v>14</v>
      </c>
      <c r="B131" s="4" t="s">
        <v>17</v>
      </c>
      <c r="C131" s="4" t="s">
        <v>18</v>
      </c>
    </row>
    <row r="132" spans="1:39" hidden="1" x14ac:dyDescent="0.25">
      <c r="A132" s="4" t="s">
        <v>14</v>
      </c>
      <c r="B132" s="4" t="s">
        <v>201</v>
      </c>
      <c r="C132" s="4" t="s">
        <v>202</v>
      </c>
    </row>
    <row r="133" spans="1:39" hidden="1" x14ac:dyDescent="0.25">
      <c r="A133" s="4" t="s">
        <v>14</v>
      </c>
      <c r="B133" s="4" t="s">
        <v>203</v>
      </c>
      <c r="C133" s="4" t="s">
        <v>204</v>
      </c>
    </row>
    <row r="134" spans="1:39" hidden="1" x14ac:dyDescent="0.25">
      <c r="A134" s="4" t="s">
        <v>36</v>
      </c>
      <c r="B134" s="4" t="s">
        <v>37</v>
      </c>
      <c r="C134" s="4" t="s">
        <v>38</v>
      </c>
      <c r="AD134" s="3"/>
      <c r="AL134" s="3"/>
      <c r="AM134" s="3"/>
    </row>
    <row r="135" spans="1:39" x14ac:dyDescent="0.25">
      <c r="A135" s="4"/>
      <c r="B135" s="4"/>
      <c r="C135" s="4"/>
      <c r="F135" t="s">
        <v>362</v>
      </c>
      <c r="AD135" s="3"/>
      <c r="AL135" s="3"/>
      <c r="AM135" s="3"/>
    </row>
    <row r="136" spans="1:39" x14ac:dyDescent="0.25">
      <c r="AD136" s="3"/>
      <c r="AL136" s="3"/>
      <c r="AM136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2289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5</xdr:col>
                <xdr:colOff>657225</xdr:colOff>
                <xdr:row>0</xdr:row>
                <xdr:rowOff>428625</xdr:rowOff>
              </to>
            </anchor>
          </controlPr>
        </control>
      </mc:Choice>
      <mc:Fallback>
        <control shapeId="12289" r:id="rId7" name="CommandButton1"/>
      </mc:Fallback>
    </mc:AlternateContent>
    <mc:AlternateContent xmlns:mc="http://schemas.openxmlformats.org/markup-compatibility/2006">
      <mc:Choice Requires="x14">
        <control shapeId="12290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2290" r:id="rId9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F13"/>
  <sheetViews>
    <sheetView zoomScale="80" zoomScaleNormal="80" workbookViewId="0">
      <selection activeCell="I30" sqref="I30"/>
    </sheetView>
  </sheetViews>
  <sheetFormatPr defaultRowHeight="15" x14ac:dyDescent="0.25"/>
  <cols>
    <col min="1" max="1" width="15.28515625" bestFit="1" customWidth="1"/>
    <col min="2" max="2" width="37.5703125" bestFit="1" customWidth="1"/>
    <col min="3" max="3" width="30.140625" bestFit="1" customWidth="1"/>
    <col min="6" max="6" width="6.42578125" bestFit="1" customWidth="1"/>
  </cols>
  <sheetData>
    <row r="1" spans="1:6" x14ac:dyDescent="0.25">
      <c r="A1" s="1" t="s">
        <v>150</v>
      </c>
      <c r="B1" s="2"/>
      <c r="C1" s="2"/>
      <c r="D1" s="2"/>
      <c r="E1" s="2"/>
      <c r="F1" s="2" t="s">
        <v>151</v>
      </c>
    </row>
    <row r="2" spans="1:6" x14ac:dyDescent="0.25">
      <c r="A2" s="2" t="s">
        <v>138</v>
      </c>
      <c r="B2" s="2" t="s">
        <v>143</v>
      </c>
      <c r="C2" s="2"/>
      <c r="D2" s="2"/>
      <c r="E2" s="2"/>
      <c r="F2" s="2">
        <v>4</v>
      </c>
    </row>
    <row r="3" spans="1:6" x14ac:dyDescent="0.25">
      <c r="A3" s="2" t="s">
        <v>129</v>
      </c>
      <c r="B3" s="2" t="s">
        <v>130</v>
      </c>
      <c r="C3" s="2"/>
      <c r="D3" s="2"/>
      <c r="E3" s="2"/>
      <c r="F3" s="2">
        <v>3</v>
      </c>
    </row>
    <row r="4" spans="1:6" x14ac:dyDescent="0.25">
      <c r="A4" s="2" t="s">
        <v>52</v>
      </c>
      <c r="B4" s="2" t="s">
        <v>53</v>
      </c>
      <c r="C4" s="2"/>
      <c r="D4" s="2"/>
      <c r="E4" s="2"/>
      <c r="F4" s="2">
        <v>2</v>
      </c>
    </row>
    <row r="5" spans="1:6" x14ac:dyDescent="0.25">
      <c r="A5" s="2" t="s">
        <v>138</v>
      </c>
      <c r="B5" s="2" t="s">
        <v>149</v>
      </c>
      <c r="C5" s="2"/>
      <c r="D5" s="2"/>
      <c r="E5" s="2"/>
      <c r="F5" s="2">
        <v>2</v>
      </c>
    </row>
    <row r="6" spans="1:6" x14ac:dyDescent="0.25">
      <c r="A6" s="2"/>
      <c r="B6" s="2"/>
      <c r="C6" s="2"/>
      <c r="D6" s="2"/>
      <c r="E6" s="2"/>
      <c r="F6" s="2"/>
    </row>
    <row r="7" spans="1:6" x14ac:dyDescent="0.25">
      <c r="A7" s="2"/>
      <c r="B7" s="2"/>
      <c r="C7" s="2"/>
      <c r="D7" s="2"/>
      <c r="E7" s="2"/>
      <c r="F7" s="2"/>
    </row>
    <row r="8" spans="1:6" x14ac:dyDescent="0.25">
      <c r="A8" s="2"/>
      <c r="B8" s="2"/>
      <c r="C8" s="2"/>
      <c r="D8" s="2"/>
      <c r="E8" s="2"/>
      <c r="F8" s="2"/>
    </row>
    <row r="9" spans="1:6" x14ac:dyDescent="0.25">
      <c r="A9" s="2" t="s">
        <v>152</v>
      </c>
      <c r="B9" s="2"/>
      <c r="C9" s="2"/>
      <c r="D9" s="2"/>
      <c r="E9" s="2"/>
      <c r="F9" s="2"/>
    </row>
    <row r="10" spans="1:6" x14ac:dyDescent="0.25">
      <c r="A10" s="2" t="s">
        <v>9</v>
      </c>
      <c r="B10" s="2" t="s">
        <v>25</v>
      </c>
      <c r="C10" s="2" t="s">
        <v>26</v>
      </c>
      <c r="D10" s="2"/>
      <c r="E10" s="2"/>
      <c r="F10" s="2">
        <v>1</v>
      </c>
    </row>
    <row r="11" spans="1:6" x14ac:dyDescent="0.25">
      <c r="A11" s="2"/>
      <c r="B11" s="2"/>
      <c r="C11" s="2"/>
      <c r="D11" s="2"/>
      <c r="E11" s="2"/>
      <c r="F11" s="2"/>
    </row>
    <row r="12" spans="1:6" x14ac:dyDescent="0.25">
      <c r="A12" s="2"/>
      <c r="B12" s="2"/>
      <c r="C12" s="2"/>
      <c r="D12" s="2"/>
      <c r="E12" s="2"/>
      <c r="F12" s="2"/>
    </row>
    <row r="13" spans="1:6" x14ac:dyDescent="0.25">
      <c r="A13" s="2" t="s">
        <v>153</v>
      </c>
      <c r="B13" s="2" t="s">
        <v>154</v>
      </c>
      <c r="C13" s="2"/>
      <c r="D13" s="2"/>
      <c r="E13" s="2"/>
      <c r="F13" s="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2:J29"/>
  <sheetViews>
    <sheetView workbookViewId="0">
      <selection activeCell="I30" sqref="I30"/>
    </sheetView>
  </sheetViews>
  <sheetFormatPr defaultRowHeight="15" x14ac:dyDescent="0.25"/>
  <cols>
    <col min="1" max="1" width="7.140625" bestFit="1" customWidth="1"/>
    <col min="2" max="2" width="32" bestFit="1" customWidth="1"/>
    <col min="3" max="3" width="48.140625" bestFit="1" customWidth="1"/>
    <col min="4" max="4" width="2" bestFit="1" customWidth="1"/>
    <col min="6" max="6" width="25.42578125" bestFit="1" customWidth="1"/>
    <col min="8" max="8" width="25.42578125" bestFit="1" customWidth="1"/>
  </cols>
  <sheetData>
    <row r="2" spans="1:10" x14ac:dyDescent="0.25">
      <c r="A2" s="7" t="s">
        <v>138</v>
      </c>
      <c r="B2" s="7" t="s">
        <v>143</v>
      </c>
      <c r="C2" s="7" t="s">
        <v>144</v>
      </c>
      <c r="D2" s="5">
        <v>4</v>
      </c>
    </row>
    <row r="3" spans="1:10" ht="18.75" x14ac:dyDescent="0.25">
      <c r="A3" s="7" t="s">
        <v>9</v>
      </c>
      <c r="B3" s="7" t="s">
        <v>155</v>
      </c>
      <c r="C3" s="7" t="s">
        <v>156</v>
      </c>
      <c r="D3" s="5">
        <v>2</v>
      </c>
      <c r="F3" s="9" t="s">
        <v>296</v>
      </c>
      <c r="H3" s="9"/>
      <c r="J3" s="6" t="s">
        <v>288</v>
      </c>
    </row>
    <row r="4" spans="1:10" ht="18.75" x14ac:dyDescent="0.25">
      <c r="A4" s="7" t="s">
        <v>7</v>
      </c>
      <c r="B4" s="7" t="s">
        <v>196</v>
      </c>
      <c r="C4" s="7" t="s">
        <v>197</v>
      </c>
      <c r="D4" s="5">
        <v>1</v>
      </c>
      <c r="F4" s="9" t="s">
        <v>297</v>
      </c>
      <c r="H4" s="9"/>
    </row>
    <row r="5" spans="1:10" ht="18.75" x14ac:dyDescent="0.25">
      <c r="A5" s="7" t="s">
        <v>52</v>
      </c>
      <c r="B5" s="7" t="s">
        <v>213</v>
      </c>
      <c r="C5" s="7" t="s">
        <v>214</v>
      </c>
      <c r="D5" s="5">
        <v>6</v>
      </c>
      <c r="F5" s="9" t="s">
        <v>298</v>
      </c>
      <c r="H5" s="9"/>
      <c r="J5" s="6"/>
    </row>
    <row r="6" spans="1:10" ht="18.75" x14ac:dyDescent="0.25">
      <c r="A6" s="7" t="s">
        <v>9</v>
      </c>
      <c r="B6" s="7" t="s">
        <v>293</v>
      </c>
      <c r="C6" s="7" t="s">
        <v>294</v>
      </c>
      <c r="D6" s="5">
        <v>1</v>
      </c>
      <c r="F6" s="9" t="s">
        <v>299</v>
      </c>
      <c r="H6" s="9"/>
    </row>
    <row r="7" spans="1:10" ht="18.75" x14ac:dyDescent="0.25">
      <c r="F7" s="9" t="s">
        <v>300</v>
      </c>
      <c r="H7" s="9"/>
      <c r="J7" s="6" t="s">
        <v>295</v>
      </c>
    </row>
    <row r="8" spans="1:10" ht="18.75" x14ac:dyDescent="0.25">
      <c r="F8" s="9" t="s">
        <v>301</v>
      </c>
      <c r="H8" s="9"/>
    </row>
    <row r="29" spans="3:3" x14ac:dyDescent="0.25">
      <c r="C29" s="8"/>
    </row>
  </sheetData>
  <hyperlinks>
    <hyperlink ref="J3" r:id="rId1"/>
    <hyperlink ref="J7" r:id="rId2"/>
  </hyperlinks>
  <pageMargins left="0.7" right="0.7" top="0.75" bottom="0.75" header="0.3" footer="0.3"/>
  <pageSetup paperSize="9" orientation="portrait"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8" filterMode="1">
    <pageSetUpPr fitToPage="1"/>
  </sheetPr>
  <dimension ref="A1:AI132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</cols>
  <sheetData>
    <row r="1" spans="1:20" ht="54" customHeight="1" x14ac:dyDescent="0.25">
      <c r="B1" s="7" t="s">
        <v>325</v>
      </c>
      <c r="G1" t="s">
        <v>309</v>
      </c>
      <c r="J1" s="6" t="s">
        <v>288</v>
      </c>
      <c r="O1" s="6" t="s">
        <v>288</v>
      </c>
      <c r="T1" s="6" t="s">
        <v>295</v>
      </c>
    </row>
    <row r="2" spans="1:20" hidden="1" x14ac:dyDescent="0.25">
      <c r="A2" s="4" t="s">
        <v>47</v>
      </c>
      <c r="B2" s="4" t="s">
        <v>205</v>
      </c>
      <c r="C2" s="4" t="s">
        <v>206</v>
      </c>
    </row>
    <row r="3" spans="1:20" hidden="1" x14ac:dyDescent="0.25">
      <c r="A3" s="4" t="s">
        <v>47</v>
      </c>
      <c r="B3" s="4" t="s">
        <v>207</v>
      </c>
      <c r="C3" s="4" t="s">
        <v>208</v>
      </c>
      <c r="J3" s="6"/>
    </row>
    <row r="4" spans="1:20" hidden="1" x14ac:dyDescent="0.25">
      <c r="A4" s="4" t="s">
        <v>47</v>
      </c>
      <c r="B4" s="4" t="s">
        <v>209</v>
      </c>
      <c r="C4" s="4" t="s">
        <v>210</v>
      </c>
    </row>
    <row r="5" spans="1:20" hidden="1" x14ac:dyDescent="0.25">
      <c r="A5" s="4" t="s">
        <v>47</v>
      </c>
      <c r="B5" s="4" t="s">
        <v>211</v>
      </c>
      <c r="C5" s="4" t="s">
        <v>212</v>
      </c>
      <c r="J5" s="6" t="s">
        <v>295</v>
      </c>
    </row>
    <row r="6" spans="1:20" hidden="1" x14ac:dyDescent="0.25">
      <c r="A6" s="4" t="s">
        <v>47</v>
      </c>
      <c r="B6" s="4" t="s">
        <v>48</v>
      </c>
      <c r="C6" s="4" t="s">
        <v>49</v>
      </c>
    </row>
    <row r="7" spans="1:20" hidden="1" x14ac:dyDescent="0.25">
      <c r="A7" s="4" t="s">
        <v>47</v>
      </c>
      <c r="B7" s="4" t="s">
        <v>50</v>
      </c>
      <c r="C7" s="4" t="s">
        <v>51</v>
      </c>
    </row>
    <row r="8" spans="1:20" hidden="1" x14ac:dyDescent="0.25">
      <c r="A8" s="4" t="s">
        <v>52</v>
      </c>
      <c r="B8" s="4" t="s">
        <v>213</v>
      </c>
      <c r="C8" s="4" t="s">
        <v>214</v>
      </c>
    </row>
    <row r="9" spans="1:20" x14ac:dyDescent="0.25">
      <c r="A9" s="10" t="s">
        <v>52</v>
      </c>
      <c r="B9" s="10" t="s">
        <v>53</v>
      </c>
      <c r="C9" s="10" t="s">
        <v>54</v>
      </c>
      <c r="D9" s="5">
        <v>1</v>
      </c>
    </row>
    <row r="10" spans="1:20" hidden="1" x14ac:dyDescent="0.25">
      <c r="A10" s="4" t="s">
        <v>55</v>
      </c>
      <c r="B10" s="4" t="s">
        <v>56</v>
      </c>
      <c r="C10" s="4" t="s">
        <v>57</v>
      </c>
    </row>
    <row r="11" spans="1:20" hidden="1" x14ac:dyDescent="0.25">
      <c r="A11" s="10" t="s">
        <v>169</v>
      </c>
      <c r="B11" s="10" t="s">
        <v>215</v>
      </c>
      <c r="C11" s="10" t="s">
        <v>216</v>
      </c>
    </row>
    <row r="12" spans="1:20" hidden="1" x14ac:dyDescent="0.25">
      <c r="A12" s="10" t="s">
        <v>169</v>
      </c>
      <c r="B12" s="10" t="s">
        <v>170</v>
      </c>
      <c r="C12" s="10" t="s">
        <v>171</v>
      </c>
    </row>
    <row r="13" spans="1:20" hidden="1" x14ac:dyDescent="0.25">
      <c r="A13" s="10" t="s">
        <v>169</v>
      </c>
      <c r="B13" s="10" t="s">
        <v>172</v>
      </c>
      <c r="C13" s="10" t="s">
        <v>173</v>
      </c>
    </row>
    <row r="14" spans="1:20" hidden="1" x14ac:dyDescent="0.25">
      <c r="A14" s="4" t="s">
        <v>30</v>
      </c>
      <c r="B14" s="4" t="s">
        <v>58</v>
      </c>
      <c r="C14" s="4" t="s">
        <v>59</v>
      </c>
    </row>
    <row r="15" spans="1:20" hidden="1" x14ac:dyDescent="0.25">
      <c r="A15" s="4" t="s">
        <v>30</v>
      </c>
      <c r="B15" s="4" t="s">
        <v>60</v>
      </c>
      <c r="C15" s="4" t="s">
        <v>61</v>
      </c>
    </row>
    <row r="16" spans="1:20" hidden="1" x14ac:dyDescent="0.25">
      <c r="A16" s="4" t="s">
        <v>30</v>
      </c>
      <c r="B16" s="4" t="s">
        <v>62</v>
      </c>
      <c r="C16" s="4" t="s">
        <v>63</v>
      </c>
    </row>
    <row r="17" spans="1:3" hidden="1" x14ac:dyDescent="0.25">
      <c r="A17" s="4" t="s">
        <v>30</v>
      </c>
      <c r="B17" s="4" t="s">
        <v>31</v>
      </c>
      <c r="C17" s="4" t="s">
        <v>32</v>
      </c>
    </row>
    <row r="18" spans="1:3" hidden="1" x14ac:dyDescent="0.25">
      <c r="A18" s="4" t="s">
        <v>30</v>
      </c>
      <c r="B18" s="4" t="s">
        <v>39</v>
      </c>
      <c r="C18" s="4" t="s">
        <v>40</v>
      </c>
    </row>
    <row r="19" spans="1:3" hidden="1" x14ac:dyDescent="0.25">
      <c r="A19" s="4" t="s">
        <v>30</v>
      </c>
      <c r="B19" s="4" t="s">
        <v>217</v>
      </c>
      <c r="C19" s="4" t="s">
        <v>218</v>
      </c>
    </row>
    <row r="20" spans="1:3" hidden="1" x14ac:dyDescent="0.25">
      <c r="A20" s="4" t="s">
        <v>30</v>
      </c>
      <c r="B20" s="4" t="s">
        <v>219</v>
      </c>
      <c r="C20" s="4" t="s">
        <v>220</v>
      </c>
    </row>
    <row r="21" spans="1:3" hidden="1" x14ac:dyDescent="0.25">
      <c r="A21" s="4" t="s">
        <v>200</v>
      </c>
      <c r="B21" s="4" t="s">
        <v>221</v>
      </c>
      <c r="C21" s="4" t="s">
        <v>222</v>
      </c>
    </row>
    <row r="22" spans="1:3" hidden="1" x14ac:dyDescent="0.25">
      <c r="A22" s="4" t="s">
        <v>223</v>
      </c>
      <c r="B22" s="4" t="s">
        <v>224</v>
      </c>
      <c r="C22" s="4" t="s">
        <v>225</v>
      </c>
    </row>
    <row r="23" spans="1:3" hidden="1" x14ac:dyDescent="0.25">
      <c r="A23" s="4" t="s">
        <v>0</v>
      </c>
      <c r="B23" s="4" t="s">
        <v>134</v>
      </c>
      <c r="C23" s="4" t="s">
        <v>135</v>
      </c>
    </row>
    <row r="24" spans="1:3" hidden="1" x14ac:dyDescent="0.25">
      <c r="A24" s="4" t="s">
        <v>0</v>
      </c>
      <c r="B24" s="4" t="s">
        <v>1</v>
      </c>
      <c r="C24" s="4" t="s">
        <v>2</v>
      </c>
    </row>
    <row r="25" spans="1:3" hidden="1" x14ac:dyDescent="0.25">
      <c r="A25" s="4" t="s">
        <v>0</v>
      </c>
      <c r="B25" s="4" t="s">
        <v>174</v>
      </c>
      <c r="C25" s="4" t="s">
        <v>175</v>
      </c>
    </row>
    <row r="26" spans="1:3" hidden="1" x14ac:dyDescent="0.25">
      <c r="A26" s="4" t="s">
        <v>0</v>
      </c>
      <c r="B26" s="4" t="s">
        <v>176</v>
      </c>
      <c r="C26" s="4" t="s">
        <v>177</v>
      </c>
    </row>
    <row r="27" spans="1:3" hidden="1" x14ac:dyDescent="0.25">
      <c r="A27" s="4" t="s">
        <v>0</v>
      </c>
      <c r="B27" s="4" t="s">
        <v>226</v>
      </c>
      <c r="C27" s="4" t="s">
        <v>227</v>
      </c>
    </row>
    <row r="28" spans="1:3" hidden="1" x14ac:dyDescent="0.25">
      <c r="A28" s="4" t="s">
        <v>3</v>
      </c>
      <c r="B28" s="4" t="s">
        <v>228</v>
      </c>
      <c r="C28" s="4" t="s">
        <v>229</v>
      </c>
    </row>
    <row r="29" spans="1:3" hidden="1" x14ac:dyDescent="0.25">
      <c r="A29" s="4" t="s">
        <v>3</v>
      </c>
      <c r="B29" s="4" t="s">
        <v>178</v>
      </c>
      <c r="C29" s="4" t="s">
        <v>179</v>
      </c>
    </row>
    <row r="30" spans="1:3" hidden="1" x14ac:dyDescent="0.25">
      <c r="A30" s="4" t="s">
        <v>3</v>
      </c>
      <c r="B30" s="4" t="s">
        <v>289</v>
      </c>
      <c r="C30" s="4" t="s">
        <v>290</v>
      </c>
    </row>
    <row r="31" spans="1:3" hidden="1" x14ac:dyDescent="0.25">
      <c r="A31" s="4" t="s">
        <v>3</v>
      </c>
      <c r="B31" s="4" t="s">
        <v>64</v>
      </c>
      <c r="C31" s="4" t="s">
        <v>65</v>
      </c>
    </row>
    <row r="32" spans="1:3" hidden="1" x14ac:dyDescent="0.25">
      <c r="A32" s="4" t="s">
        <v>3</v>
      </c>
      <c r="B32" s="4" t="s">
        <v>180</v>
      </c>
      <c r="C32" s="4" t="s">
        <v>181</v>
      </c>
    </row>
    <row r="33" spans="1:3" hidden="1" x14ac:dyDescent="0.25">
      <c r="A33" s="4" t="s">
        <v>3</v>
      </c>
      <c r="B33" s="4" t="s">
        <v>230</v>
      </c>
      <c r="C33" s="4" t="s">
        <v>231</v>
      </c>
    </row>
    <row r="34" spans="1:3" hidden="1" x14ac:dyDescent="0.25">
      <c r="A34" s="4" t="s">
        <v>66</v>
      </c>
      <c r="B34" s="4" t="s">
        <v>232</v>
      </c>
      <c r="C34" s="4" t="s">
        <v>233</v>
      </c>
    </row>
    <row r="35" spans="1:3" hidden="1" x14ac:dyDescent="0.25">
      <c r="A35" s="4" t="s">
        <v>66</v>
      </c>
      <c r="B35" s="4" t="s">
        <v>234</v>
      </c>
      <c r="C35" s="4" t="s">
        <v>235</v>
      </c>
    </row>
    <row r="36" spans="1:3" hidden="1" x14ac:dyDescent="0.25">
      <c r="A36" s="4" t="s">
        <v>66</v>
      </c>
      <c r="B36" s="4" t="s">
        <v>67</v>
      </c>
      <c r="C36" s="4" t="s">
        <v>68</v>
      </c>
    </row>
    <row r="37" spans="1:3" hidden="1" x14ac:dyDescent="0.25">
      <c r="A37" s="4" t="s">
        <v>66</v>
      </c>
      <c r="B37" s="4" t="s">
        <v>236</v>
      </c>
      <c r="C37" s="4" t="s">
        <v>237</v>
      </c>
    </row>
    <row r="38" spans="1:3" hidden="1" x14ac:dyDescent="0.25">
      <c r="A38" s="4" t="s">
        <v>66</v>
      </c>
      <c r="B38" s="4" t="s">
        <v>238</v>
      </c>
      <c r="C38" s="4" t="s">
        <v>239</v>
      </c>
    </row>
    <row r="39" spans="1:3" hidden="1" x14ac:dyDescent="0.25">
      <c r="A39" s="4" t="s">
        <v>66</v>
      </c>
      <c r="B39" s="4" t="s">
        <v>182</v>
      </c>
      <c r="C39" s="4" t="s">
        <v>183</v>
      </c>
    </row>
    <row r="40" spans="1:3" hidden="1" x14ac:dyDescent="0.25">
      <c r="A40" s="4" t="s">
        <v>66</v>
      </c>
      <c r="B40" s="4" t="s">
        <v>69</v>
      </c>
      <c r="C40" s="4" t="s">
        <v>70</v>
      </c>
    </row>
    <row r="41" spans="1:3" hidden="1" x14ac:dyDescent="0.25">
      <c r="A41" s="4" t="s">
        <v>66</v>
      </c>
      <c r="B41" s="4" t="s">
        <v>240</v>
      </c>
      <c r="C41" s="4" t="s">
        <v>241</v>
      </c>
    </row>
    <row r="42" spans="1:3" hidden="1" x14ac:dyDescent="0.25">
      <c r="A42" s="4" t="s">
        <v>66</v>
      </c>
      <c r="B42" s="4" t="s">
        <v>242</v>
      </c>
      <c r="C42" s="4" t="s">
        <v>243</v>
      </c>
    </row>
    <row r="43" spans="1:3" hidden="1" x14ac:dyDescent="0.25">
      <c r="A43" s="4" t="s">
        <v>66</v>
      </c>
      <c r="B43" s="4" t="s">
        <v>71</v>
      </c>
      <c r="C43" s="4" t="s">
        <v>72</v>
      </c>
    </row>
    <row r="44" spans="1:3" hidden="1" x14ac:dyDescent="0.25">
      <c r="A44" s="4" t="s">
        <v>66</v>
      </c>
      <c r="B44" s="4" t="s">
        <v>73</v>
      </c>
      <c r="C44" s="4" t="s">
        <v>74</v>
      </c>
    </row>
    <row r="45" spans="1:3" hidden="1" x14ac:dyDescent="0.25">
      <c r="A45" s="4" t="s">
        <v>4</v>
      </c>
      <c r="B45" s="4" t="s">
        <v>75</v>
      </c>
      <c r="C45" s="4" t="s">
        <v>76</v>
      </c>
    </row>
    <row r="46" spans="1:3" hidden="1" x14ac:dyDescent="0.25">
      <c r="A46" s="4" t="s">
        <v>4</v>
      </c>
      <c r="B46" s="4" t="s">
        <v>77</v>
      </c>
      <c r="C46" s="4" t="s">
        <v>78</v>
      </c>
    </row>
    <row r="47" spans="1:3" hidden="1" x14ac:dyDescent="0.25">
      <c r="A47" s="4" t="s">
        <v>4</v>
      </c>
      <c r="B47" s="4" t="s">
        <v>79</v>
      </c>
      <c r="C47" s="4" t="s">
        <v>80</v>
      </c>
    </row>
    <row r="48" spans="1:3" hidden="1" x14ac:dyDescent="0.25">
      <c r="A48" s="4" t="s">
        <v>4</v>
      </c>
      <c r="B48" s="4" t="s">
        <v>136</v>
      </c>
      <c r="C48" s="4" t="s">
        <v>137</v>
      </c>
    </row>
    <row r="49" spans="1:3" hidden="1" x14ac:dyDescent="0.25">
      <c r="A49" s="4" t="s">
        <v>4</v>
      </c>
      <c r="B49" s="4" t="s">
        <v>81</v>
      </c>
      <c r="C49" s="4" t="s">
        <v>82</v>
      </c>
    </row>
    <row r="50" spans="1:3" hidden="1" x14ac:dyDescent="0.25">
      <c r="A50" s="4" t="s">
        <v>4</v>
      </c>
      <c r="B50" s="4" t="s">
        <v>83</v>
      </c>
      <c r="C50" s="4" t="s">
        <v>84</v>
      </c>
    </row>
    <row r="51" spans="1:3" hidden="1" x14ac:dyDescent="0.25">
      <c r="A51" s="4" t="s">
        <v>4</v>
      </c>
      <c r="B51" s="4" t="s">
        <v>5</v>
      </c>
      <c r="C51" s="4" t="s">
        <v>6</v>
      </c>
    </row>
    <row r="52" spans="1:3" hidden="1" x14ac:dyDescent="0.25">
      <c r="A52" s="4" t="s">
        <v>4</v>
      </c>
      <c r="B52" s="4" t="s">
        <v>127</v>
      </c>
      <c r="C52" s="4" t="s">
        <v>128</v>
      </c>
    </row>
    <row r="53" spans="1:3" hidden="1" x14ac:dyDescent="0.25">
      <c r="A53" s="4" t="s">
        <v>4</v>
      </c>
      <c r="B53" s="4" t="s">
        <v>85</v>
      </c>
      <c r="C53" s="4" t="s">
        <v>86</v>
      </c>
    </row>
    <row r="54" spans="1:3" hidden="1" x14ac:dyDescent="0.25">
      <c r="A54" s="4" t="s">
        <v>4</v>
      </c>
      <c r="B54" s="4" t="s">
        <v>184</v>
      </c>
      <c r="C54" s="4" t="s">
        <v>185</v>
      </c>
    </row>
    <row r="55" spans="1:3" hidden="1" x14ac:dyDescent="0.25">
      <c r="A55" s="4" t="s">
        <v>4</v>
      </c>
      <c r="B55" s="4" t="s">
        <v>186</v>
      </c>
      <c r="C55" s="4" t="s">
        <v>187</v>
      </c>
    </row>
    <row r="56" spans="1:3" hidden="1" x14ac:dyDescent="0.25">
      <c r="A56" s="10" t="s">
        <v>4</v>
      </c>
      <c r="B56" s="10" t="s">
        <v>188</v>
      </c>
      <c r="C56" s="10" t="s">
        <v>305</v>
      </c>
    </row>
    <row r="57" spans="1:3" hidden="1" x14ac:dyDescent="0.25">
      <c r="A57" s="4" t="s">
        <v>4</v>
      </c>
      <c r="B57" s="4" t="s">
        <v>190</v>
      </c>
      <c r="C57" s="4" t="s">
        <v>191</v>
      </c>
    </row>
    <row r="58" spans="1:3" hidden="1" x14ac:dyDescent="0.25">
      <c r="A58" s="4" t="s">
        <v>4</v>
      </c>
      <c r="B58" s="4" t="s">
        <v>192</v>
      </c>
      <c r="C58" s="4" t="s">
        <v>193</v>
      </c>
    </row>
    <row r="59" spans="1:3" hidden="1" x14ac:dyDescent="0.25">
      <c r="A59" s="4" t="s">
        <v>4</v>
      </c>
      <c r="B59" s="4" t="s">
        <v>194</v>
      </c>
      <c r="C59" s="4" t="s">
        <v>195</v>
      </c>
    </row>
    <row r="60" spans="1:3" hidden="1" x14ac:dyDescent="0.25">
      <c r="A60" s="4" t="s">
        <v>4</v>
      </c>
      <c r="B60" s="4" t="s">
        <v>291</v>
      </c>
      <c r="C60" s="4" t="s">
        <v>292</v>
      </c>
    </row>
    <row r="61" spans="1:3" hidden="1" x14ac:dyDescent="0.25">
      <c r="A61" s="4" t="s">
        <v>4</v>
      </c>
      <c r="B61" s="4" t="s">
        <v>244</v>
      </c>
      <c r="C61" s="4" t="s">
        <v>245</v>
      </c>
    </row>
    <row r="62" spans="1:3" hidden="1" x14ac:dyDescent="0.25">
      <c r="A62" s="4" t="s">
        <v>4</v>
      </c>
      <c r="B62" s="4" t="s">
        <v>246</v>
      </c>
      <c r="C62" s="4" t="s">
        <v>247</v>
      </c>
    </row>
    <row r="63" spans="1:3" hidden="1" x14ac:dyDescent="0.25">
      <c r="A63" s="4" t="s">
        <v>138</v>
      </c>
      <c r="B63" s="4" t="s">
        <v>158</v>
      </c>
      <c r="C63" s="4" t="s">
        <v>157</v>
      </c>
    </row>
    <row r="64" spans="1:3" hidden="1" x14ac:dyDescent="0.25">
      <c r="A64" s="10" t="s">
        <v>138</v>
      </c>
      <c r="B64" s="10" t="s">
        <v>160</v>
      </c>
      <c r="C64" s="10" t="s">
        <v>159</v>
      </c>
    </row>
    <row r="65" spans="1:35" hidden="1" x14ac:dyDescent="0.25">
      <c r="A65" s="10" t="s">
        <v>138</v>
      </c>
      <c r="B65" s="10" t="s">
        <v>162</v>
      </c>
      <c r="C65" s="10" t="s">
        <v>161</v>
      </c>
    </row>
    <row r="66" spans="1:35" hidden="1" x14ac:dyDescent="0.25">
      <c r="A66" s="10" t="s">
        <v>138</v>
      </c>
      <c r="B66" s="10" t="s">
        <v>139</v>
      </c>
      <c r="C66" s="10" t="s">
        <v>140</v>
      </c>
    </row>
    <row r="67" spans="1:35" x14ac:dyDescent="0.25">
      <c r="A67" s="10" t="s">
        <v>138</v>
      </c>
      <c r="B67" s="10" t="s">
        <v>149</v>
      </c>
      <c r="C67" s="10" t="s">
        <v>148</v>
      </c>
      <c r="D67" s="5">
        <v>1</v>
      </c>
    </row>
    <row r="68" spans="1:35" hidden="1" x14ac:dyDescent="0.25">
      <c r="A68" s="4" t="s">
        <v>138</v>
      </c>
      <c r="B68" s="4" t="s">
        <v>141</v>
      </c>
      <c r="C68" s="4" t="s">
        <v>142</v>
      </c>
    </row>
    <row r="69" spans="1:35" x14ac:dyDescent="0.25">
      <c r="A69" s="10" t="s">
        <v>138</v>
      </c>
      <c r="B69" s="10" t="s">
        <v>143</v>
      </c>
      <c r="C69" s="10" t="s">
        <v>144</v>
      </c>
      <c r="D69" s="5">
        <v>2</v>
      </c>
    </row>
    <row r="70" spans="1:35" hidden="1" x14ac:dyDescent="0.25">
      <c r="A70" s="4" t="s">
        <v>7</v>
      </c>
      <c r="B70" s="4" t="s">
        <v>8</v>
      </c>
      <c r="C70" s="4" t="s">
        <v>303</v>
      </c>
    </row>
    <row r="71" spans="1:35" hidden="1" x14ac:dyDescent="0.25">
      <c r="A71" s="4" t="s">
        <v>7</v>
      </c>
      <c r="B71" s="4" t="s">
        <v>196</v>
      </c>
      <c r="C71" s="4" t="s">
        <v>302</v>
      </c>
    </row>
    <row r="72" spans="1:35" hidden="1" x14ac:dyDescent="0.25">
      <c r="A72" s="10" t="s">
        <v>129</v>
      </c>
      <c r="B72" s="10" t="s">
        <v>130</v>
      </c>
      <c r="C72" s="10" t="s">
        <v>131</v>
      </c>
    </row>
    <row r="73" spans="1:35" hidden="1" x14ac:dyDescent="0.25">
      <c r="A73" s="4" t="s">
        <v>145</v>
      </c>
      <c r="B73" s="4" t="s">
        <v>146</v>
      </c>
      <c r="C73" s="4" t="s">
        <v>147</v>
      </c>
    </row>
    <row r="74" spans="1:35" hidden="1" x14ac:dyDescent="0.25">
      <c r="A74" s="4" t="s">
        <v>9</v>
      </c>
      <c r="B74" s="4" t="s">
        <v>87</v>
      </c>
      <c r="C74" s="4" t="s">
        <v>88</v>
      </c>
    </row>
    <row r="75" spans="1:35" hidden="1" x14ac:dyDescent="0.25">
      <c r="A75" s="4" t="s">
        <v>9</v>
      </c>
      <c r="B75" s="4" t="s">
        <v>89</v>
      </c>
      <c r="C75" s="4" t="s">
        <v>90</v>
      </c>
    </row>
    <row r="76" spans="1:35" hidden="1" x14ac:dyDescent="0.25">
      <c r="A76" s="4" t="s">
        <v>9</v>
      </c>
      <c r="B76" s="4" t="s">
        <v>10</v>
      </c>
      <c r="C76" s="4" t="s">
        <v>11</v>
      </c>
      <c r="Z76" s="3"/>
      <c r="AH76" s="3"/>
      <c r="AI76" s="3"/>
    </row>
    <row r="77" spans="1:35" hidden="1" x14ac:dyDescent="0.25">
      <c r="A77" s="4" t="s">
        <v>9</v>
      </c>
      <c r="B77" s="4" t="s">
        <v>12</v>
      </c>
      <c r="C77" s="4" t="s">
        <v>13</v>
      </c>
      <c r="Z77" s="3"/>
      <c r="AH77" s="3"/>
      <c r="AI77" s="3"/>
    </row>
    <row r="78" spans="1:35" hidden="1" x14ac:dyDescent="0.25">
      <c r="A78" s="10" t="s">
        <v>9</v>
      </c>
      <c r="B78" s="10" t="s">
        <v>25</v>
      </c>
      <c r="C78" s="10" t="s">
        <v>304</v>
      </c>
      <c r="Z78" s="3"/>
      <c r="AH78" s="3"/>
      <c r="AI78" s="3"/>
    </row>
    <row r="79" spans="1:35" hidden="1" x14ac:dyDescent="0.25">
      <c r="A79" s="4" t="s">
        <v>9</v>
      </c>
      <c r="B79" s="4" t="s">
        <v>19</v>
      </c>
      <c r="C79" s="4" t="s">
        <v>20</v>
      </c>
      <c r="Z79" s="3"/>
      <c r="AH79" s="3"/>
      <c r="AI79" s="3"/>
    </row>
    <row r="80" spans="1:35" hidden="1" x14ac:dyDescent="0.25">
      <c r="A80" s="4" t="s">
        <v>9</v>
      </c>
      <c r="B80" s="4" t="s">
        <v>21</v>
      </c>
      <c r="C80" s="4" t="s">
        <v>22</v>
      </c>
      <c r="Z80" s="3"/>
      <c r="AH80" s="3"/>
      <c r="AI80" s="3"/>
    </row>
    <row r="81" spans="1:35" hidden="1" x14ac:dyDescent="0.25">
      <c r="A81" s="4" t="s">
        <v>9</v>
      </c>
      <c r="B81" s="4" t="s">
        <v>132</v>
      </c>
      <c r="C81" s="4" t="s">
        <v>133</v>
      </c>
      <c r="Z81" s="3"/>
      <c r="AH81" s="3"/>
      <c r="AI81" s="3"/>
    </row>
    <row r="82" spans="1:35" hidden="1" x14ac:dyDescent="0.25">
      <c r="A82" s="4" t="s">
        <v>9</v>
      </c>
      <c r="B82" s="4" t="s">
        <v>23</v>
      </c>
      <c r="C82" s="4" t="s">
        <v>24</v>
      </c>
    </row>
    <row r="83" spans="1:35" hidden="1" x14ac:dyDescent="0.25">
      <c r="A83" s="4" t="s">
        <v>9</v>
      </c>
      <c r="B83" s="4" t="s">
        <v>91</v>
      </c>
      <c r="C83" s="4" t="s">
        <v>92</v>
      </c>
    </row>
    <row r="84" spans="1:35" hidden="1" x14ac:dyDescent="0.25">
      <c r="A84" s="4" t="s">
        <v>9</v>
      </c>
      <c r="B84" s="4" t="s">
        <v>93</v>
      </c>
      <c r="C84" s="4" t="s">
        <v>94</v>
      </c>
    </row>
    <row r="85" spans="1:35" hidden="1" x14ac:dyDescent="0.25">
      <c r="A85" s="4" t="s">
        <v>9</v>
      </c>
      <c r="B85" s="4" t="s">
        <v>164</v>
      </c>
      <c r="C85" s="4" t="s">
        <v>163</v>
      </c>
    </row>
    <row r="86" spans="1:35" hidden="1" x14ac:dyDescent="0.25">
      <c r="A86" s="10" t="s">
        <v>9</v>
      </c>
      <c r="B86" s="10" t="s">
        <v>166</v>
      </c>
      <c r="C86" s="10" t="s">
        <v>165</v>
      </c>
    </row>
    <row r="87" spans="1:35" hidden="1" x14ac:dyDescent="0.25">
      <c r="A87" s="10" t="s">
        <v>9</v>
      </c>
      <c r="B87" s="10" t="s">
        <v>168</v>
      </c>
      <c r="C87" s="10" t="s">
        <v>167</v>
      </c>
    </row>
    <row r="88" spans="1:35" hidden="1" x14ac:dyDescent="0.25">
      <c r="A88" s="4" t="s">
        <v>9</v>
      </c>
      <c r="B88" s="4" t="s">
        <v>293</v>
      </c>
      <c r="C88" s="4" t="s">
        <v>294</v>
      </c>
    </row>
    <row r="89" spans="1:35" hidden="1" x14ac:dyDescent="0.25">
      <c r="A89" s="4" t="s">
        <v>9</v>
      </c>
      <c r="B89" s="4" t="s">
        <v>248</v>
      </c>
      <c r="C89" s="4" t="s">
        <v>249</v>
      </c>
    </row>
    <row r="90" spans="1:35" hidden="1" x14ac:dyDescent="0.25">
      <c r="A90" s="10" t="s">
        <v>9</v>
      </c>
      <c r="B90" s="10" t="s">
        <v>155</v>
      </c>
      <c r="C90" s="10" t="s">
        <v>156</v>
      </c>
    </row>
    <row r="91" spans="1:35" hidden="1" x14ac:dyDescent="0.25">
      <c r="A91" s="4" t="s">
        <v>27</v>
      </c>
      <c r="B91" s="4" t="s">
        <v>95</v>
      </c>
      <c r="C91" s="4" t="s">
        <v>96</v>
      </c>
    </row>
    <row r="92" spans="1:35" hidden="1" x14ac:dyDescent="0.25">
      <c r="A92" s="4" t="s">
        <v>27</v>
      </c>
      <c r="B92" s="4" t="s">
        <v>97</v>
      </c>
      <c r="C92" s="4" t="s">
        <v>98</v>
      </c>
    </row>
    <row r="93" spans="1:35" hidden="1" x14ac:dyDescent="0.25">
      <c r="A93" s="4" t="s">
        <v>27</v>
      </c>
      <c r="B93" s="4" t="s">
        <v>99</v>
      </c>
      <c r="C93" s="4" t="s">
        <v>100</v>
      </c>
    </row>
    <row r="94" spans="1:35" hidden="1" x14ac:dyDescent="0.25">
      <c r="A94" s="4" t="s">
        <v>27</v>
      </c>
      <c r="B94" s="4" t="s">
        <v>101</v>
      </c>
      <c r="C94" s="4" t="s">
        <v>102</v>
      </c>
    </row>
    <row r="95" spans="1:35" hidden="1" x14ac:dyDescent="0.25">
      <c r="A95" s="4" t="s">
        <v>27</v>
      </c>
      <c r="B95" s="4" t="s">
        <v>103</v>
      </c>
      <c r="C95" s="4" t="s">
        <v>104</v>
      </c>
    </row>
    <row r="96" spans="1:35" hidden="1" x14ac:dyDescent="0.25">
      <c r="A96" s="4" t="s">
        <v>27</v>
      </c>
      <c r="B96" s="4" t="s">
        <v>105</v>
      </c>
      <c r="C96" s="4" t="s">
        <v>106</v>
      </c>
    </row>
    <row r="97" spans="1:3" hidden="1" x14ac:dyDescent="0.25">
      <c r="A97" s="4" t="s">
        <v>27</v>
      </c>
      <c r="B97" s="4" t="s">
        <v>28</v>
      </c>
      <c r="C97" s="4" t="s">
        <v>29</v>
      </c>
    </row>
    <row r="98" spans="1:3" hidden="1" x14ac:dyDescent="0.25">
      <c r="A98" s="4" t="s">
        <v>107</v>
      </c>
      <c r="B98" s="4" t="s">
        <v>108</v>
      </c>
      <c r="C98" s="4" t="s">
        <v>109</v>
      </c>
    </row>
    <row r="99" spans="1:3" hidden="1" x14ac:dyDescent="0.25">
      <c r="A99" s="4" t="s">
        <v>107</v>
      </c>
      <c r="B99" s="4" t="s">
        <v>110</v>
      </c>
      <c r="C99" s="4" t="s">
        <v>111</v>
      </c>
    </row>
    <row r="100" spans="1:3" hidden="1" x14ac:dyDescent="0.25">
      <c r="A100" s="10" t="s">
        <v>107</v>
      </c>
      <c r="B100" s="10" t="s">
        <v>112</v>
      </c>
      <c r="C100" s="10" t="s">
        <v>113</v>
      </c>
    </row>
    <row r="101" spans="1:3" hidden="1" x14ac:dyDescent="0.25">
      <c r="A101" s="4" t="s">
        <v>107</v>
      </c>
      <c r="B101" s="4" t="s">
        <v>250</v>
      </c>
      <c r="C101" s="4" t="s">
        <v>251</v>
      </c>
    </row>
    <row r="102" spans="1:3" hidden="1" x14ac:dyDescent="0.25">
      <c r="A102" s="4" t="s">
        <v>107</v>
      </c>
      <c r="B102" s="4" t="s">
        <v>252</v>
      </c>
      <c r="C102" s="4" t="s">
        <v>253</v>
      </c>
    </row>
    <row r="103" spans="1:3" hidden="1" x14ac:dyDescent="0.25">
      <c r="A103" s="4" t="s">
        <v>107</v>
      </c>
      <c r="B103" s="4" t="s">
        <v>254</v>
      </c>
      <c r="C103" s="4" t="s">
        <v>255</v>
      </c>
    </row>
    <row r="104" spans="1:3" hidden="1" x14ac:dyDescent="0.25">
      <c r="A104" s="4" t="s">
        <v>107</v>
      </c>
      <c r="B104" s="4" t="s">
        <v>256</v>
      </c>
      <c r="C104" s="4" t="s">
        <v>257</v>
      </c>
    </row>
    <row r="105" spans="1:3" hidden="1" x14ac:dyDescent="0.25">
      <c r="A105" s="4" t="s">
        <v>33</v>
      </c>
      <c r="B105" s="4" t="s">
        <v>34</v>
      </c>
      <c r="C105" s="4" t="s">
        <v>35</v>
      </c>
    </row>
    <row r="106" spans="1:3" hidden="1" x14ac:dyDescent="0.25">
      <c r="A106" s="4" t="s">
        <v>258</v>
      </c>
      <c r="B106" s="4" t="s">
        <v>259</v>
      </c>
      <c r="C106" s="4" t="s">
        <v>260</v>
      </c>
    </row>
    <row r="107" spans="1:3" hidden="1" x14ac:dyDescent="0.25">
      <c r="A107" s="4" t="s">
        <v>258</v>
      </c>
      <c r="B107" s="4" t="s">
        <v>261</v>
      </c>
      <c r="C107" s="4" t="s">
        <v>262</v>
      </c>
    </row>
    <row r="108" spans="1:3" hidden="1" x14ac:dyDescent="0.25">
      <c r="A108" s="4" t="s">
        <v>41</v>
      </c>
      <c r="B108" s="4" t="s">
        <v>42</v>
      </c>
      <c r="C108" s="4" t="s">
        <v>43</v>
      </c>
    </row>
    <row r="109" spans="1:3" hidden="1" x14ac:dyDescent="0.25">
      <c r="A109" s="4" t="s">
        <v>263</v>
      </c>
      <c r="B109" s="4" t="s">
        <v>264</v>
      </c>
      <c r="C109" s="4" t="s">
        <v>265</v>
      </c>
    </row>
    <row r="110" spans="1:3" hidden="1" x14ac:dyDescent="0.25">
      <c r="A110" s="4" t="s">
        <v>263</v>
      </c>
      <c r="B110" s="4" t="s">
        <v>266</v>
      </c>
      <c r="C110" s="4" t="s">
        <v>267</v>
      </c>
    </row>
    <row r="111" spans="1:3" hidden="1" x14ac:dyDescent="0.25">
      <c r="A111" s="4" t="s">
        <v>114</v>
      </c>
      <c r="B111" s="4" t="s">
        <v>115</v>
      </c>
      <c r="C111" s="4" t="s">
        <v>116</v>
      </c>
    </row>
    <row r="112" spans="1:3" hidden="1" x14ac:dyDescent="0.25">
      <c r="A112" s="4" t="s">
        <v>44</v>
      </c>
      <c r="B112" s="4" t="s">
        <v>45</v>
      </c>
      <c r="C112" s="4" t="s">
        <v>46</v>
      </c>
    </row>
    <row r="113" spans="1:3" hidden="1" x14ac:dyDescent="0.25">
      <c r="A113" s="10" t="s">
        <v>268</v>
      </c>
      <c r="B113" s="10" t="s">
        <v>269</v>
      </c>
      <c r="C113" s="10" t="s">
        <v>270</v>
      </c>
    </row>
    <row r="114" spans="1:3" hidden="1" x14ac:dyDescent="0.25">
      <c r="A114" s="10" t="s">
        <v>117</v>
      </c>
      <c r="B114" s="10" t="s">
        <v>118</v>
      </c>
      <c r="C114" s="10" t="s">
        <v>119</v>
      </c>
    </row>
    <row r="115" spans="1:3" hidden="1" x14ac:dyDescent="0.25">
      <c r="A115" s="4" t="s">
        <v>120</v>
      </c>
      <c r="B115" s="4" t="s">
        <v>271</v>
      </c>
      <c r="C115" s="4" t="s">
        <v>272</v>
      </c>
    </row>
    <row r="116" spans="1:3" hidden="1" x14ac:dyDescent="0.25">
      <c r="A116" s="4" t="s">
        <v>120</v>
      </c>
      <c r="B116" s="4" t="s">
        <v>273</v>
      </c>
      <c r="C116" s="4" t="s">
        <v>274</v>
      </c>
    </row>
    <row r="117" spans="1:3" hidden="1" x14ac:dyDescent="0.25">
      <c r="A117" s="4" t="s">
        <v>120</v>
      </c>
      <c r="B117" s="4" t="s">
        <v>121</v>
      </c>
      <c r="C117" s="4" t="s">
        <v>122</v>
      </c>
    </row>
    <row r="118" spans="1:3" hidden="1" x14ac:dyDescent="0.25">
      <c r="A118" s="4" t="s">
        <v>120</v>
      </c>
      <c r="B118" s="4" t="s">
        <v>275</v>
      </c>
      <c r="C118" s="4" t="s">
        <v>276</v>
      </c>
    </row>
    <row r="119" spans="1:3" hidden="1" x14ac:dyDescent="0.25">
      <c r="A119" s="4" t="s">
        <v>120</v>
      </c>
      <c r="B119" s="4" t="s">
        <v>198</v>
      </c>
      <c r="C119" s="4" t="s">
        <v>199</v>
      </c>
    </row>
    <row r="120" spans="1:3" hidden="1" x14ac:dyDescent="0.25">
      <c r="A120" s="4" t="s">
        <v>120</v>
      </c>
      <c r="B120" s="4" t="s">
        <v>277</v>
      </c>
      <c r="C120" s="4" t="s">
        <v>278</v>
      </c>
    </row>
    <row r="121" spans="1:3" hidden="1" x14ac:dyDescent="0.25">
      <c r="A121" s="10" t="s">
        <v>120</v>
      </c>
      <c r="B121" s="10" t="s">
        <v>123</v>
      </c>
      <c r="C121" s="10" t="s">
        <v>124</v>
      </c>
    </row>
    <row r="122" spans="1:3" hidden="1" x14ac:dyDescent="0.25">
      <c r="A122" s="10" t="s">
        <v>120</v>
      </c>
      <c r="B122" s="10" t="s">
        <v>125</v>
      </c>
      <c r="C122" s="10" t="s">
        <v>126</v>
      </c>
    </row>
    <row r="123" spans="1:3" hidden="1" x14ac:dyDescent="0.25">
      <c r="A123" s="4" t="s">
        <v>279</v>
      </c>
      <c r="B123" s="4" t="s">
        <v>280</v>
      </c>
      <c r="C123" s="4" t="s">
        <v>281</v>
      </c>
    </row>
    <row r="124" spans="1:3" hidden="1" x14ac:dyDescent="0.25">
      <c r="A124" s="4" t="s">
        <v>282</v>
      </c>
      <c r="B124" s="4" t="s">
        <v>283</v>
      </c>
      <c r="C124" s="4" t="s">
        <v>284</v>
      </c>
    </row>
    <row r="125" spans="1:3" hidden="1" x14ac:dyDescent="0.25">
      <c r="A125" s="4" t="s">
        <v>285</v>
      </c>
      <c r="B125" s="4" t="s">
        <v>286</v>
      </c>
      <c r="C125" s="4" t="s">
        <v>287</v>
      </c>
    </row>
    <row r="126" spans="1:3" hidden="1" x14ac:dyDescent="0.25">
      <c r="A126" s="4" t="s">
        <v>14</v>
      </c>
      <c r="B126" s="4" t="s">
        <v>15</v>
      </c>
      <c r="C126" s="4" t="s">
        <v>16</v>
      </c>
    </row>
    <row r="127" spans="1:3" hidden="1" x14ac:dyDescent="0.25">
      <c r="A127" s="4" t="s">
        <v>14</v>
      </c>
      <c r="B127" s="4" t="s">
        <v>17</v>
      </c>
      <c r="C127" s="4" t="s">
        <v>18</v>
      </c>
    </row>
    <row r="128" spans="1:3" hidden="1" x14ac:dyDescent="0.25">
      <c r="A128" s="4" t="s">
        <v>14</v>
      </c>
      <c r="B128" s="4" t="s">
        <v>201</v>
      </c>
      <c r="C128" s="4" t="s">
        <v>202</v>
      </c>
    </row>
    <row r="129" spans="1:5" hidden="1" x14ac:dyDescent="0.25">
      <c r="A129" s="4" t="s">
        <v>14</v>
      </c>
      <c r="B129" s="4" t="s">
        <v>203</v>
      </c>
      <c r="C129" s="4" t="s">
        <v>204</v>
      </c>
    </row>
    <row r="130" spans="1:5" hidden="1" x14ac:dyDescent="0.25">
      <c r="A130" s="4" t="s">
        <v>36</v>
      </c>
      <c r="B130" s="4" t="s">
        <v>37</v>
      </c>
      <c r="C130" s="4" t="s">
        <v>38</v>
      </c>
    </row>
    <row r="131" spans="1:5" x14ac:dyDescent="0.25">
      <c r="A131" s="11" t="s">
        <v>307</v>
      </c>
      <c r="B131" s="11" t="s">
        <v>306</v>
      </c>
      <c r="C131" s="11" t="s">
        <v>308</v>
      </c>
      <c r="D131" s="5">
        <v>1</v>
      </c>
    </row>
    <row r="132" spans="1:5" x14ac:dyDescent="0.25">
      <c r="E132" t="s">
        <v>316</v>
      </c>
    </row>
  </sheetData>
  <autoFilter ref="A1:D131">
    <filterColumn colId="3">
      <customFilters>
        <customFilter operator="notEqual" val=" "/>
      </customFilters>
    </filterColumn>
  </autoFilter>
  <hyperlinks>
    <hyperlink ref="J1" r:id="rId1"/>
    <hyperlink ref="J5" r:id="rId2"/>
    <hyperlink ref="O1" r:id="rId3"/>
    <hyperlink ref="T1" r:id="rId4"/>
  </hyperlinks>
  <pageMargins left="0.25" right="0.25" top="0.75" bottom="0.75" header="0.3" footer="0.3"/>
  <pageSetup paperSize="8" scale="53" orientation="portrait" r:id="rId5"/>
  <drawing r:id="rId6"/>
  <legacyDrawing r:id="rId7"/>
  <controls>
    <mc:AlternateContent xmlns:mc="http://schemas.openxmlformats.org/markup-compatibility/2006">
      <mc:Choice Requires="x14">
        <control shapeId="5121" r:id="rId8" name="CommandButton1">
          <controlPr autoLine="0" r:id="rId9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5121" r:id="rId8" name="CommandButton1"/>
      </mc:Fallback>
    </mc:AlternateContent>
    <mc:AlternateContent xmlns:mc="http://schemas.openxmlformats.org/markup-compatibility/2006">
      <mc:Choice Requires="x14">
        <control shapeId="5122" r:id="rId10" name="CommandButton2">
          <controlPr autoLine="0" r:id="rId11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5122" r:id="rId10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 filterMode="1">
    <pageSetUpPr fitToPage="1"/>
  </sheetPr>
  <dimension ref="A1:AI135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11.42578125" style="5" customWidth="1"/>
    <col min="6" max="6" width="32.85546875" customWidth="1"/>
  </cols>
  <sheetData>
    <row r="1" spans="1:15" ht="54" customHeight="1" x14ac:dyDescent="0.25">
      <c r="J1" s="6" t="s">
        <v>288</v>
      </c>
      <c r="O1" s="6" t="s">
        <v>295</v>
      </c>
    </row>
    <row r="2" spans="1:15" ht="18" customHeight="1" x14ac:dyDescent="0.25">
      <c r="A2" s="11" t="s">
        <v>307</v>
      </c>
      <c r="B2" s="11" t="s">
        <v>306</v>
      </c>
      <c r="C2" s="11" t="s">
        <v>308</v>
      </c>
      <c r="D2" s="5">
        <v>3</v>
      </c>
      <c r="F2" s="11" t="s">
        <v>317</v>
      </c>
      <c r="G2" s="11" t="s">
        <v>320</v>
      </c>
      <c r="J2" s="6"/>
    </row>
    <row r="3" spans="1:15" hidden="1" x14ac:dyDescent="0.25">
      <c r="A3" s="4" t="s">
        <v>47</v>
      </c>
      <c r="B3" s="4" t="s">
        <v>205</v>
      </c>
      <c r="C3" s="4" t="s">
        <v>206</v>
      </c>
    </row>
    <row r="4" spans="1:15" hidden="1" x14ac:dyDescent="0.25">
      <c r="A4" s="4" t="s">
        <v>47</v>
      </c>
      <c r="B4" s="4" t="s">
        <v>207</v>
      </c>
      <c r="C4" s="4" t="s">
        <v>208</v>
      </c>
      <c r="J4" s="6"/>
    </row>
    <row r="5" spans="1:15" hidden="1" x14ac:dyDescent="0.25">
      <c r="A5" s="4" t="s">
        <v>47</v>
      </c>
      <c r="B5" s="4" t="s">
        <v>209</v>
      </c>
      <c r="C5" s="4" t="s">
        <v>210</v>
      </c>
    </row>
    <row r="6" spans="1:15" hidden="1" x14ac:dyDescent="0.25">
      <c r="A6" s="4" t="s">
        <v>47</v>
      </c>
      <c r="B6" s="4" t="s">
        <v>211</v>
      </c>
      <c r="C6" s="4" t="s">
        <v>212</v>
      </c>
    </row>
    <row r="7" spans="1:15" hidden="1" x14ac:dyDescent="0.25">
      <c r="A7" s="4" t="s">
        <v>47</v>
      </c>
      <c r="B7" s="4" t="s">
        <v>48</v>
      </c>
      <c r="C7" s="4" t="s">
        <v>49</v>
      </c>
    </row>
    <row r="8" spans="1:15" hidden="1" x14ac:dyDescent="0.25">
      <c r="A8" s="4" t="s">
        <v>47</v>
      </c>
      <c r="B8" s="4" t="s">
        <v>50</v>
      </c>
      <c r="C8" s="4" t="s">
        <v>51</v>
      </c>
    </row>
    <row r="9" spans="1:15" hidden="1" x14ac:dyDescent="0.25">
      <c r="A9" s="4" t="s">
        <v>52</v>
      </c>
      <c r="B9" s="4" t="s">
        <v>213</v>
      </c>
      <c r="C9" s="4" t="s">
        <v>214</v>
      </c>
    </row>
    <row r="10" spans="1:15" x14ac:dyDescent="0.25">
      <c r="A10" s="10" t="s">
        <v>52</v>
      </c>
      <c r="B10" s="10" t="s">
        <v>53</v>
      </c>
      <c r="C10" s="10" t="s">
        <v>54</v>
      </c>
      <c r="D10" s="5">
        <v>3</v>
      </c>
      <c r="F10" s="10" t="s">
        <v>318</v>
      </c>
      <c r="G10" s="10" t="s">
        <v>321</v>
      </c>
    </row>
    <row r="11" spans="1:15" hidden="1" x14ac:dyDescent="0.25">
      <c r="A11" s="4" t="s">
        <v>55</v>
      </c>
      <c r="B11" s="4" t="s">
        <v>56</v>
      </c>
      <c r="C11" s="4" t="s">
        <v>57</v>
      </c>
    </row>
    <row r="12" spans="1:15" hidden="1" x14ac:dyDescent="0.25">
      <c r="A12" s="10" t="s">
        <v>169</v>
      </c>
      <c r="B12" s="10" t="s">
        <v>215</v>
      </c>
      <c r="C12" s="10" t="s">
        <v>216</v>
      </c>
    </row>
    <row r="13" spans="1:15" hidden="1" x14ac:dyDescent="0.25">
      <c r="A13" s="10" t="s">
        <v>169</v>
      </c>
      <c r="B13" s="10" t="s">
        <v>170</v>
      </c>
      <c r="C13" s="10" t="s">
        <v>171</v>
      </c>
    </row>
    <row r="14" spans="1:15" hidden="1" x14ac:dyDescent="0.25">
      <c r="A14" s="10" t="s">
        <v>169</v>
      </c>
      <c r="B14" s="10" t="s">
        <v>172</v>
      </c>
      <c r="C14" s="10" t="s">
        <v>173</v>
      </c>
    </row>
    <row r="15" spans="1:15" hidden="1" x14ac:dyDescent="0.25">
      <c r="A15" s="4" t="s">
        <v>30</v>
      </c>
      <c r="B15" s="4" t="s">
        <v>58</v>
      </c>
      <c r="C15" s="4" t="s">
        <v>59</v>
      </c>
    </row>
    <row r="16" spans="1:15" hidden="1" x14ac:dyDescent="0.25">
      <c r="A16" s="4" t="s">
        <v>30</v>
      </c>
      <c r="B16" s="4" t="s">
        <v>60</v>
      </c>
      <c r="C16" s="4" t="s">
        <v>61</v>
      </c>
    </row>
    <row r="17" spans="1:3" hidden="1" x14ac:dyDescent="0.25">
      <c r="A17" s="4" t="s">
        <v>30</v>
      </c>
      <c r="B17" s="4" t="s">
        <v>62</v>
      </c>
      <c r="C17" s="4" t="s">
        <v>63</v>
      </c>
    </row>
    <row r="18" spans="1:3" hidden="1" x14ac:dyDescent="0.25">
      <c r="A18" s="4" t="s">
        <v>30</v>
      </c>
      <c r="B18" s="4" t="s">
        <v>31</v>
      </c>
      <c r="C18" s="4" t="s">
        <v>32</v>
      </c>
    </row>
    <row r="19" spans="1:3" hidden="1" x14ac:dyDescent="0.25">
      <c r="A19" s="4" t="s">
        <v>30</v>
      </c>
      <c r="B19" s="4" t="s">
        <v>39</v>
      </c>
      <c r="C19" s="4" t="s">
        <v>40</v>
      </c>
    </row>
    <row r="20" spans="1:3" hidden="1" x14ac:dyDescent="0.25">
      <c r="A20" s="4" t="s">
        <v>30</v>
      </c>
      <c r="B20" s="4" t="s">
        <v>217</v>
      </c>
      <c r="C20" s="4" t="s">
        <v>218</v>
      </c>
    </row>
    <row r="21" spans="1:3" hidden="1" x14ac:dyDescent="0.25">
      <c r="A21" s="4" t="s">
        <v>30</v>
      </c>
      <c r="B21" s="4" t="s">
        <v>219</v>
      </c>
      <c r="C21" s="4" t="s">
        <v>220</v>
      </c>
    </row>
    <row r="22" spans="1:3" hidden="1" x14ac:dyDescent="0.25">
      <c r="A22" s="4" t="s">
        <v>200</v>
      </c>
      <c r="B22" s="4" t="s">
        <v>221</v>
      </c>
      <c r="C22" s="4" t="s">
        <v>222</v>
      </c>
    </row>
    <row r="23" spans="1:3" hidden="1" x14ac:dyDescent="0.25">
      <c r="A23" s="4" t="s">
        <v>223</v>
      </c>
      <c r="B23" s="4" t="s">
        <v>224</v>
      </c>
      <c r="C23" s="4" t="s">
        <v>225</v>
      </c>
    </row>
    <row r="24" spans="1:3" hidden="1" x14ac:dyDescent="0.25">
      <c r="A24" s="4" t="s">
        <v>0</v>
      </c>
      <c r="B24" s="4" t="s">
        <v>134</v>
      </c>
      <c r="C24" s="4" t="s">
        <v>135</v>
      </c>
    </row>
    <row r="25" spans="1:3" hidden="1" x14ac:dyDescent="0.25">
      <c r="A25" s="4" t="s">
        <v>0</v>
      </c>
      <c r="B25" s="4" t="s">
        <v>1</v>
      </c>
      <c r="C25" s="4" t="s">
        <v>2</v>
      </c>
    </row>
    <row r="26" spans="1:3" hidden="1" x14ac:dyDescent="0.25">
      <c r="A26" s="4" t="s">
        <v>0</v>
      </c>
      <c r="B26" s="4" t="s">
        <v>174</v>
      </c>
      <c r="C26" s="4" t="s">
        <v>175</v>
      </c>
    </row>
    <row r="27" spans="1:3" hidden="1" x14ac:dyDescent="0.25">
      <c r="A27" s="4" t="s">
        <v>0</v>
      </c>
      <c r="B27" s="4" t="s">
        <v>176</v>
      </c>
      <c r="C27" s="4" t="s">
        <v>177</v>
      </c>
    </row>
    <row r="28" spans="1:3" hidden="1" x14ac:dyDescent="0.25">
      <c r="A28" s="4" t="s">
        <v>0</v>
      </c>
      <c r="B28" s="4" t="s">
        <v>226</v>
      </c>
      <c r="C28" s="4" t="s">
        <v>227</v>
      </c>
    </row>
    <row r="29" spans="1:3" hidden="1" x14ac:dyDescent="0.25">
      <c r="A29" s="4" t="s">
        <v>3</v>
      </c>
      <c r="B29" s="4" t="s">
        <v>228</v>
      </c>
      <c r="C29" s="4" t="s">
        <v>229</v>
      </c>
    </row>
    <row r="30" spans="1:3" hidden="1" x14ac:dyDescent="0.25">
      <c r="A30" s="4" t="s">
        <v>3</v>
      </c>
      <c r="B30" s="4" t="s">
        <v>178</v>
      </c>
      <c r="C30" s="4" t="s">
        <v>179</v>
      </c>
    </row>
    <row r="31" spans="1:3" hidden="1" x14ac:dyDescent="0.25">
      <c r="A31" s="4" t="s">
        <v>3</v>
      </c>
      <c r="B31" s="4" t="s">
        <v>289</v>
      </c>
      <c r="C31" s="4" t="s">
        <v>290</v>
      </c>
    </row>
    <row r="32" spans="1:3" hidden="1" x14ac:dyDescent="0.25">
      <c r="A32" s="4" t="s">
        <v>3</v>
      </c>
      <c r="B32" s="4" t="s">
        <v>64</v>
      </c>
      <c r="C32" s="4" t="s">
        <v>65</v>
      </c>
    </row>
    <row r="33" spans="1:3" hidden="1" x14ac:dyDescent="0.25">
      <c r="A33" s="4" t="s">
        <v>3</v>
      </c>
      <c r="B33" s="4" t="s">
        <v>180</v>
      </c>
      <c r="C33" s="4" t="s">
        <v>181</v>
      </c>
    </row>
    <row r="34" spans="1:3" hidden="1" x14ac:dyDescent="0.25">
      <c r="A34" s="4" t="s">
        <v>3</v>
      </c>
      <c r="B34" s="4" t="s">
        <v>230</v>
      </c>
      <c r="C34" s="4" t="s">
        <v>231</v>
      </c>
    </row>
    <row r="35" spans="1:3" hidden="1" x14ac:dyDescent="0.25">
      <c r="A35" s="4" t="s">
        <v>66</v>
      </c>
      <c r="B35" s="4" t="s">
        <v>232</v>
      </c>
      <c r="C35" s="4" t="s">
        <v>233</v>
      </c>
    </row>
    <row r="36" spans="1:3" hidden="1" x14ac:dyDescent="0.25">
      <c r="A36" s="4" t="s">
        <v>66</v>
      </c>
      <c r="B36" s="4" t="s">
        <v>234</v>
      </c>
      <c r="C36" s="4" t="s">
        <v>235</v>
      </c>
    </row>
    <row r="37" spans="1:3" hidden="1" x14ac:dyDescent="0.25">
      <c r="A37" s="4" t="s">
        <v>66</v>
      </c>
      <c r="B37" s="4" t="s">
        <v>67</v>
      </c>
      <c r="C37" s="4" t="s">
        <v>68</v>
      </c>
    </row>
    <row r="38" spans="1:3" hidden="1" x14ac:dyDescent="0.25">
      <c r="A38" s="4" t="s">
        <v>66</v>
      </c>
      <c r="B38" s="4" t="s">
        <v>236</v>
      </c>
      <c r="C38" s="4" t="s">
        <v>237</v>
      </c>
    </row>
    <row r="39" spans="1:3" hidden="1" x14ac:dyDescent="0.25">
      <c r="A39" s="4" t="s">
        <v>66</v>
      </c>
      <c r="B39" s="4" t="s">
        <v>238</v>
      </c>
      <c r="C39" s="4" t="s">
        <v>239</v>
      </c>
    </row>
    <row r="40" spans="1:3" hidden="1" x14ac:dyDescent="0.25">
      <c r="A40" s="4" t="s">
        <v>66</v>
      </c>
      <c r="B40" s="4" t="s">
        <v>182</v>
      </c>
      <c r="C40" s="4" t="s">
        <v>183</v>
      </c>
    </row>
    <row r="41" spans="1:3" hidden="1" x14ac:dyDescent="0.25">
      <c r="A41" s="4" t="s">
        <v>66</v>
      </c>
      <c r="B41" s="4" t="s">
        <v>69</v>
      </c>
      <c r="C41" s="4" t="s">
        <v>70</v>
      </c>
    </row>
    <row r="42" spans="1:3" hidden="1" x14ac:dyDescent="0.25">
      <c r="A42" s="4" t="s">
        <v>66</v>
      </c>
      <c r="B42" s="4" t="s">
        <v>240</v>
      </c>
      <c r="C42" s="4" t="s">
        <v>241</v>
      </c>
    </row>
    <row r="43" spans="1:3" hidden="1" x14ac:dyDescent="0.25">
      <c r="A43" s="4" t="s">
        <v>66</v>
      </c>
      <c r="B43" s="4" t="s">
        <v>242</v>
      </c>
      <c r="C43" s="4" t="s">
        <v>243</v>
      </c>
    </row>
    <row r="44" spans="1:3" hidden="1" x14ac:dyDescent="0.25">
      <c r="A44" s="4" t="s">
        <v>66</v>
      </c>
      <c r="B44" s="4" t="s">
        <v>71</v>
      </c>
      <c r="C44" s="4" t="s">
        <v>72</v>
      </c>
    </row>
    <row r="45" spans="1:3" hidden="1" x14ac:dyDescent="0.25">
      <c r="A45" s="4" t="s">
        <v>66</v>
      </c>
      <c r="B45" s="4" t="s">
        <v>73</v>
      </c>
      <c r="C45" s="4" t="s">
        <v>74</v>
      </c>
    </row>
    <row r="46" spans="1:3" hidden="1" x14ac:dyDescent="0.25">
      <c r="A46" s="4" t="s">
        <v>4</v>
      </c>
      <c r="B46" s="4" t="s">
        <v>75</v>
      </c>
      <c r="C46" s="4" t="s">
        <v>76</v>
      </c>
    </row>
    <row r="47" spans="1:3" hidden="1" x14ac:dyDescent="0.25">
      <c r="A47" s="4" t="s">
        <v>4</v>
      </c>
      <c r="B47" s="4" t="s">
        <v>77</v>
      </c>
      <c r="C47" s="4" t="s">
        <v>78</v>
      </c>
    </row>
    <row r="48" spans="1:3" hidden="1" x14ac:dyDescent="0.25">
      <c r="A48" s="4" t="s">
        <v>4</v>
      </c>
      <c r="B48" s="4" t="s">
        <v>79</v>
      </c>
      <c r="C48" s="4" t="s">
        <v>80</v>
      </c>
    </row>
    <row r="49" spans="1:3" hidden="1" x14ac:dyDescent="0.25">
      <c r="A49" s="4" t="s">
        <v>4</v>
      </c>
      <c r="B49" s="4" t="s">
        <v>136</v>
      </c>
      <c r="C49" s="4" t="s">
        <v>137</v>
      </c>
    </row>
    <row r="50" spans="1:3" hidden="1" x14ac:dyDescent="0.25">
      <c r="A50" s="4" t="s">
        <v>4</v>
      </c>
      <c r="B50" s="4" t="s">
        <v>81</v>
      </c>
      <c r="C50" s="4" t="s">
        <v>82</v>
      </c>
    </row>
    <row r="51" spans="1:3" hidden="1" x14ac:dyDescent="0.25">
      <c r="A51" s="4" t="s">
        <v>4</v>
      </c>
      <c r="B51" s="4" t="s">
        <v>83</v>
      </c>
      <c r="C51" s="4" t="s">
        <v>84</v>
      </c>
    </row>
    <row r="52" spans="1:3" hidden="1" x14ac:dyDescent="0.25">
      <c r="A52" s="4" t="s">
        <v>4</v>
      </c>
      <c r="B52" s="4" t="s">
        <v>5</v>
      </c>
      <c r="C52" s="4" t="s">
        <v>6</v>
      </c>
    </row>
    <row r="53" spans="1:3" hidden="1" x14ac:dyDescent="0.25">
      <c r="A53" s="4" t="s">
        <v>4</v>
      </c>
      <c r="B53" s="4" t="s">
        <v>127</v>
      </c>
      <c r="C53" s="4" t="s">
        <v>128</v>
      </c>
    </row>
    <row r="54" spans="1:3" hidden="1" x14ac:dyDescent="0.25">
      <c r="A54" s="4" t="s">
        <v>4</v>
      </c>
      <c r="B54" s="4" t="s">
        <v>85</v>
      </c>
      <c r="C54" s="4" t="s">
        <v>86</v>
      </c>
    </row>
    <row r="55" spans="1:3" hidden="1" x14ac:dyDescent="0.25">
      <c r="A55" s="4" t="s">
        <v>4</v>
      </c>
      <c r="B55" s="4" t="s">
        <v>184</v>
      </c>
      <c r="C55" s="4" t="s">
        <v>185</v>
      </c>
    </row>
    <row r="56" spans="1:3" hidden="1" x14ac:dyDescent="0.25">
      <c r="A56" s="4" t="s">
        <v>4</v>
      </c>
      <c r="B56" s="4" t="s">
        <v>186</v>
      </c>
      <c r="C56" s="4" t="s">
        <v>187</v>
      </c>
    </row>
    <row r="57" spans="1:3" hidden="1" x14ac:dyDescent="0.25">
      <c r="A57" s="10" t="s">
        <v>4</v>
      </c>
      <c r="B57" s="10" t="s">
        <v>188</v>
      </c>
      <c r="C57" s="10" t="s">
        <v>189</v>
      </c>
    </row>
    <row r="58" spans="1:3" hidden="1" x14ac:dyDescent="0.25">
      <c r="A58" s="4" t="s">
        <v>4</v>
      </c>
      <c r="B58" s="4" t="s">
        <v>190</v>
      </c>
      <c r="C58" s="4" t="s">
        <v>191</v>
      </c>
    </row>
    <row r="59" spans="1:3" hidden="1" x14ac:dyDescent="0.25">
      <c r="A59" s="4" t="s">
        <v>4</v>
      </c>
      <c r="B59" s="4" t="s">
        <v>192</v>
      </c>
      <c r="C59" s="4" t="s">
        <v>193</v>
      </c>
    </row>
    <row r="60" spans="1:3" hidden="1" x14ac:dyDescent="0.25">
      <c r="A60" s="4" t="s">
        <v>4</v>
      </c>
      <c r="B60" s="4" t="s">
        <v>194</v>
      </c>
      <c r="C60" s="4" t="s">
        <v>195</v>
      </c>
    </row>
    <row r="61" spans="1:3" hidden="1" x14ac:dyDescent="0.25">
      <c r="A61" s="4" t="s">
        <v>4</v>
      </c>
      <c r="B61" s="4" t="s">
        <v>291</v>
      </c>
      <c r="C61" s="4" t="s">
        <v>292</v>
      </c>
    </row>
    <row r="62" spans="1:3" hidden="1" x14ac:dyDescent="0.25">
      <c r="A62" s="4" t="s">
        <v>4</v>
      </c>
      <c r="B62" s="4" t="s">
        <v>244</v>
      </c>
      <c r="C62" s="4" t="s">
        <v>245</v>
      </c>
    </row>
    <row r="63" spans="1:3" hidden="1" x14ac:dyDescent="0.25">
      <c r="A63" s="4" t="s">
        <v>4</v>
      </c>
      <c r="B63" s="4" t="s">
        <v>246</v>
      </c>
      <c r="C63" s="4" t="s">
        <v>247</v>
      </c>
    </row>
    <row r="64" spans="1:3" hidden="1" x14ac:dyDescent="0.25">
      <c r="A64" s="4" t="s">
        <v>138</v>
      </c>
      <c r="B64" s="4" t="s">
        <v>158</v>
      </c>
      <c r="C64" s="4" t="s">
        <v>157</v>
      </c>
    </row>
    <row r="65" spans="1:35" hidden="1" x14ac:dyDescent="0.25">
      <c r="A65" s="10" t="s">
        <v>138</v>
      </c>
      <c r="B65" s="10" t="s">
        <v>160</v>
      </c>
      <c r="C65" s="10" t="s">
        <v>159</v>
      </c>
    </row>
    <row r="66" spans="1:35" hidden="1" x14ac:dyDescent="0.25">
      <c r="A66" s="10" t="s">
        <v>138</v>
      </c>
      <c r="B66" s="10" t="s">
        <v>162</v>
      </c>
      <c r="C66" s="10" t="s">
        <v>161</v>
      </c>
    </row>
    <row r="67" spans="1:35" x14ac:dyDescent="0.25">
      <c r="A67" s="10" t="s">
        <v>138</v>
      </c>
      <c r="B67" s="10" t="s">
        <v>139</v>
      </c>
      <c r="C67" s="10" t="s">
        <v>140</v>
      </c>
      <c r="D67" s="5">
        <v>1</v>
      </c>
    </row>
    <row r="68" spans="1:35" x14ac:dyDescent="0.25">
      <c r="A68" s="10" t="s">
        <v>138</v>
      </c>
      <c r="B68" s="10" t="s">
        <v>149</v>
      </c>
      <c r="C68" s="10" t="s">
        <v>148</v>
      </c>
      <c r="D68" s="5">
        <v>2</v>
      </c>
      <c r="F68" s="10" t="s">
        <v>319</v>
      </c>
      <c r="G68" s="10" t="s">
        <v>320</v>
      </c>
    </row>
    <row r="69" spans="1:35" hidden="1" x14ac:dyDescent="0.25">
      <c r="A69" s="4" t="s">
        <v>138</v>
      </c>
      <c r="B69" s="4" t="s">
        <v>141</v>
      </c>
      <c r="C69" s="4" t="s">
        <v>142</v>
      </c>
    </row>
    <row r="70" spans="1:35" x14ac:dyDescent="0.25">
      <c r="A70" s="10" t="s">
        <v>138</v>
      </c>
      <c r="B70" s="10" t="s">
        <v>143</v>
      </c>
      <c r="C70" s="10" t="s">
        <v>144</v>
      </c>
      <c r="D70" s="5">
        <v>6</v>
      </c>
    </row>
    <row r="71" spans="1:35" hidden="1" x14ac:dyDescent="0.25">
      <c r="A71" s="4" t="s">
        <v>7</v>
      </c>
      <c r="B71" s="4" t="s">
        <v>8</v>
      </c>
      <c r="C71" s="4" t="s">
        <v>303</v>
      </c>
    </row>
    <row r="72" spans="1:35" hidden="1" x14ac:dyDescent="0.25">
      <c r="A72" s="4" t="s">
        <v>7</v>
      </c>
      <c r="B72" s="4" t="s">
        <v>196</v>
      </c>
      <c r="C72" s="4" t="s">
        <v>302</v>
      </c>
    </row>
    <row r="73" spans="1:35" hidden="1" x14ac:dyDescent="0.25">
      <c r="A73" s="10" t="s">
        <v>129</v>
      </c>
      <c r="B73" s="10" t="s">
        <v>130</v>
      </c>
      <c r="C73" s="10" t="s">
        <v>131</v>
      </c>
    </row>
    <row r="74" spans="1:35" hidden="1" x14ac:dyDescent="0.25">
      <c r="A74" s="4" t="s">
        <v>145</v>
      </c>
      <c r="B74" s="4" t="s">
        <v>146</v>
      </c>
      <c r="C74" s="4" t="s">
        <v>147</v>
      </c>
    </row>
    <row r="75" spans="1:35" hidden="1" x14ac:dyDescent="0.25">
      <c r="A75" s="4" t="s">
        <v>9</v>
      </c>
      <c r="B75" s="4" t="s">
        <v>87</v>
      </c>
      <c r="C75" s="4" t="s">
        <v>88</v>
      </c>
    </row>
    <row r="76" spans="1:35" hidden="1" x14ac:dyDescent="0.25">
      <c r="A76" s="4" t="s">
        <v>9</v>
      </c>
      <c r="B76" s="4" t="s">
        <v>89</v>
      </c>
      <c r="C76" s="4" t="s">
        <v>90</v>
      </c>
    </row>
    <row r="77" spans="1:35" hidden="1" x14ac:dyDescent="0.25">
      <c r="A77" s="4" t="s">
        <v>9</v>
      </c>
      <c r="B77" s="4" t="s">
        <v>10</v>
      </c>
      <c r="C77" s="4" t="s">
        <v>11</v>
      </c>
      <c r="Z77" s="3"/>
      <c r="AH77" s="3"/>
      <c r="AI77" s="3"/>
    </row>
    <row r="78" spans="1:35" hidden="1" x14ac:dyDescent="0.25">
      <c r="A78" s="4" t="s">
        <v>9</v>
      </c>
      <c r="B78" s="4" t="s">
        <v>12</v>
      </c>
      <c r="C78" s="4" t="s">
        <v>13</v>
      </c>
      <c r="Z78" s="3"/>
      <c r="AH78" s="3"/>
      <c r="AI78" s="3"/>
    </row>
    <row r="79" spans="1:35" x14ac:dyDescent="0.25">
      <c r="A79" s="10" t="s">
        <v>9</v>
      </c>
      <c r="B79" s="10" t="s">
        <v>25</v>
      </c>
      <c r="C79" s="10" t="s">
        <v>313</v>
      </c>
      <c r="D79" s="5" t="s">
        <v>340</v>
      </c>
      <c r="Z79" s="3"/>
      <c r="AH79" s="3"/>
      <c r="AI79" s="3"/>
    </row>
    <row r="80" spans="1:35" hidden="1" x14ac:dyDescent="0.25">
      <c r="A80" s="4" t="s">
        <v>9</v>
      </c>
      <c r="B80" s="4" t="s">
        <v>19</v>
      </c>
      <c r="C80" s="4" t="s">
        <v>20</v>
      </c>
      <c r="Z80" s="3"/>
      <c r="AH80" s="3"/>
      <c r="AI80" s="3"/>
    </row>
    <row r="81" spans="1:35" hidden="1" x14ac:dyDescent="0.25">
      <c r="A81" s="4" t="s">
        <v>9</v>
      </c>
      <c r="B81" s="4" t="s">
        <v>21</v>
      </c>
      <c r="C81" s="4" t="s">
        <v>22</v>
      </c>
      <c r="Z81" s="3"/>
      <c r="AH81" s="3"/>
      <c r="AI81" s="3"/>
    </row>
    <row r="82" spans="1:35" hidden="1" x14ac:dyDescent="0.25">
      <c r="A82" s="4" t="s">
        <v>9</v>
      </c>
      <c r="B82" s="4" t="s">
        <v>132</v>
      </c>
      <c r="C82" s="4" t="s">
        <v>133</v>
      </c>
      <c r="Z82" s="3"/>
      <c r="AH82" s="3"/>
      <c r="AI82" s="3"/>
    </row>
    <row r="83" spans="1:35" hidden="1" x14ac:dyDescent="0.25">
      <c r="A83" s="4" t="s">
        <v>9</v>
      </c>
      <c r="B83" s="4" t="s">
        <v>23</v>
      </c>
      <c r="C83" s="4" t="s">
        <v>24</v>
      </c>
    </row>
    <row r="84" spans="1:35" hidden="1" x14ac:dyDescent="0.25">
      <c r="A84" s="4" t="s">
        <v>9</v>
      </c>
      <c r="B84" s="4" t="s">
        <v>91</v>
      </c>
      <c r="C84" s="4" t="s">
        <v>92</v>
      </c>
    </row>
    <row r="85" spans="1:35" hidden="1" x14ac:dyDescent="0.25">
      <c r="A85" s="4" t="s">
        <v>9</v>
      </c>
      <c r="B85" s="4" t="s">
        <v>93</v>
      </c>
      <c r="C85" s="4" t="s">
        <v>94</v>
      </c>
    </row>
    <row r="86" spans="1:35" hidden="1" x14ac:dyDescent="0.25">
      <c r="A86" s="4" t="s">
        <v>9</v>
      </c>
      <c r="B86" s="4" t="s">
        <v>164</v>
      </c>
      <c r="C86" s="4" t="s">
        <v>163</v>
      </c>
    </row>
    <row r="87" spans="1:35" hidden="1" x14ac:dyDescent="0.25">
      <c r="A87" s="10" t="s">
        <v>9</v>
      </c>
      <c r="B87" s="10" t="s">
        <v>166</v>
      </c>
      <c r="C87" s="10" t="s">
        <v>310</v>
      </c>
    </row>
    <row r="88" spans="1:35" hidden="1" x14ac:dyDescent="0.25">
      <c r="A88" s="10" t="s">
        <v>9</v>
      </c>
      <c r="B88" s="10" t="s">
        <v>168</v>
      </c>
      <c r="C88" s="10" t="s">
        <v>311</v>
      </c>
    </row>
    <row r="89" spans="1:35" hidden="1" x14ac:dyDescent="0.25">
      <c r="A89" s="4" t="s">
        <v>9</v>
      </c>
      <c r="B89" s="4" t="s">
        <v>293</v>
      </c>
      <c r="C89" s="4" t="s">
        <v>294</v>
      </c>
    </row>
    <row r="90" spans="1:35" hidden="1" x14ac:dyDescent="0.25">
      <c r="A90" s="4" t="s">
        <v>9</v>
      </c>
      <c r="B90" s="4" t="s">
        <v>248</v>
      </c>
      <c r="C90" s="4" t="s">
        <v>249</v>
      </c>
    </row>
    <row r="91" spans="1:35" hidden="1" x14ac:dyDescent="0.25">
      <c r="A91" s="10" t="s">
        <v>9</v>
      </c>
      <c r="B91" s="10" t="s">
        <v>155</v>
      </c>
      <c r="C91" s="10" t="s">
        <v>156</v>
      </c>
    </row>
    <row r="92" spans="1:35" hidden="1" x14ac:dyDescent="0.25">
      <c r="A92" s="4" t="s">
        <v>27</v>
      </c>
      <c r="B92" s="4" t="s">
        <v>95</v>
      </c>
      <c r="C92" s="4" t="s">
        <v>96</v>
      </c>
    </row>
    <row r="93" spans="1:35" hidden="1" x14ac:dyDescent="0.25">
      <c r="A93" s="4" t="s">
        <v>27</v>
      </c>
      <c r="B93" s="4" t="s">
        <v>97</v>
      </c>
      <c r="C93" s="4" t="s">
        <v>98</v>
      </c>
    </row>
    <row r="94" spans="1:35" hidden="1" x14ac:dyDescent="0.25">
      <c r="A94" s="4" t="s">
        <v>27</v>
      </c>
      <c r="B94" s="4" t="s">
        <v>99</v>
      </c>
      <c r="C94" s="4" t="s">
        <v>100</v>
      </c>
    </row>
    <row r="95" spans="1:35" hidden="1" x14ac:dyDescent="0.25">
      <c r="A95" s="4" t="s">
        <v>27</v>
      </c>
      <c r="B95" s="4" t="s">
        <v>101</v>
      </c>
      <c r="C95" s="4" t="s">
        <v>102</v>
      </c>
    </row>
    <row r="96" spans="1:35" hidden="1" x14ac:dyDescent="0.25">
      <c r="A96" s="4" t="s">
        <v>27</v>
      </c>
      <c r="B96" s="4" t="s">
        <v>103</v>
      </c>
      <c r="C96" s="4" t="s">
        <v>104</v>
      </c>
    </row>
    <row r="97" spans="1:3" hidden="1" x14ac:dyDescent="0.25">
      <c r="A97" s="4" t="s">
        <v>27</v>
      </c>
      <c r="B97" s="4" t="s">
        <v>105</v>
      </c>
      <c r="C97" s="4" t="s">
        <v>106</v>
      </c>
    </row>
    <row r="98" spans="1:3" hidden="1" x14ac:dyDescent="0.25">
      <c r="A98" s="4" t="s">
        <v>27</v>
      </c>
      <c r="B98" s="4" t="s">
        <v>28</v>
      </c>
      <c r="C98" s="4" t="s">
        <v>29</v>
      </c>
    </row>
    <row r="99" spans="1:3" hidden="1" x14ac:dyDescent="0.25">
      <c r="A99" s="4" t="s">
        <v>107</v>
      </c>
      <c r="B99" s="4" t="s">
        <v>108</v>
      </c>
      <c r="C99" s="4" t="s">
        <v>109</v>
      </c>
    </row>
    <row r="100" spans="1:3" hidden="1" x14ac:dyDescent="0.25">
      <c r="A100" s="4" t="s">
        <v>107</v>
      </c>
      <c r="B100" s="4" t="s">
        <v>110</v>
      </c>
      <c r="C100" s="4" t="s">
        <v>111</v>
      </c>
    </row>
    <row r="101" spans="1:3" hidden="1" x14ac:dyDescent="0.25">
      <c r="A101" s="10" t="s">
        <v>107</v>
      </c>
      <c r="B101" s="10" t="s">
        <v>112</v>
      </c>
      <c r="C101" s="10" t="s">
        <v>312</v>
      </c>
    </row>
    <row r="102" spans="1:3" hidden="1" x14ac:dyDescent="0.25">
      <c r="A102" s="4" t="s">
        <v>107</v>
      </c>
      <c r="B102" s="4" t="s">
        <v>250</v>
      </c>
      <c r="C102" s="4" t="s">
        <v>251</v>
      </c>
    </row>
    <row r="103" spans="1:3" hidden="1" x14ac:dyDescent="0.25">
      <c r="A103" s="4" t="s">
        <v>107</v>
      </c>
      <c r="B103" s="4" t="s">
        <v>252</v>
      </c>
      <c r="C103" s="4" t="s">
        <v>253</v>
      </c>
    </row>
    <row r="104" spans="1:3" hidden="1" x14ac:dyDescent="0.25">
      <c r="A104" s="4" t="s">
        <v>107</v>
      </c>
      <c r="B104" s="4" t="s">
        <v>254</v>
      </c>
      <c r="C104" s="4" t="s">
        <v>255</v>
      </c>
    </row>
    <row r="105" spans="1:3" hidden="1" x14ac:dyDescent="0.25">
      <c r="A105" s="4" t="s">
        <v>107</v>
      </c>
      <c r="B105" s="4" t="s">
        <v>256</v>
      </c>
      <c r="C105" s="4" t="s">
        <v>257</v>
      </c>
    </row>
    <row r="106" spans="1:3" hidden="1" x14ac:dyDescent="0.25">
      <c r="A106" s="4" t="s">
        <v>33</v>
      </c>
      <c r="B106" s="4" t="s">
        <v>34</v>
      </c>
      <c r="C106" s="4" t="s">
        <v>35</v>
      </c>
    </row>
    <row r="107" spans="1:3" hidden="1" x14ac:dyDescent="0.25">
      <c r="A107" s="4" t="s">
        <v>258</v>
      </c>
      <c r="B107" s="4" t="s">
        <v>259</v>
      </c>
      <c r="C107" s="4" t="s">
        <v>260</v>
      </c>
    </row>
    <row r="108" spans="1:3" hidden="1" x14ac:dyDescent="0.25">
      <c r="A108" s="4" t="s">
        <v>258</v>
      </c>
      <c r="B108" s="4" t="s">
        <v>261</v>
      </c>
      <c r="C108" s="4" t="s">
        <v>262</v>
      </c>
    </row>
    <row r="109" spans="1:3" hidden="1" x14ac:dyDescent="0.25">
      <c r="A109" s="4" t="s">
        <v>41</v>
      </c>
      <c r="B109" s="4" t="s">
        <v>42</v>
      </c>
      <c r="C109" s="4" t="s">
        <v>43</v>
      </c>
    </row>
    <row r="110" spans="1:3" hidden="1" x14ac:dyDescent="0.25">
      <c r="A110" s="4" t="s">
        <v>263</v>
      </c>
      <c r="B110" s="4" t="s">
        <v>264</v>
      </c>
      <c r="C110" s="4" t="s">
        <v>265</v>
      </c>
    </row>
    <row r="111" spans="1:3" hidden="1" x14ac:dyDescent="0.25">
      <c r="A111" s="4" t="s">
        <v>263</v>
      </c>
      <c r="B111" s="4" t="s">
        <v>266</v>
      </c>
      <c r="C111" s="4" t="s">
        <v>267</v>
      </c>
    </row>
    <row r="112" spans="1:3" hidden="1" x14ac:dyDescent="0.25">
      <c r="A112" s="4" t="s">
        <v>114</v>
      </c>
      <c r="B112" s="4" t="s">
        <v>115</v>
      </c>
      <c r="C112" s="4" t="s">
        <v>116</v>
      </c>
    </row>
    <row r="113" spans="1:3" hidden="1" x14ac:dyDescent="0.25">
      <c r="A113" s="4" t="s">
        <v>44</v>
      </c>
      <c r="B113" s="4" t="s">
        <v>45</v>
      </c>
      <c r="C113" s="4" t="s">
        <v>46</v>
      </c>
    </row>
    <row r="114" spans="1:3" hidden="1" x14ac:dyDescent="0.25">
      <c r="A114" s="10" t="s">
        <v>268</v>
      </c>
      <c r="B114" s="10" t="s">
        <v>269</v>
      </c>
      <c r="C114" s="10" t="s">
        <v>270</v>
      </c>
    </row>
    <row r="115" spans="1:3" hidden="1" x14ac:dyDescent="0.25">
      <c r="A115" s="10" t="s">
        <v>117</v>
      </c>
      <c r="B115" s="10" t="s">
        <v>118</v>
      </c>
      <c r="C115" s="10" t="s">
        <v>119</v>
      </c>
    </row>
    <row r="116" spans="1:3" hidden="1" x14ac:dyDescent="0.25">
      <c r="A116" s="4" t="s">
        <v>120</v>
      </c>
      <c r="B116" s="4" t="s">
        <v>271</v>
      </c>
      <c r="C116" s="4" t="s">
        <v>272</v>
      </c>
    </row>
    <row r="117" spans="1:3" hidden="1" x14ac:dyDescent="0.25">
      <c r="A117" s="4" t="s">
        <v>120</v>
      </c>
      <c r="B117" s="4" t="s">
        <v>273</v>
      </c>
      <c r="C117" s="4" t="s">
        <v>274</v>
      </c>
    </row>
    <row r="118" spans="1:3" hidden="1" x14ac:dyDescent="0.25">
      <c r="A118" s="4" t="s">
        <v>120</v>
      </c>
      <c r="B118" s="4" t="s">
        <v>121</v>
      </c>
      <c r="C118" s="4" t="s">
        <v>122</v>
      </c>
    </row>
    <row r="119" spans="1:3" hidden="1" x14ac:dyDescent="0.25">
      <c r="A119" s="4" t="s">
        <v>120</v>
      </c>
      <c r="B119" s="4" t="s">
        <v>275</v>
      </c>
      <c r="C119" s="4" t="s">
        <v>276</v>
      </c>
    </row>
    <row r="120" spans="1:3" hidden="1" x14ac:dyDescent="0.25">
      <c r="A120" s="4" t="s">
        <v>120</v>
      </c>
      <c r="B120" s="4" t="s">
        <v>198</v>
      </c>
      <c r="C120" s="4" t="s">
        <v>199</v>
      </c>
    </row>
    <row r="121" spans="1:3" hidden="1" x14ac:dyDescent="0.25">
      <c r="A121" s="4" t="s">
        <v>120</v>
      </c>
      <c r="B121" s="4" t="s">
        <v>277</v>
      </c>
      <c r="C121" s="4" t="s">
        <v>278</v>
      </c>
    </row>
    <row r="122" spans="1:3" hidden="1" x14ac:dyDescent="0.25">
      <c r="A122" s="10" t="s">
        <v>120</v>
      </c>
      <c r="B122" s="10" t="s">
        <v>123</v>
      </c>
      <c r="C122" s="10" t="s">
        <v>124</v>
      </c>
    </row>
    <row r="123" spans="1:3" hidden="1" x14ac:dyDescent="0.25">
      <c r="A123" s="10" t="s">
        <v>120</v>
      </c>
      <c r="B123" s="10" t="s">
        <v>125</v>
      </c>
      <c r="C123" s="10" t="s">
        <v>126</v>
      </c>
    </row>
    <row r="124" spans="1:3" hidden="1" x14ac:dyDescent="0.25">
      <c r="A124" s="4" t="s">
        <v>279</v>
      </c>
      <c r="B124" s="4" t="s">
        <v>280</v>
      </c>
      <c r="C124" s="4" t="s">
        <v>281</v>
      </c>
    </row>
    <row r="125" spans="1:3" hidden="1" x14ac:dyDescent="0.25">
      <c r="A125" s="4" t="s">
        <v>282</v>
      </c>
      <c r="B125" s="4" t="s">
        <v>283</v>
      </c>
      <c r="C125" s="4" t="s">
        <v>284</v>
      </c>
    </row>
    <row r="126" spans="1:3" hidden="1" x14ac:dyDescent="0.25">
      <c r="A126" s="4" t="s">
        <v>285</v>
      </c>
      <c r="B126" s="4" t="s">
        <v>286</v>
      </c>
      <c r="C126" s="4" t="s">
        <v>287</v>
      </c>
    </row>
    <row r="127" spans="1:3" hidden="1" x14ac:dyDescent="0.25">
      <c r="A127" s="4" t="s">
        <v>14</v>
      </c>
      <c r="B127" s="4" t="s">
        <v>15</v>
      </c>
      <c r="C127" s="4" t="s">
        <v>16</v>
      </c>
    </row>
    <row r="128" spans="1:3" hidden="1" x14ac:dyDescent="0.25">
      <c r="A128" s="4" t="s">
        <v>14</v>
      </c>
      <c r="B128" s="4" t="s">
        <v>17</v>
      </c>
      <c r="C128" s="4" t="s">
        <v>18</v>
      </c>
    </row>
    <row r="129" spans="1:4" hidden="1" x14ac:dyDescent="0.25">
      <c r="A129" s="4" t="s">
        <v>14</v>
      </c>
      <c r="B129" s="4" t="s">
        <v>201</v>
      </c>
      <c r="C129" s="4" t="s">
        <v>202</v>
      </c>
    </row>
    <row r="130" spans="1:4" hidden="1" x14ac:dyDescent="0.25">
      <c r="A130" s="4" t="s">
        <v>14</v>
      </c>
      <c r="B130" s="4" t="s">
        <v>203</v>
      </c>
      <c r="C130" s="4" t="s">
        <v>204</v>
      </c>
    </row>
    <row r="131" spans="1:4" hidden="1" x14ac:dyDescent="0.25">
      <c r="A131" s="4" t="s">
        <v>36</v>
      </c>
      <c r="B131" s="4" t="s">
        <v>37</v>
      </c>
      <c r="C131" s="4" t="s">
        <v>38</v>
      </c>
    </row>
    <row r="132" spans="1:4" x14ac:dyDescent="0.25">
      <c r="D132" s="5" t="s">
        <v>351</v>
      </c>
    </row>
    <row r="133" spans="1:4" x14ac:dyDescent="0.25">
      <c r="B133" s="11" t="s">
        <v>317</v>
      </c>
      <c r="C133" s="11" t="s">
        <v>321</v>
      </c>
      <c r="D133" s="5" t="s">
        <v>352</v>
      </c>
    </row>
    <row r="134" spans="1:4" x14ac:dyDescent="0.25">
      <c r="B134" s="10" t="s">
        <v>318</v>
      </c>
      <c r="C134" s="10" t="s">
        <v>321</v>
      </c>
      <c r="D134" s="5" t="s">
        <v>352</v>
      </c>
    </row>
    <row r="135" spans="1:4" x14ac:dyDescent="0.25">
      <c r="B135" s="10" t="s">
        <v>319</v>
      </c>
      <c r="C135" s="10" t="s">
        <v>320</v>
      </c>
      <c r="D135" s="5" t="s">
        <v>352</v>
      </c>
    </row>
  </sheetData>
  <autoFilter ref="A1:D135">
    <filterColumn colId="3">
      <customFilters>
        <customFilter operator="notEqual" val=" "/>
      </customFilters>
    </filterColumn>
  </autoFilter>
  <hyperlinks>
    <hyperlink ref="J1" r:id="rId1"/>
    <hyperlink ref="O1" r:id="rId2"/>
  </hyperlinks>
  <pageMargins left="0.25" right="0.25" top="0.75" bottom="0.75" header="0.3" footer="0.3"/>
  <pageSetup paperSize="8" scale="33" orientation="portrait" r:id="rId3"/>
  <drawing r:id="rId4"/>
  <legacyDrawing r:id="rId5"/>
  <controls>
    <mc:AlternateContent xmlns:mc="http://schemas.openxmlformats.org/markup-compatibility/2006">
      <mc:Choice Requires="x14">
        <control shapeId="8193" r:id="rId6" name="CommandButton1">
          <controlPr autoLine="0" r:id="rId7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5</xdr:col>
                <xdr:colOff>504825</xdr:colOff>
                <xdr:row>0</xdr:row>
                <xdr:rowOff>428625</xdr:rowOff>
              </to>
            </anchor>
          </controlPr>
        </control>
      </mc:Choice>
      <mc:Fallback>
        <control shapeId="8193" r:id="rId6" name="CommandButton1"/>
      </mc:Fallback>
    </mc:AlternateContent>
    <mc:AlternateContent xmlns:mc="http://schemas.openxmlformats.org/markup-compatibility/2006">
      <mc:Choice Requires="x14">
        <control shapeId="8194" r:id="rId8" name="CommandButton2">
          <controlPr autoLine="0" r:id="rId9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8194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 filterMode="1">
    <pageSetUpPr fitToPage="1"/>
  </sheetPr>
  <dimension ref="A1:AI136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7" max="7" width="1.85546875" customWidth="1"/>
    <col min="8" max="8" width="15.140625" style="12" customWidth="1"/>
  </cols>
  <sheetData>
    <row r="1" spans="1:15" ht="54" customHeight="1" x14ac:dyDescent="0.25">
      <c r="B1" s="7" t="s">
        <v>325</v>
      </c>
      <c r="F1" s="6" t="s">
        <v>339</v>
      </c>
      <c r="J1" s="6" t="s">
        <v>288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hidden="1" customHeight="1" x14ac:dyDescent="0.25">
      <c r="A3" s="11" t="s">
        <v>314</v>
      </c>
      <c r="B3" s="11" t="s">
        <v>315</v>
      </c>
      <c r="C3" s="11" t="s">
        <v>322</v>
      </c>
      <c r="J3" s="6"/>
    </row>
    <row r="4" spans="1:15" hidden="1" x14ac:dyDescent="0.25">
      <c r="A4" s="4" t="s">
        <v>47</v>
      </c>
      <c r="B4" s="4" t="s">
        <v>205</v>
      </c>
      <c r="C4" s="4" t="s">
        <v>206</v>
      </c>
    </row>
    <row r="5" spans="1:15" hidden="1" x14ac:dyDescent="0.25">
      <c r="A5" s="4" t="s">
        <v>47</v>
      </c>
      <c r="B5" s="4" t="s">
        <v>207</v>
      </c>
      <c r="C5" s="4" t="s">
        <v>208</v>
      </c>
      <c r="J5" s="6"/>
    </row>
    <row r="6" spans="1:15" hidden="1" x14ac:dyDescent="0.25">
      <c r="A6" s="4" t="s">
        <v>47</v>
      </c>
      <c r="B6" s="4" t="s">
        <v>209</v>
      </c>
      <c r="C6" s="4" t="s">
        <v>210</v>
      </c>
      <c r="H6" s="13" t="s">
        <v>326</v>
      </c>
    </row>
    <row r="7" spans="1:15" hidden="1" x14ac:dyDescent="0.25">
      <c r="A7" s="4" t="s">
        <v>47</v>
      </c>
      <c r="B7" s="4" t="s">
        <v>211</v>
      </c>
      <c r="C7" s="4" t="s">
        <v>212</v>
      </c>
      <c r="H7" s="13" t="s">
        <v>327</v>
      </c>
    </row>
    <row r="8" spans="1:15" hidden="1" x14ac:dyDescent="0.25">
      <c r="A8" s="4" t="s">
        <v>47</v>
      </c>
      <c r="B8" s="4" t="s">
        <v>48</v>
      </c>
      <c r="C8" s="4" t="s">
        <v>49</v>
      </c>
      <c r="H8" s="13" t="s">
        <v>328</v>
      </c>
    </row>
    <row r="9" spans="1:15" hidden="1" x14ac:dyDescent="0.25">
      <c r="A9" s="4" t="s">
        <v>47</v>
      </c>
      <c r="B9" s="4" t="s">
        <v>50</v>
      </c>
      <c r="C9" s="4" t="s">
        <v>51</v>
      </c>
      <c r="H9" s="13" t="s">
        <v>329</v>
      </c>
    </row>
    <row r="10" spans="1:15" x14ac:dyDescent="0.25">
      <c r="A10" s="14" t="s">
        <v>52</v>
      </c>
      <c r="B10" s="14" t="s">
        <v>213</v>
      </c>
      <c r="C10" s="14" t="s">
        <v>214</v>
      </c>
      <c r="D10" s="5">
        <v>3</v>
      </c>
      <c r="H10" s="13" t="s">
        <v>328</v>
      </c>
    </row>
    <row r="11" spans="1:15" x14ac:dyDescent="0.25">
      <c r="A11" s="10" t="s">
        <v>52</v>
      </c>
      <c r="B11" s="10" t="s">
        <v>53</v>
      </c>
      <c r="C11" s="10" t="s">
        <v>54</v>
      </c>
      <c r="D11" s="5">
        <v>2</v>
      </c>
      <c r="H11" s="13" t="s">
        <v>330</v>
      </c>
    </row>
    <row r="12" spans="1:15" hidden="1" x14ac:dyDescent="0.25">
      <c r="A12" s="4" t="s">
        <v>55</v>
      </c>
      <c r="B12" s="4" t="s">
        <v>56</v>
      </c>
      <c r="C12" s="4" t="s">
        <v>57</v>
      </c>
      <c r="H12" s="13" t="s">
        <v>328</v>
      </c>
    </row>
    <row r="13" spans="1:15" hidden="1" x14ac:dyDescent="0.25">
      <c r="A13" s="10" t="s">
        <v>169</v>
      </c>
      <c r="B13" s="10" t="s">
        <v>215</v>
      </c>
      <c r="C13" s="10" t="s">
        <v>216</v>
      </c>
      <c r="H13" s="13" t="s">
        <v>331</v>
      </c>
    </row>
    <row r="14" spans="1:15" hidden="1" x14ac:dyDescent="0.25">
      <c r="A14" s="10" t="s">
        <v>169</v>
      </c>
      <c r="B14" s="10" t="s">
        <v>170</v>
      </c>
      <c r="C14" s="10" t="s">
        <v>171</v>
      </c>
      <c r="H14" s="13" t="s">
        <v>332</v>
      </c>
    </row>
    <row r="15" spans="1:15" hidden="1" x14ac:dyDescent="0.25">
      <c r="A15" s="10" t="s">
        <v>169</v>
      </c>
      <c r="B15" s="10" t="s">
        <v>172</v>
      </c>
      <c r="C15" s="10" t="s">
        <v>173</v>
      </c>
      <c r="H15" s="13" t="s">
        <v>333</v>
      </c>
    </row>
    <row r="16" spans="1:15" hidden="1" x14ac:dyDescent="0.25">
      <c r="A16" s="4" t="s">
        <v>30</v>
      </c>
      <c r="B16" s="4" t="s">
        <v>58</v>
      </c>
      <c r="C16" s="4" t="s">
        <v>59</v>
      </c>
    </row>
    <row r="17" spans="1:3" hidden="1" x14ac:dyDescent="0.25">
      <c r="A17" s="4" t="s">
        <v>30</v>
      </c>
      <c r="B17" s="4" t="s">
        <v>60</v>
      </c>
      <c r="C17" s="4" t="s">
        <v>61</v>
      </c>
    </row>
    <row r="18" spans="1:3" hidden="1" x14ac:dyDescent="0.25">
      <c r="A18" s="4" t="s">
        <v>30</v>
      </c>
      <c r="B18" s="4" t="s">
        <v>62</v>
      </c>
      <c r="C18" s="4" t="s">
        <v>63</v>
      </c>
    </row>
    <row r="19" spans="1:3" hidden="1" x14ac:dyDescent="0.25">
      <c r="A19" s="4" t="s">
        <v>30</v>
      </c>
      <c r="B19" s="4" t="s">
        <v>31</v>
      </c>
      <c r="C19" s="4" t="s">
        <v>32</v>
      </c>
    </row>
    <row r="20" spans="1:3" hidden="1" x14ac:dyDescent="0.25">
      <c r="A20" s="4" t="s">
        <v>30</v>
      </c>
      <c r="B20" s="4" t="s">
        <v>39</v>
      </c>
      <c r="C20" s="4" t="s">
        <v>40</v>
      </c>
    </row>
    <row r="21" spans="1:3" hidden="1" x14ac:dyDescent="0.25">
      <c r="A21" s="4" t="s">
        <v>30</v>
      </c>
      <c r="B21" s="4" t="s">
        <v>217</v>
      </c>
      <c r="C21" s="4" t="s">
        <v>218</v>
      </c>
    </row>
    <row r="22" spans="1:3" hidden="1" x14ac:dyDescent="0.25">
      <c r="A22" s="4" t="s">
        <v>30</v>
      </c>
      <c r="B22" s="4" t="s">
        <v>219</v>
      </c>
      <c r="C22" s="4" t="s">
        <v>220</v>
      </c>
    </row>
    <row r="23" spans="1:3" hidden="1" x14ac:dyDescent="0.25">
      <c r="A23" s="4" t="s">
        <v>200</v>
      </c>
      <c r="B23" s="4" t="s">
        <v>221</v>
      </c>
      <c r="C23" s="4" t="s">
        <v>222</v>
      </c>
    </row>
    <row r="24" spans="1:3" hidden="1" x14ac:dyDescent="0.25">
      <c r="A24" s="4" t="s">
        <v>223</v>
      </c>
      <c r="B24" s="4" t="s">
        <v>224</v>
      </c>
      <c r="C24" s="4" t="s">
        <v>225</v>
      </c>
    </row>
    <row r="25" spans="1:3" hidden="1" x14ac:dyDescent="0.25">
      <c r="A25" s="4" t="s">
        <v>0</v>
      </c>
      <c r="B25" s="4" t="s">
        <v>134</v>
      </c>
      <c r="C25" s="4" t="s">
        <v>135</v>
      </c>
    </row>
    <row r="26" spans="1:3" hidden="1" x14ac:dyDescent="0.25">
      <c r="A26" s="4" t="s">
        <v>0</v>
      </c>
      <c r="B26" s="4" t="s">
        <v>1</v>
      </c>
      <c r="C26" s="4" t="s">
        <v>2</v>
      </c>
    </row>
    <row r="27" spans="1:3" hidden="1" x14ac:dyDescent="0.25">
      <c r="A27" s="4" t="s">
        <v>0</v>
      </c>
      <c r="B27" s="4" t="s">
        <v>174</v>
      </c>
      <c r="C27" s="4" t="s">
        <v>175</v>
      </c>
    </row>
    <row r="28" spans="1:3" hidden="1" x14ac:dyDescent="0.25">
      <c r="A28" s="4" t="s">
        <v>0</v>
      </c>
      <c r="B28" s="4" t="s">
        <v>176</v>
      </c>
      <c r="C28" s="4" t="s">
        <v>177</v>
      </c>
    </row>
    <row r="29" spans="1:3" hidden="1" x14ac:dyDescent="0.25">
      <c r="A29" s="4" t="s">
        <v>0</v>
      </c>
      <c r="B29" s="4" t="s">
        <v>226</v>
      </c>
      <c r="C29" s="4" t="s">
        <v>227</v>
      </c>
    </row>
    <row r="30" spans="1:3" hidden="1" x14ac:dyDescent="0.25">
      <c r="A30" s="4" t="s">
        <v>3</v>
      </c>
      <c r="B30" s="4" t="s">
        <v>228</v>
      </c>
      <c r="C30" s="4" t="s">
        <v>229</v>
      </c>
    </row>
    <row r="31" spans="1:3" hidden="1" x14ac:dyDescent="0.25">
      <c r="A31" s="4" t="s">
        <v>3</v>
      </c>
      <c r="B31" s="4" t="s">
        <v>178</v>
      </c>
      <c r="C31" s="4" t="s">
        <v>179</v>
      </c>
    </row>
    <row r="32" spans="1:3" hidden="1" x14ac:dyDescent="0.25">
      <c r="A32" s="4" t="s">
        <v>3</v>
      </c>
      <c r="B32" s="4" t="s">
        <v>289</v>
      </c>
      <c r="C32" s="4" t="s">
        <v>290</v>
      </c>
    </row>
    <row r="33" spans="1:3" hidden="1" x14ac:dyDescent="0.25">
      <c r="A33" s="4" t="s">
        <v>3</v>
      </c>
      <c r="B33" s="4" t="s">
        <v>64</v>
      </c>
      <c r="C33" s="4" t="s">
        <v>65</v>
      </c>
    </row>
    <row r="34" spans="1:3" hidden="1" x14ac:dyDescent="0.25">
      <c r="A34" s="4" t="s">
        <v>3</v>
      </c>
      <c r="B34" s="4" t="s">
        <v>180</v>
      </c>
      <c r="C34" s="4" t="s">
        <v>181</v>
      </c>
    </row>
    <row r="35" spans="1:3" hidden="1" x14ac:dyDescent="0.25">
      <c r="A35" s="4" t="s">
        <v>3</v>
      </c>
      <c r="B35" s="4" t="s">
        <v>230</v>
      </c>
      <c r="C35" s="4" t="s">
        <v>231</v>
      </c>
    </row>
    <row r="36" spans="1:3" hidden="1" x14ac:dyDescent="0.25">
      <c r="A36" s="4" t="s">
        <v>66</v>
      </c>
      <c r="B36" s="4" t="s">
        <v>232</v>
      </c>
      <c r="C36" s="4" t="s">
        <v>233</v>
      </c>
    </row>
    <row r="37" spans="1:3" hidden="1" x14ac:dyDescent="0.25">
      <c r="A37" s="4" t="s">
        <v>66</v>
      </c>
      <c r="B37" s="4" t="s">
        <v>234</v>
      </c>
      <c r="C37" s="4" t="s">
        <v>235</v>
      </c>
    </row>
    <row r="38" spans="1:3" hidden="1" x14ac:dyDescent="0.25">
      <c r="A38" s="4" t="s">
        <v>66</v>
      </c>
      <c r="B38" s="4" t="s">
        <v>67</v>
      </c>
      <c r="C38" s="4" t="s">
        <v>68</v>
      </c>
    </row>
    <row r="39" spans="1:3" hidden="1" x14ac:dyDescent="0.25">
      <c r="A39" s="4" t="s">
        <v>66</v>
      </c>
      <c r="B39" s="4" t="s">
        <v>236</v>
      </c>
      <c r="C39" s="4" t="s">
        <v>237</v>
      </c>
    </row>
    <row r="40" spans="1:3" hidden="1" x14ac:dyDescent="0.25">
      <c r="A40" s="4" t="s">
        <v>66</v>
      </c>
      <c r="B40" s="4" t="s">
        <v>238</v>
      </c>
      <c r="C40" s="4" t="s">
        <v>239</v>
      </c>
    </row>
    <row r="41" spans="1:3" hidden="1" x14ac:dyDescent="0.25">
      <c r="A41" s="4" t="s">
        <v>66</v>
      </c>
      <c r="B41" s="4" t="s">
        <v>182</v>
      </c>
      <c r="C41" s="4" t="s">
        <v>183</v>
      </c>
    </row>
    <row r="42" spans="1:3" hidden="1" x14ac:dyDescent="0.25">
      <c r="A42" s="4" t="s">
        <v>66</v>
      </c>
      <c r="B42" s="4" t="s">
        <v>69</v>
      </c>
      <c r="C42" s="4" t="s">
        <v>70</v>
      </c>
    </row>
    <row r="43" spans="1:3" hidden="1" x14ac:dyDescent="0.25">
      <c r="A43" s="4" t="s">
        <v>66</v>
      </c>
      <c r="B43" s="4" t="s">
        <v>240</v>
      </c>
      <c r="C43" s="4" t="s">
        <v>241</v>
      </c>
    </row>
    <row r="44" spans="1:3" hidden="1" x14ac:dyDescent="0.25">
      <c r="A44" s="4" t="s">
        <v>66</v>
      </c>
      <c r="B44" s="4" t="s">
        <v>242</v>
      </c>
      <c r="C44" s="4" t="s">
        <v>243</v>
      </c>
    </row>
    <row r="45" spans="1:3" hidden="1" x14ac:dyDescent="0.25">
      <c r="A45" s="4" t="s">
        <v>66</v>
      </c>
      <c r="B45" s="4" t="s">
        <v>71</v>
      </c>
      <c r="C45" s="4" t="s">
        <v>72</v>
      </c>
    </row>
    <row r="46" spans="1:3" hidden="1" x14ac:dyDescent="0.25">
      <c r="A46" s="4" t="s">
        <v>66</v>
      </c>
      <c r="B46" s="4" t="s">
        <v>73</v>
      </c>
      <c r="C46" s="4" t="s">
        <v>74</v>
      </c>
    </row>
    <row r="47" spans="1:3" hidden="1" x14ac:dyDescent="0.25">
      <c r="A47" s="4" t="s">
        <v>4</v>
      </c>
      <c r="B47" s="4" t="s">
        <v>75</v>
      </c>
      <c r="C47" s="4" t="s">
        <v>76</v>
      </c>
    </row>
    <row r="48" spans="1:3" hidden="1" x14ac:dyDescent="0.25">
      <c r="A48" s="4" t="s">
        <v>4</v>
      </c>
      <c r="B48" s="4" t="s">
        <v>77</v>
      </c>
      <c r="C48" s="4" t="s">
        <v>78</v>
      </c>
    </row>
    <row r="49" spans="1:4" hidden="1" x14ac:dyDescent="0.25">
      <c r="A49" s="4" t="s">
        <v>4</v>
      </c>
      <c r="B49" s="4" t="s">
        <v>79</v>
      </c>
      <c r="C49" s="4" t="s">
        <v>80</v>
      </c>
    </row>
    <row r="50" spans="1:4" hidden="1" x14ac:dyDescent="0.25">
      <c r="A50" s="4" t="s">
        <v>4</v>
      </c>
      <c r="B50" s="4" t="s">
        <v>136</v>
      </c>
      <c r="C50" s="4" t="s">
        <v>137</v>
      </c>
    </row>
    <row r="51" spans="1:4" hidden="1" x14ac:dyDescent="0.25">
      <c r="A51" s="4" t="s">
        <v>4</v>
      </c>
      <c r="B51" s="4" t="s">
        <v>81</v>
      </c>
      <c r="C51" s="4" t="s">
        <v>82</v>
      </c>
    </row>
    <row r="52" spans="1:4" hidden="1" x14ac:dyDescent="0.25">
      <c r="A52" s="4" t="s">
        <v>4</v>
      </c>
      <c r="B52" s="4" t="s">
        <v>83</v>
      </c>
      <c r="C52" s="4" t="s">
        <v>84</v>
      </c>
    </row>
    <row r="53" spans="1:4" hidden="1" x14ac:dyDescent="0.25">
      <c r="A53" s="4" t="s">
        <v>4</v>
      </c>
      <c r="B53" s="4" t="s">
        <v>5</v>
      </c>
      <c r="C53" s="4" t="s">
        <v>6</v>
      </c>
    </row>
    <row r="54" spans="1:4" hidden="1" x14ac:dyDescent="0.25">
      <c r="A54" s="4" t="s">
        <v>4</v>
      </c>
      <c r="B54" s="4" t="s">
        <v>127</v>
      </c>
      <c r="C54" s="4" t="s">
        <v>128</v>
      </c>
    </row>
    <row r="55" spans="1:4" x14ac:dyDescent="0.25">
      <c r="A55" s="14" t="s">
        <v>4</v>
      </c>
      <c r="B55" s="14" t="s">
        <v>85</v>
      </c>
      <c r="C55" s="14" t="s">
        <v>334</v>
      </c>
      <c r="D55" s="5">
        <v>3</v>
      </c>
    </row>
    <row r="56" spans="1:4" hidden="1" x14ac:dyDescent="0.25">
      <c r="A56" s="4" t="s">
        <v>4</v>
      </c>
      <c r="B56" s="4" t="s">
        <v>184</v>
      </c>
      <c r="C56" s="4" t="s">
        <v>185</v>
      </c>
    </row>
    <row r="57" spans="1:4" hidden="1" x14ac:dyDescent="0.25">
      <c r="A57" s="4" t="s">
        <v>4</v>
      </c>
      <c r="B57" s="4" t="s">
        <v>186</v>
      </c>
      <c r="C57" s="4" t="s">
        <v>187</v>
      </c>
    </row>
    <row r="58" spans="1:4" hidden="1" x14ac:dyDescent="0.25">
      <c r="A58" s="10" t="s">
        <v>4</v>
      </c>
      <c r="B58" s="10" t="s">
        <v>188</v>
      </c>
      <c r="C58" s="10" t="s">
        <v>189</v>
      </c>
    </row>
    <row r="59" spans="1:4" hidden="1" x14ac:dyDescent="0.25">
      <c r="A59" s="4" t="s">
        <v>4</v>
      </c>
      <c r="B59" s="4" t="s">
        <v>190</v>
      </c>
      <c r="C59" s="4" t="s">
        <v>191</v>
      </c>
    </row>
    <row r="60" spans="1:4" hidden="1" x14ac:dyDescent="0.25">
      <c r="A60" s="4" t="s">
        <v>4</v>
      </c>
      <c r="B60" s="4" t="s">
        <v>192</v>
      </c>
      <c r="C60" s="4" t="s">
        <v>193</v>
      </c>
    </row>
    <row r="61" spans="1:4" hidden="1" x14ac:dyDescent="0.25">
      <c r="A61" s="4" t="s">
        <v>4</v>
      </c>
      <c r="B61" s="4" t="s">
        <v>194</v>
      </c>
      <c r="C61" s="4" t="s">
        <v>195</v>
      </c>
    </row>
    <row r="62" spans="1:4" hidden="1" x14ac:dyDescent="0.25">
      <c r="A62" s="4" t="s">
        <v>4</v>
      </c>
      <c r="B62" s="4" t="s">
        <v>291</v>
      </c>
      <c r="C62" s="4" t="s">
        <v>292</v>
      </c>
    </row>
    <row r="63" spans="1:4" hidden="1" x14ac:dyDescent="0.25">
      <c r="A63" s="4" t="s">
        <v>4</v>
      </c>
      <c r="B63" s="4" t="s">
        <v>244</v>
      </c>
      <c r="C63" s="4" t="s">
        <v>245</v>
      </c>
    </row>
    <row r="64" spans="1:4" hidden="1" x14ac:dyDescent="0.25">
      <c r="A64" s="4" t="s">
        <v>4</v>
      </c>
      <c r="B64" s="4" t="s">
        <v>246</v>
      </c>
      <c r="C64" s="4" t="s">
        <v>247</v>
      </c>
    </row>
    <row r="65" spans="1:35" hidden="1" x14ac:dyDescent="0.25">
      <c r="A65" s="4" t="s">
        <v>138</v>
      </c>
      <c r="B65" s="4" t="s">
        <v>158</v>
      </c>
      <c r="C65" s="4" t="s">
        <v>157</v>
      </c>
    </row>
    <row r="66" spans="1:35" hidden="1" x14ac:dyDescent="0.25">
      <c r="A66" s="10" t="s">
        <v>138</v>
      </c>
      <c r="B66" s="10" t="s">
        <v>160</v>
      </c>
      <c r="C66" s="10" t="s">
        <v>159</v>
      </c>
    </row>
    <row r="67" spans="1:35" hidden="1" x14ac:dyDescent="0.25">
      <c r="A67" s="10" t="s">
        <v>138</v>
      </c>
      <c r="B67" s="10" t="s">
        <v>162</v>
      </c>
      <c r="C67" s="10" t="s">
        <v>161</v>
      </c>
    </row>
    <row r="68" spans="1:35" hidden="1" x14ac:dyDescent="0.25">
      <c r="A68" s="10" t="s">
        <v>138</v>
      </c>
      <c r="B68" s="10" t="s">
        <v>139</v>
      </c>
      <c r="C68" s="10" t="s">
        <v>140</v>
      </c>
    </row>
    <row r="69" spans="1:35" hidden="1" x14ac:dyDescent="0.25">
      <c r="A69" s="10" t="s">
        <v>138</v>
      </c>
      <c r="B69" s="10" t="s">
        <v>149</v>
      </c>
      <c r="C69" s="10" t="s">
        <v>148</v>
      </c>
    </row>
    <row r="70" spans="1:35" hidden="1" x14ac:dyDescent="0.25">
      <c r="A70" s="4" t="s">
        <v>138</v>
      </c>
      <c r="B70" s="4" t="s">
        <v>141</v>
      </c>
      <c r="C70" s="4" t="s">
        <v>142</v>
      </c>
    </row>
    <row r="71" spans="1:35" x14ac:dyDescent="0.25">
      <c r="A71" s="14" t="s">
        <v>138</v>
      </c>
      <c r="B71" s="14" t="s">
        <v>143</v>
      </c>
      <c r="C71" s="14" t="s">
        <v>144</v>
      </c>
      <c r="D71" s="5">
        <v>3</v>
      </c>
    </row>
    <row r="72" spans="1:35" hidden="1" x14ac:dyDescent="0.25">
      <c r="A72" s="4" t="s">
        <v>7</v>
      </c>
      <c r="B72" s="4" t="s">
        <v>8</v>
      </c>
      <c r="C72" s="4" t="s">
        <v>303</v>
      </c>
    </row>
    <row r="73" spans="1:35" hidden="1" x14ac:dyDescent="0.25">
      <c r="A73" s="4" t="s">
        <v>7</v>
      </c>
      <c r="B73" s="4" t="s">
        <v>196</v>
      </c>
      <c r="C73" s="4" t="s">
        <v>302</v>
      </c>
    </row>
    <row r="74" spans="1:35" x14ac:dyDescent="0.25">
      <c r="A74" s="14" t="s">
        <v>129</v>
      </c>
      <c r="B74" s="14" t="s">
        <v>130</v>
      </c>
      <c r="C74" s="14" t="s">
        <v>131</v>
      </c>
      <c r="D74" s="5">
        <v>1</v>
      </c>
    </row>
    <row r="75" spans="1:35" hidden="1" x14ac:dyDescent="0.25">
      <c r="A75" s="4" t="s">
        <v>145</v>
      </c>
      <c r="B75" s="4" t="s">
        <v>146</v>
      </c>
      <c r="C75" s="4" t="s">
        <v>147</v>
      </c>
    </row>
    <row r="76" spans="1:35" hidden="1" x14ac:dyDescent="0.25">
      <c r="A76" s="4" t="s">
        <v>9</v>
      </c>
      <c r="B76" s="4" t="s">
        <v>87</v>
      </c>
      <c r="C76" s="4" t="s">
        <v>88</v>
      </c>
    </row>
    <row r="77" spans="1:35" hidden="1" x14ac:dyDescent="0.25">
      <c r="A77" s="4" t="s">
        <v>9</v>
      </c>
      <c r="B77" s="4" t="s">
        <v>89</v>
      </c>
      <c r="C77" s="4" t="s">
        <v>90</v>
      </c>
    </row>
    <row r="78" spans="1:35" hidden="1" x14ac:dyDescent="0.25">
      <c r="A78" s="4" t="s">
        <v>9</v>
      </c>
      <c r="B78" s="4" t="s">
        <v>10</v>
      </c>
      <c r="C78" s="4" t="s">
        <v>11</v>
      </c>
      <c r="Z78" s="3"/>
      <c r="AH78" s="3"/>
      <c r="AI78" s="3"/>
    </row>
    <row r="79" spans="1:35" hidden="1" x14ac:dyDescent="0.25">
      <c r="A79" s="4" t="s">
        <v>9</v>
      </c>
      <c r="B79" s="4" t="s">
        <v>12</v>
      </c>
      <c r="C79" s="4" t="s">
        <v>13</v>
      </c>
      <c r="Z79" s="3"/>
      <c r="AH79" s="3"/>
      <c r="AI79" s="3"/>
    </row>
    <row r="80" spans="1:35" hidden="1" x14ac:dyDescent="0.25">
      <c r="A80" s="10" t="s">
        <v>9</v>
      </c>
      <c r="B80" s="10" t="s">
        <v>25</v>
      </c>
      <c r="C80" s="10" t="s">
        <v>304</v>
      </c>
      <c r="Z80" s="3"/>
      <c r="AH80" s="3"/>
      <c r="AI80" s="3"/>
    </row>
    <row r="81" spans="1:35" hidden="1" x14ac:dyDescent="0.25">
      <c r="A81" s="4" t="s">
        <v>9</v>
      </c>
      <c r="B81" s="4" t="s">
        <v>19</v>
      </c>
      <c r="C81" s="4" t="s">
        <v>20</v>
      </c>
      <c r="Z81" s="3"/>
      <c r="AH81" s="3"/>
      <c r="AI81" s="3"/>
    </row>
    <row r="82" spans="1:35" hidden="1" x14ac:dyDescent="0.25">
      <c r="A82" s="4" t="s">
        <v>9</v>
      </c>
      <c r="B82" s="4" t="s">
        <v>21</v>
      </c>
      <c r="C82" s="4" t="s">
        <v>22</v>
      </c>
      <c r="Z82" s="3"/>
      <c r="AH82" s="3"/>
      <c r="AI82" s="3"/>
    </row>
    <row r="83" spans="1:35" hidden="1" x14ac:dyDescent="0.25">
      <c r="A83" s="4" t="s">
        <v>9</v>
      </c>
      <c r="B83" s="4" t="s">
        <v>132</v>
      </c>
      <c r="C83" s="4" t="s">
        <v>133</v>
      </c>
      <c r="Z83" s="3"/>
      <c r="AH83" s="3"/>
      <c r="AI83" s="3"/>
    </row>
    <row r="84" spans="1:35" hidden="1" x14ac:dyDescent="0.25">
      <c r="A84" s="4" t="s">
        <v>9</v>
      </c>
      <c r="B84" s="4" t="s">
        <v>23</v>
      </c>
      <c r="C84" s="4" t="s">
        <v>24</v>
      </c>
    </row>
    <row r="85" spans="1:35" hidden="1" x14ac:dyDescent="0.25">
      <c r="A85" s="4" t="s">
        <v>9</v>
      </c>
      <c r="B85" s="4" t="s">
        <v>91</v>
      </c>
      <c r="C85" s="4" t="s">
        <v>92</v>
      </c>
    </row>
    <row r="86" spans="1:35" hidden="1" x14ac:dyDescent="0.25">
      <c r="A86" s="4" t="s">
        <v>9</v>
      </c>
      <c r="B86" s="4" t="s">
        <v>93</v>
      </c>
      <c r="C86" s="4" t="s">
        <v>94</v>
      </c>
    </row>
    <row r="87" spans="1:35" hidden="1" x14ac:dyDescent="0.25">
      <c r="A87" s="4" t="s">
        <v>9</v>
      </c>
      <c r="B87" s="4" t="s">
        <v>164</v>
      </c>
      <c r="C87" s="4" t="s">
        <v>163</v>
      </c>
    </row>
    <row r="88" spans="1:35" hidden="1" x14ac:dyDescent="0.25">
      <c r="A88" s="10" t="s">
        <v>9</v>
      </c>
      <c r="B88" s="10" t="s">
        <v>166</v>
      </c>
      <c r="C88" s="10" t="s">
        <v>310</v>
      </c>
    </row>
    <row r="89" spans="1:35" hidden="1" x14ac:dyDescent="0.25">
      <c r="A89" s="10" t="s">
        <v>9</v>
      </c>
      <c r="B89" s="10" t="s">
        <v>168</v>
      </c>
      <c r="C89" s="10" t="s">
        <v>311</v>
      </c>
    </row>
    <row r="90" spans="1:35" hidden="1" x14ac:dyDescent="0.25">
      <c r="A90" s="4" t="s">
        <v>9</v>
      </c>
      <c r="B90" s="4" t="s">
        <v>293</v>
      </c>
      <c r="C90" s="4" t="s">
        <v>294</v>
      </c>
    </row>
    <row r="91" spans="1:35" hidden="1" x14ac:dyDescent="0.25">
      <c r="A91" s="4" t="s">
        <v>9</v>
      </c>
      <c r="B91" s="4" t="s">
        <v>248</v>
      </c>
      <c r="C91" s="4" t="s">
        <v>249</v>
      </c>
    </row>
    <row r="92" spans="1:35" x14ac:dyDescent="0.25">
      <c r="A92" s="14" t="s">
        <v>9</v>
      </c>
      <c r="B92" s="14" t="s">
        <v>155</v>
      </c>
      <c r="C92" s="14" t="s">
        <v>156</v>
      </c>
      <c r="D92" s="5">
        <v>1</v>
      </c>
    </row>
    <row r="93" spans="1:35" hidden="1" x14ac:dyDescent="0.25">
      <c r="A93" s="4" t="s">
        <v>27</v>
      </c>
      <c r="B93" s="4" t="s">
        <v>95</v>
      </c>
      <c r="C93" s="4" t="s">
        <v>96</v>
      </c>
    </row>
    <row r="94" spans="1:35" hidden="1" x14ac:dyDescent="0.25">
      <c r="A94" s="4" t="s">
        <v>27</v>
      </c>
      <c r="B94" s="4" t="s">
        <v>97</v>
      </c>
      <c r="C94" s="4" t="s">
        <v>98</v>
      </c>
    </row>
    <row r="95" spans="1:35" hidden="1" x14ac:dyDescent="0.25">
      <c r="A95" s="4" t="s">
        <v>27</v>
      </c>
      <c r="B95" s="4" t="s">
        <v>99</v>
      </c>
      <c r="C95" s="4" t="s">
        <v>100</v>
      </c>
    </row>
    <row r="96" spans="1:35" hidden="1" x14ac:dyDescent="0.25">
      <c r="A96" s="4" t="s">
        <v>27</v>
      </c>
      <c r="B96" s="4" t="s">
        <v>101</v>
      </c>
      <c r="C96" s="4" t="s">
        <v>102</v>
      </c>
    </row>
    <row r="97" spans="1:3" hidden="1" x14ac:dyDescent="0.25">
      <c r="A97" s="4" t="s">
        <v>27</v>
      </c>
      <c r="B97" s="4" t="s">
        <v>103</v>
      </c>
      <c r="C97" s="4" t="s">
        <v>104</v>
      </c>
    </row>
    <row r="98" spans="1:3" hidden="1" x14ac:dyDescent="0.25">
      <c r="A98" s="4" t="s">
        <v>27</v>
      </c>
      <c r="B98" s="4" t="s">
        <v>105</v>
      </c>
      <c r="C98" s="4" t="s">
        <v>106</v>
      </c>
    </row>
    <row r="99" spans="1:3" hidden="1" x14ac:dyDescent="0.25">
      <c r="A99" s="4" t="s">
        <v>27</v>
      </c>
      <c r="B99" s="4" t="s">
        <v>28</v>
      </c>
      <c r="C99" s="4" t="s">
        <v>29</v>
      </c>
    </row>
    <row r="100" spans="1:3" hidden="1" x14ac:dyDescent="0.25">
      <c r="A100" s="4" t="s">
        <v>107</v>
      </c>
      <c r="B100" s="4" t="s">
        <v>108</v>
      </c>
      <c r="C100" s="4" t="s">
        <v>109</v>
      </c>
    </row>
    <row r="101" spans="1:3" hidden="1" x14ac:dyDescent="0.25">
      <c r="A101" s="4" t="s">
        <v>107</v>
      </c>
      <c r="B101" s="4" t="s">
        <v>110</v>
      </c>
      <c r="C101" s="4" t="s">
        <v>111</v>
      </c>
    </row>
    <row r="102" spans="1:3" hidden="1" x14ac:dyDescent="0.25">
      <c r="A102" s="10" t="s">
        <v>107</v>
      </c>
      <c r="B102" s="10" t="s">
        <v>112</v>
      </c>
      <c r="C102" s="10" t="s">
        <v>312</v>
      </c>
    </row>
    <row r="103" spans="1:3" hidden="1" x14ac:dyDescent="0.25">
      <c r="A103" s="4" t="s">
        <v>107</v>
      </c>
      <c r="B103" s="4" t="s">
        <v>250</v>
      </c>
      <c r="C103" s="4" t="s">
        <v>251</v>
      </c>
    </row>
    <row r="104" spans="1:3" hidden="1" x14ac:dyDescent="0.25">
      <c r="A104" s="4" t="s">
        <v>107</v>
      </c>
      <c r="B104" s="4" t="s">
        <v>252</v>
      </c>
      <c r="C104" s="4" t="s">
        <v>253</v>
      </c>
    </row>
    <row r="105" spans="1:3" hidden="1" x14ac:dyDescent="0.25">
      <c r="A105" s="4" t="s">
        <v>107</v>
      </c>
      <c r="B105" s="4" t="s">
        <v>254</v>
      </c>
      <c r="C105" s="4" t="s">
        <v>255</v>
      </c>
    </row>
    <row r="106" spans="1:3" hidden="1" x14ac:dyDescent="0.25">
      <c r="A106" s="4" t="s">
        <v>107</v>
      </c>
      <c r="B106" s="4" t="s">
        <v>256</v>
      </c>
      <c r="C106" s="4" t="s">
        <v>257</v>
      </c>
    </row>
    <row r="107" spans="1:3" hidden="1" x14ac:dyDescent="0.25">
      <c r="A107" s="4" t="s">
        <v>33</v>
      </c>
      <c r="B107" s="4" t="s">
        <v>34</v>
      </c>
      <c r="C107" s="4" t="s">
        <v>35</v>
      </c>
    </row>
    <row r="108" spans="1:3" hidden="1" x14ac:dyDescent="0.25">
      <c r="A108" s="4" t="s">
        <v>258</v>
      </c>
      <c r="B108" s="4" t="s">
        <v>259</v>
      </c>
      <c r="C108" s="4" t="s">
        <v>260</v>
      </c>
    </row>
    <row r="109" spans="1:3" hidden="1" x14ac:dyDescent="0.25">
      <c r="A109" s="4" t="s">
        <v>258</v>
      </c>
      <c r="B109" s="4" t="s">
        <v>261</v>
      </c>
      <c r="C109" s="4" t="s">
        <v>262</v>
      </c>
    </row>
    <row r="110" spans="1:3" hidden="1" x14ac:dyDescent="0.25">
      <c r="A110" s="4" t="s">
        <v>41</v>
      </c>
      <c r="B110" s="4" t="s">
        <v>42</v>
      </c>
      <c r="C110" s="4" t="s">
        <v>43</v>
      </c>
    </row>
    <row r="111" spans="1:3" hidden="1" x14ac:dyDescent="0.25">
      <c r="A111" s="4" t="s">
        <v>263</v>
      </c>
      <c r="B111" s="4" t="s">
        <v>264</v>
      </c>
      <c r="C111" s="4" t="s">
        <v>265</v>
      </c>
    </row>
    <row r="112" spans="1:3" hidden="1" x14ac:dyDescent="0.25">
      <c r="A112" s="4" t="s">
        <v>263</v>
      </c>
      <c r="B112" s="4" t="s">
        <v>266</v>
      </c>
      <c r="C112" s="4" t="s">
        <v>267</v>
      </c>
    </row>
    <row r="113" spans="1:4" hidden="1" x14ac:dyDescent="0.25">
      <c r="A113" s="4" t="s">
        <v>114</v>
      </c>
      <c r="B113" s="4" t="s">
        <v>115</v>
      </c>
      <c r="C113" s="4" t="s">
        <v>116</v>
      </c>
    </row>
    <row r="114" spans="1:4" hidden="1" x14ac:dyDescent="0.25">
      <c r="A114" s="4" t="s">
        <v>44</v>
      </c>
      <c r="B114" s="4" t="s">
        <v>45</v>
      </c>
      <c r="C114" s="4" t="s">
        <v>46</v>
      </c>
    </row>
    <row r="115" spans="1:4" x14ac:dyDescent="0.25">
      <c r="A115" s="14" t="s">
        <v>268</v>
      </c>
      <c r="B115" s="14" t="s">
        <v>269</v>
      </c>
      <c r="C115" s="14" t="s">
        <v>335</v>
      </c>
      <c r="D115" s="5">
        <v>1</v>
      </c>
    </row>
    <row r="116" spans="1:4" hidden="1" x14ac:dyDescent="0.25">
      <c r="A116" s="10" t="s">
        <v>117</v>
      </c>
      <c r="B116" s="10" t="s">
        <v>118</v>
      </c>
      <c r="C116" s="10" t="s">
        <v>119</v>
      </c>
    </row>
    <row r="117" spans="1:4" hidden="1" x14ac:dyDescent="0.25">
      <c r="A117" s="4" t="s">
        <v>120</v>
      </c>
      <c r="B117" s="4" t="s">
        <v>271</v>
      </c>
      <c r="C117" s="4" t="s">
        <v>272</v>
      </c>
    </row>
    <row r="118" spans="1:4" hidden="1" x14ac:dyDescent="0.25">
      <c r="A118" s="4" t="s">
        <v>120</v>
      </c>
      <c r="B118" s="4" t="s">
        <v>273</v>
      </c>
      <c r="C118" s="4" t="s">
        <v>274</v>
      </c>
    </row>
    <row r="119" spans="1:4" hidden="1" x14ac:dyDescent="0.25">
      <c r="A119" s="4" t="s">
        <v>120</v>
      </c>
      <c r="B119" s="4" t="s">
        <v>121</v>
      </c>
      <c r="C119" s="4" t="s">
        <v>122</v>
      </c>
    </row>
    <row r="120" spans="1:4" hidden="1" x14ac:dyDescent="0.25">
      <c r="A120" s="4" t="s">
        <v>120</v>
      </c>
      <c r="B120" s="4" t="s">
        <v>275</v>
      </c>
      <c r="C120" s="4" t="s">
        <v>276</v>
      </c>
    </row>
    <row r="121" spans="1:4" hidden="1" x14ac:dyDescent="0.25">
      <c r="A121" s="4" t="s">
        <v>120</v>
      </c>
      <c r="B121" s="4" t="s">
        <v>198</v>
      </c>
      <c r="C121" s="4" t="s">
        <v>199</v>
      </c>
    </row>
    <row r="122" spans="1:4" hidden="1" x14ac:dyDescent="0.25">
      <c r="A122" s="4" t="s">
        <v>120</v>
      </c>
      <c r="B122" s="4" t="s">
        <v>277</v>
      </c>
      <c r="C122" s="4" t="s">
        <v>278</v>
      </c>
    </row>
    <row r="123" spans="1:4" hidden="1" x14ac:dyDescent="0.25">
      <c r="A123" s="10" t="s">
        <v>120</v>
      </c>
      <c r="B123" s="10" t="s">
        <v>123</v>
      </c>
      <c r="C123" s="10" t="s">
        <v>124</v>
      </c>
    </row>
    <row r="124" spans="1:4" hidden="1" x14ac:dyDescent="0.25">
      <c r="A124" s="10" t="s">
        <v>120</v>
      </c>
      <c r="B124" s="10" t="s">
        <v>125</v>
      </c>
      <c r="C124" s="10" t="s">
        <v>126</v>
      </c>
    </row>
    <row r="125" spans="1:4" hidden="1" x14ac:dyDescent="0.25">
      <c r="A125" s="4" t="s">
        <v>279</v>
      </c>
      <c r="B125" s="4" t="s">
        <v>280</v>
      </c>
      <c r="C125" s="4" t="s">
        <v>281</v>
      </c>
    </row>
    <row r="126" spans="1:4" hidden="1" x14ac:dyDescent="0.25">
      <c r="A126" s="4" t="s">
        <v>282</v>
      </c>
      <c r="B126" s="4" t="s">
        <v>283</v>
      </c>
      <c r="C126" s="4" t="s">
        <v>284</v>
      </c>
    </row>
    <row r="127" spans="1:4" hidden="1" x14ac:dyDescent="0.25">
      <c r="A127" s="4" t="s">
        <v>285</v>
      </c>
      <c r="B127" s="4" t="s">
        <v>286</v>
      </c>
      <c r="C127" s="4" t="s">
        <v>287</v>
      </c>
    </row>
    <row r="128" spans="1:4" hidden="1" x14ac:dyDescent="0.25">
      <c r="A128" s="4" t="s">
        <v>14</v>
      </c>
      <c r="B128" s="4" t="s">
        <v>15</v>
      </c>
      <c r="C128" s="4" t="s">
        <v>16</v>
      </c>
    </row>
    <row r="129" spans="1:4" hidden="1" x14ac:dyDescent="0.25">
      <c r="A129" s="4" t="s">
        <v>14</v>
      </c>
      <c r="B129" s="4" t="s">
        <v>17</v>
      </c>
      <c r="C129" s="4" t="s">
        <v>18</v>
      </c>
    </row>
    <row r="130" spans="1:4" hidden="1" x14ac:dyDescent="0.25">
      <c r="A130" s="4" t="s">
        <v>14</v>
      </c>
      <c r="B130" s="4" t="s">
        <v>201</v>
      </c>
      <c r="C130" s="4" t="s">
        <v>202</v>
      </c>
    </row>
    <row r="131" spans="1:4" hidden="1" x14ac:dyDescent="0.25">
      <c r="A131" s="4" t="s">
        <v>14</v>
      </c>
      <c r="B131" s="4" t="s">
        <v>203</v>
      </c>
      <c r="C131" s="4" t="s">
        <v>204</v>
      </c>
    </row>
    <row r="132" spans="1:4" hidden="1" x14ac:dyDescent="0.25">
      <c r="A132" s="4" t="s">
        <v>36</v>
      </c>
      <c r="B132" s="4" t="s">
        <v>37</v>
      </c>
      <c r="C132" s="4" t="s">
        <v>38</v>
      </c>
    </row>
    <row r="133" spans="1:4" hidden="1" x14ac:dyDescent="0.25">
      <c r="A133" s="14" t="s">
        <v>268</v>
      </c>
      <c r="B133" s="14" t="s">
        <v>337</v>
      </c>
      <c r="C133" s="14" t="s">
        <v>338</v>
      </c>
    </row>
    <row r="134" spans="1:4" x14ac:dyDescent="0.25">
      <c r="A134" s="14" t="s">
        <v>107</v>
      </c>
      <c r="B134" s="14" t="s">
        <v>252</v>
      </c>
      <c r="C134" s="14" t="s">
        <v>253</v>
      </c>
      <c r="D134" s="5">
        <v>1</v>
      </c>
    </row>
    <row r="136" spans="1:4" x14ac:dyDescent="0.25">
      <c r="D136" s="5" t="s">
        <v>349</v>
      </c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9218" r:id="rId7" name="CommandButton2">
          <controlPr autoLine="0" r:id="rId8">
            <anchor moveWithCells="1">
              <from>
                <xdr:col>7</xdr:col>
                <xdr:colOff>0</xdr:colOff>
                <xdr:row>0</xdr:row>
                <xdr:rowOff>133350</xdr:rowOff>
              </from>
              <to>
                <xdr:col>8</xdr:col>
                <xdr:colOff>276225</xdr:colOff>
                <xdr:row>0</xdr:row>
                <xdr:rowOff>438150</xdr:rowOff>
              </to>
            </anchor>
          </controlPr>
        </control>
      </mc:Choice>
      <mc:Fallback>
        <control shapeId="9218" r:id="rId7" name="CommandButton2"/>
      </mc:Fallback>
    </mc:AlternateContent>
    <mc:AlternateContent xmlns:mc="http://schemas.openxmlformats.org/markup-compatibility/2006">
      <mc:Choice Requires="x14">
        <control shapeId="9217" r:id="rId9" name="CommandButton1">
          <controlPr autoLine="0" r:id="rId10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9217" r:id="rId9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1" filterMode="1">
    <pageSetUpPr fitToPage="1"/>
  </sheetPr>
  <dimension ref="A1:AI137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26.42578125" style="5" customWidth="1"/>
  </cols>
  <sheetData>
    <row r="1" spans="1:15" ht="54" customHeight="1" x14ac:dyDescent="0.25">
      <c r="B1" s="7" t="s">
        <v>325</v>
      </c>
      <c r="F1" s="6" t="s">
        <v>339</v>
      </c>
      <c r="J1" s="6" t="s">
        <v>288</v>
      </c>
      <c r="O1" s="6" t="s">
        <v>295</v>
      </c>
    </row>
    <row r="2" spans="1:15" ht="26.25" customHeight="1" x14ac:dyDescent="0.25">
      <c r="A2" s="11" t="s">
        <v>307</v>
      </c>
      <c r="B2" s="11" t="s">
        <v>324</v>
      </c>
      <c r="C2" s="11" t="s">
        <v>323</v>
      </c>
      <c r="D2" s="5" t="s">
        <v>343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5">
        <v>5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5</v>
      </c>
      <c r="J7" s="6"/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341</v>
      </c>
      <c r="D20" s="5">
        <v>4</v>
      </c>
      <c r="J20" s="6"/>
    </row>
    <row r="21" spans="1:10" ht="18" hidden="1" customHeight="1" x14ac:dyDescent="0.25">
      <c r="A21" s="10" t="s">
        <v>9</v>
      </c>
      <c r="B21" s="10" t="s">
        <v>25</v>
      </c>
      <c r="C21" s="10" t="s">
        <v>304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customHeight="1" x14ac:dyDescent="0.25">
      <c r="A23" s="10" t="s">
        <v>129</v>
      </c>
      <c r="B23" s="10" t="s">
        <v>130</v>
      </c>
      <c r="C23" s="10" t="s">
        <v>131</v>
      </c>
      <c r="D23" s="5">
        <v>2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8</v>
      </c>
      <c r="J24" s="6"/>
    </row>
    <row r="25" spans="1:10" ht="18" hidden="1" customHeight="1" x14ac:dyDescent="0.25">
      <c r="A25" s="4" t="s">
        <v>138</v>
      </c>
      <c r="B25" s="4" t="s">
        <v>141</v>
      </c>
      <c r="C25" s="4" t="s">
        <v>142</v>
      </c>
      <c r="J25" s="6"/>
    </row>
    <row r="26" spans="1:10" ht="18" hidden="1" customHeight="1" x14ac:dyDescent="0.25">
      <c r="A26" s="4" t="s">
        <v>7</v>
      </c>
      <c r="B26" s="4" t="s">
        <v>8</v>
      </c>
      <c r="C26" s="4" t="s">
        <v>303</v>
      </c>
      <c r="J26" s="6"/>
    </row>
    <row r="27" spans="1:10" ht="18" hidden="1" customHeight="1" x14ac:dyDescent="0.25">
      <c r="A27" s="4" t="s">
        <v>7</v>
      </c>
      <c r="B27" s="4" t="s">
        <v>196</v>
      </c>
      <c r="C27" s="4" t="s">
        <v>302</v>
      </c>
      <c r="J27" s="6"/>
    </row>
    <row r="28" spans="1:10" hidden="1" x14ac:dyDescent="0.25">
      <c r="A28" s="4" t="s">
        <v>47</v>
      </c>
      <c r="B28" s="4" t="s">
        <v>205</v>
      </c>
      <c r="C28" s="4" t="s">
        <v>206</v>
      </c>
    </row>
    <row r="29" spans="1:10" hidden="1" x14ac:dyDescent="0.25">
      <c r="A29" s="4" t="s">
        <v>47</v>
      </c>
      <c r="B29" s="4" t="s">
        <v>207</v>
      </c>
      <c r="C29" s="4" t="s">
        <v>208</v>
      </c>
      <c r="J29" s="6"/>
    </row>
    <row r="30" spans="1:10" hidden="1" x14ac:dyDescent="0.25">
      <c r="A30" s="4" t="s">
        <v>47</v>
      </c>
      <c r="B30" s="4" t="s">
        <v>209</v>
      </c>
      <c r="C30" s="4" t="s">
        <v>210</v>
      </c>
    </row>
    <row r="31" spans="1:10" hidden="1" x14ac:dyDescent="0.25">
      <c r="A31" s="4" t="s">
        <v>47</v>
      </c>
      <c r="B31" s="4" t="s">
        <v>211</v>
      </c>
      <c r="C31" s="4" t="s">
        <v>212</v>
      </c>
    </row>
    <row r="32" spans="1:10" hidden="1" x14ac:dyDescent="0.25">
      <c r="A32" s="4" t="s">
        <v>47</v>
      </c>
      <c r="B32" s="4" t="s">
        <v>48</v>
      </c>
      <c r="C32" s="4" t="s">
        <v>49</v>
      </c>
    </row>
    <row r="33" spans="1:3" hidden="1" x14ac:dyDescent="0.25">
      <c r="A33" s="4" t="s">
        <v>47</v>
      </c>
      <c r="B33" s="4" t="s">
        <v>50</v>
      </c>
      <c r="C33" s="4" t="s">
        <v>51</v>
      </c>
    </row>
    <row r="34" spans="1:3" hidden="1" x14ac:dyDescent="0.25">
      <c r="A34" s="4" t="s">
        <v>52</v>
      </c>
      <c r="B34" s="4" t="s">
        <v>213</v>
      </c>
      <c r="C34" s="4" t="s">
        <v>214</v>
      </c>
    </row>
    <row r="35" spans="1:3" hidden="1" x14ac:dyDescent="0.25">
      <c r="A35" s="4" t="s">
        <v>55</v>
      </c>
      <c r="B35" s="4" t="s">
        <v>56</v>
      </c>
      <c r="C35" s="4" t="s">
        <v>57</v>
      </c>
    </row>
    <row r="36" spans="1:3" hidden="1" x14ac:dyDescent="0.25">
      <c r="A36" s="4" t="s">
        <v>30</v>
      </c>
      <c r="B36" s="4" t="s">
        <v>58</v>
      </c>
      <c r="C36" s="4" t="s">
        <v>59</v>
      </c>
    </row>
    <row r="37" spans="1:3" hidden="1" x14ac:dyDescent="0.25">
      <c r="A37" s="4" t="s">
        <v>30</v>
      </c>
      <c r="B37" s="4" t="s">
        <v>60</v>
      </c>
      <c r="C37" s="4" t="s">
        <v>61</v>
      </c>
    </row>
    <row r="38" spans="1:3" hidden="1" x14ac:dyDescent="0.25">
      <c r="A38" s="4" t="s">
        <v>30</v>
      </c>
      <c r="B38" s="4" t="s">
        <v>62</v>
      </c>
      <c r="C38" s="4" t="s">
        <v>63</v>
      </c>
    </row>
    <row r="39" spans="1:3" hidden="1" x14ac:dyDescent="0.25">
      <c r="A39" s="4" t="s">
        <v>30</v>
      </c>
      <c r="B39" s="4" t="s">
        <v>31</v>
      </c>
      <c r="C39" s="4" t="s">
        <v>32</v>
      </c>
    </row>
    <row r="40" spans="1:3" hidden="1" x14ac:dyDescent="0.25">
      <c r="A40" s="4" t="s">
        <v>30</v>
      </c>
      <c r="B40" s="4" t="s">
        <v>39</v>
      </c>
      <c r="C40" s="4" t="s">
        <v>40</v>
      </c>
    </row>
    <row r="41" spans="1:3" hidden="1" x14ac:dyDescent="0.25">
      <c r="A41" s="4" t="s">
        <v>30</v>
      </c>
      <c r="B41" s="4" t="s">
        <v>217</v>
      </c>
      <c r="C41" s="4" t="s">
        <v>218</v>
      </c>
    </row>
    <row r="42" spans="1:3" hidden="1" x14ac:dyDescent="0.25">
      <c r="A42" s="4" t="s">
        <v>30</v>
      </c>
      <c r="B42" s="4" t="s">
        <v>219</v>
      </c>
      <c r="C42" s="4" t="s">
        <v>220</v>
      </c>
    </row>
    <row r="43" spans="1:3" hidden="1" x14ac:dyDescent="0.25">
      <c r="A43" s="4" t="s">
        <v>200</v>
      </c>
      <c r="B43" s="4" t="s">
        <v>221</v>
      </c>
      <c r="C43" s="4" t="s">
        <v>222</v>
      </c>
    </row>
    <row r="44" spans="1:3" hidden="1" x14ac:dyDescent="0.25">
      <c r="A44" s="4" t="s">
        <v>223</v>
      </c>
      <c r="B44" s="4" t="s">
        <v>224</v>
      </c>
      <c r="C44" s="4" t="s">
        <v>225</v>
      </c>
    </row>
    <row r="45" spans="1:3" hidden="1" x14ac:dyDescent="0.25">
      <c r="A45" s="4" t="s">
        <v>0</v>
      </c>
      <c r="B45" s="4" t="s">
        <v>134</v>
      </c>
      <c r="C45" s="4" t="s">
        <v>135</v>
      </c>
    </row>
    <row r="46" spans="1:3" hidden="1" x14ac:dyDescent="0.25">
      <c r="A46" s="4" t="s">
        <v>0</v>
      </c>
      <c r="B46" s="4" t="s">
        <v>1</v>
      </c>
      <c r="C46" s="4" t="s">
        <v>2</v>
      </c>
    </row>
    <row r="47" spans="1:3" hidden="1" x14ac:dyDescent="0.25">
      <c r="A47" s="4" t="s">
        <v>0</v>
      </c>
      <c r="B47" s="4" t="s">
        <v>174</v>
      </c>
      <c r="C47" s="4" t="s">
        <v>175</v>
      </c>
    </row>
    <row r="48" spans="1:3" hidden="1" x14ac:dyDescent="0.25">
      <c r="A48" s="4" t="s">
        <v>0</v>
      </c>
      <c r="B48" s="4" t="s">
        <v>176</v>
      </c>
      <c r="C48" s="4" t="s">
        <v>177</v>
      </c>
    </row>
    <row r="49" spans="1:3" hidden="1" x14ac:dyDescent="0.25">
      <c r="A49" s="4" t="s">
        <v>0</v>
      </c>
      <c r="B49" s="4" t="s">
        <v>226</v>
      </c>
      <c r="C49" s="4" t="s">
        <v>227</v>
      </c>
    </row>
    <row r="50" spans="1:3" hidden="1" x14ac:dyDescent="0.25">
      <c r="A50" s="4" t="s">
        <v>3</v>
      </c>
      <c r="B50" s="4" t="s">
        <v>228</v>
      </c>
      <c r="C50" s="4" t="s">
        <v>229</v>
      </c>
    </row>
    <row r="51" spans="1:3" hidden="1" x14ac:dyDescent="0.25">
      <c r="A51" s="4" t="s">
        <v>3</v>
      </c>
      <c r="B51" s="4" t="s">
        <v>178</v>
      </c>
      <c r="C51" s="4" t="s">
        <v>179</v>
      </c>
    </row>
    <row r="52" spans="1:3" hidden="1" x14ac:dyDescent="0.25">
      <c r="A52" s="4" t="s">
        <v>3</v>
      </c>
      <c r="B52" s="4" t="s">
        <v>289</v>
      </c>
      <c r="C52" s="4" t="s">
        <v>290</v>
      </c>
    </row>
    <row r="53" spans="1:3" hidden="1" x14ac:dyDescent="0.25">
      <c r="A53" s="4" t="s">
        <v>3</v>
      </c>
      <c r="B53" s="4" t="s">
        <v>64</v>
      </c>
      <c r="C53" s="4" t="s">
        <v>65</v>
      </c>
    </row>
    <row r="54" spans="1:3" hidden="1" x14ac:dyDescent="0.25">
      <c r="A54" s="4" t="s">
        <v>3</v>
      </c>
      <c r="B54" s="4" t="s">
        <v>180</v>
      </c>
      <c r="C54" s="4" t="s">
        <v>181</v>
      </c>
    </row>
    <row r="55" spans="1:3" hidden="1" x14ac:dyDescent="0.25">
      <c r="A55" s="4" t="s">
        <v>3</v>
      </c>
      <c r="B55" s="4" t="s">
        <v>230</v>
      </c>
      <c r="C55" s="4" t="s">
        <v>231</v>
      </c>
    </row>
    <row r="56" spans="1:3" hidden="1" x14ac:dyDescent="0.25">
      <c r="A56" s="4" t="s">
        <v>66</v>
      </c>
      <c r="B56" s="4" t="s">
        <v>232</v>
      </c>
      <c r="C56" s="4" t="s">
        <v>233</v>
      </c>
    </row>
    <row r="57" spans="1:3" hidden="1" x14ac:dyDescent="0.25">
      <c r="A57" s="4" t="s">
        <v>66</v>
      </c>
      <c r="B57" s="4" t="s">
        <v>234</v>
      </c>
      <c r="C57" s="4" t="s">
        <v>235</v>
      </c>
    </row>
    <row r="58" spans="1:3" hidden="1" x14ac:dyDescent="0.25">
      <c r="A58" s="4" t="s">
        <v>66</v>
      </c>
      <c r="B58" s="4" t="s">
        <v>67</v>
      </c>
      <c r="C58" s="4" t="s">
        <v>68</v>
      </c>
    </row>
    <row r="59" spans="1:3" hidden="1" x14ac:dyDescent="0.25">
      <c r="A59" s="4" t="s">
        <v>66</v>
      </c>
      <c r="B59" s="4" t="s">
        <v>236</v>
      </c>
      <c r="C59" s="4" t="s">
        <v>237</v>
      </c>
    </row>
    <row r="60" spans="1:3" hidden="1" x14ac:dyDescent="0.25">
      <c r="A60" s="4" t="s">
        <v>66</v>
      </c>
      <c r="B60" s="4" t="s">
        <v>238</v>
      </c>
      <c r="C60" s="4" t="s">
        <v>239</v>
      </c>
    </row>
    <row r="61" spans="1:3" hidden="1" x14ac:dyDescent="0.25">
      <c r="A61" s="4" t="s">
        <v>66</v>
      </c>
      <c r="B61" s="4" t="s">
        <v>182</v>
      </c>
      <c r="C61" s="4" t="s">
        <v>183</v>
      </c>
    </row>
    <row r="62" spans="1:3" hidden="1" x14ac:dyDescent="0.25">
      <c r="A62" s="4" t="s">
        <v>66</v>
      </c>
      <c r="B62" s="4" t="s">
        <v>69</v>
      </c>
      <c r="C62" s="4" t="s">
        <v>70</v>
      </c>
    </row>
    <row r="63" spans="1:3" hidden="1" x14ac:dyDescent="0.25">
      <c r="A63" s="4" t="s">
        <v>66</v>
      </c>
      <c r="B63" s="4" t="s">
        <v>240</v>
      </c>
      <c r="C63" s="4" t="s">
        <v>241</v>
      </c>
    </row>
    <row r="64" spans="1:3" hidden="1" x14ac:dyDescent="0.25">
      <c r="A64" s="4" t="s">
        <v>66</v>
      </c>
      <c r="B64" s="4" t="s">
        <v>242</v>
      </c>
      <c r="C64" s="4" t="s">
        <v>243</v>
      </c>
    </row>
    <row r="65" spans="1:3" hidden="1" x14ac:dyDescent="0.25">
      <c r="A65" s="4" t="s">
        <v>66</v>
      </c>
      <c r="B65" s="4" t="s">
        <v>71</v>
      </c>
      <c r="C65" s="4" t="s">
        <v>72</v>
      </c>
    </row>
    <row r="66" spans="1:3" hidden="1" x14ac:dyDescent="0.25">
      <c r="A66" s="4" t="s">
        <v>66</v>
      </c>
      <c r="B66" s="4" t="s">
        <v>73</v>
      </c>
      <c r="C66" s="4" t="s">
        <v>74</v>
      </c>
    </row>
    <row r="67" spans="1:3" hidden="1" x14ac:dyDescent="0.25">
      <c r="A67" s="4" t="s">
        <v>4</v>
      </c>
      <c r="B67" s="4" t="s">
        <v>75</v>
      </c>
      <c r="C67" s="4" t="s">
        <v>76</v>
      </c>
    </row>
    <row r="68" spans="1:3" hidden="1" x14ac:dyDescent="0.25">
      <c r="A68" s="4" t="s">
        <v>4</v>
      </c>
      <c r="B68" s="4" t="s">
        <v>77</v>
      </c>
      <c r="C68" s="4" t="s">
        <v>78</v>
      </c>
    </row>
    <row r="69" spans="1:3" hidden="1" x14ac:dyDescent="0.25">
      <c r="A69" s="4" t="s">
        <v>4</v>
      </c>
      <c r="B69" s="4" t="s">
        <v>79</v>
      </c>
      <c r="C69" s="4" t="s">
        <v>80</v>
      </c>
    </row>
    <row r="70" spans="1:3" hidden="1" x14ac:dyDescent="0.25">
      <c r="A70" s="4" t="s">
        <v>4</v>
      </c>
      <c r="B70" s="4" t="s">
        <v>136</v>
      </c>
      <c r="C70" s="4" t="s">
        <v>137</v>
      </c>
    </row>
    <row r="71" spans="1:3" hidden="1" x14ac:dyDescent="0.25">
      <c r="A71" s="4" t="s">
        <v>4</v>
      </c>
      <c r="B71" s="4" t="s">
        <v>81</v>
      </c>
      <c r="C71" s="4" t="s">
        <v>82</v>
      </c>
    </row>
    <row r="72" spans="1:3" hidden="1" x14ac:dyDescent="0.25">
      <c r="A72" s="4" t="s">
        <v>4</v>
      </c>
      <c r="B72" s="4" t="s">
        <v>83</v>
      </c>
      <c r="C72" s="4" t="s">
        <v>84</v>
      </c>
    </row>
    <row r="73" spans="1:3" hidden="1" x14ac:dyDescent="0.25">
      <c r="A73" s="4" t="s">
        <v>4</v>
      </c>
      <c r="B73" s="4" t="s">
        <v>5</v>
      </c>
      <c r="C73" s="4" t="s">
        <v>6</v>
      </c>
    </row>
    <row r="74" spans="1:3" hidden="1" x14ac:dyDescent="0.25">
      <c r="A74" s="4" t="s">
        <v>4</v>
      </c>
      <c r="B74" s="4" t="s">
        <v>127</v>
      </c>
      <c r="C74" s="4" t="s">
        <v>128</v>
      </c>
    </row>
    <row r="75" spans="1:3" hidden="1" x14ac:dyDescent="0.25">
      <c r="A75" s="4" t="s">
        <v>4</v>
      </c>
      <c r="B75" s="4" t="s">
        <v>85</v>
      </c>
      <c r="C75" s="4" t="s">
        <v>86</v>
      </c>
    </row>
    <row r="76" spans="1:3" hidden="1" x14ac:dyDescent="0.25">
      <c r="A76" s="4" t="s">
        <v>4</v>
      </c>
      <c r="B76" s="4" t="s">
        <v>184</v>
      </c>
      <c r="C76" s="4" t="s">
        <v>185</v>
      </c>
    </row>
    <row r="77" spans="1:3" hidden="1" x14ac:dyDescent="0.25">
      <c r="A77" s="4" t="s">
        <v>4</v>
      </c>
      <c r="B77" s="4" t="s">
        <v>186</v>
      </c>
      <c r="C77" s="4" t="s">
        <v>187</v>
      </c>
    </row>
    <row r="78" spans="1:3" hidden="1" x14ac:dyDescent="0.25">
      <c r="A78" s="4" t="s">
        <v>4</v>
      </c>
      <c r="B78" s="4" t="s">
        <v>190</v>
      </c>
      <c r="C78" s="4" t="s">
        <v>191</v>
      </c>
    </row>
    <row r="79" spans="1:3" hidden="1" x14ac:dyDescent="0.25">
      <c r="A79" s="4" t="s">
        <v>4</v>
      </c>
      <c r="B79" s="4" t="s">
        <v>192</v>
      </c>
      <c r="C79" s="4" t="s">
        <v>193</v>
      </c>
    </row>
    <row r="80" spans="1:3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4" hidden="1" x14ac:dyDescent="0.25">
      <c r="A129" s="4" t="s">
        <v>14</v>
      </c>
      <c r="B129" s="4" t="s">
        <v>15</v>
      </c>
      <c r="C129" s="4" t="s">
        <v>16</v>
      </c>
    </row>
    <row r="130" spans="1:4" hidden="1" x14ac:dyDescent="0.25">
      <c r="A130" s="4" t="s">
        <v>14</v>
      </c>
      <c r="B130" s="4" t="s">
        <v>17</v>
      </c>
      <c r="C130" s="4" t="s">
        <v>18</v>
      </c>
    </row>
    <row r="131" spans="1:4" hidden="1" x14ac:dyDescent="0.25">
      <c r="A131" s="4" t="s">
        <v>14</v>
      </c>
      <c r="B131" s="4" t="s">
        <v>201</v>
      </c>
      <c r="C131" s="4" t="s">
        <v>202</v>
      </c>
    </row>
    <row r="132" spans="1:4" hidden="1" x14ac:dyDescent="0.25">
      <c r="A132" s="4" t="s">
        <v>14</v>
      </c>
      <c r="B132" s="4" t="s">
        <v>203</v>
      </c>
      <c r="C132" s="4" t="s">
        <v>204</v>
      </c>
    </row>
    <row r="133" spans="1:4" hidden="1" x14ac:dyDescent="0.25">
      <c r="A133" s="4" t="s">
        <v>36</v>
      </c>
      <c r="B133" s="4" t="s">
        <v>37</v>
      </c>
      <c r="C133" s="4" t="s">
        <v>38</v>
      </c>
    </row>
    <row r="134" spans="1:4" hidden="1" x14ac:dyDescent="0.25">
      <c r="C134" s="7" t="s">
        <v>342</v>
      </c>
    </row>
    <row r="135" spans="1:4" x14ac:dyDescent="0.25">
      <c r="C135" s="7" t="s">
        <v>344</v>
      </c>
      <c r="D135" s="5" t="s">
        <v>346</v>
      </c>
    </row>
    <row r="136" spans="1:4" x14ac:dyDescent="0.25">
      <c r="D136" s="5" t="s">
        <v>347</v>
      </c>
    </row>
    <row r="137" spans="1:4" x14ac:dyDescent="0.25">
      <c r="D137" s="5" t="s">
        <v>348</v>
      </c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0241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4</xdr:col>
                <xdr:colOff>114300</xdr:colOff>
                <xdr:row>0</xdr:row>
                <xdr:rowOff>428625</xdr:rowOff>
              </to>
            </anchor>
          </controlPr>
        </control>
      </mc:Choice>
      <mc:Fallback>
        <control shapeId="10241" r:id="rId7" name="CommandButton1"/>
      </mc:Fallback>
    </mc:AlternateContent>
    <mc:AlternateContent xmlns:mc="http://schemas.openxmlformats.org/markup-compatibility/2006">
      <mc:Choice Requires="x14">
        <control shapeId="10242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0242" r:id="rId9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2" filterMode="1">
    <pageSetUpPr fitToPage="1"/>
  </sheetPr>
  <dimension ref="A1:AM135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x14ac:dyDescent="0.25">
      <c r="B1" s="7" t="s">
        <v>325</v>
      </c>
      <c r="F1" s="6" t="s">
        <v>339</v>
      </c>
      <c r="J1" s="6" t="s">
        <v>288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10">
        <v>2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hidden="1" customHeight="1" x14ac:dyDescent="0.25">
      <c r="A7" s="10" t="s">
        <v>52</v>
      </c>
      <c r="B7" s="10" t="s">
        <v>53</v>
      </c>
      <c r="C7" s="10" t="s">
        <v>54</v>
      </c>
      <c r="J7" s="6"/>
    </row>
    <row r="8" spans="1:15" ht="18" customHeight="1" x14ac:dyDescent="0.25">
      <c r="A8" s="10" t="s">
        <v>138</v>
      </c>
      <c r="B8" s="10" t="s">
        <v>160</v>
      </c>
      <c r="C8" s="10" t="s">
        <v>159</v>
      </c>
      <c r="D8" s="5">
        <v>70062.016000000003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customHeight="1" x14ac:dyDescent="0.25">
      <c r="A13" s="10" t="s">
        <v>268</v>
      </c>
      <c r="B13" s="10" t="s">
        <v>337</v>
      </c>
      <c r="C13" s="10" t="s">
        <v>338</v>
      </c>
      <c r="D13" s="5">
        <v>1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customHeight="1" x14ac:dyDescent="0.25">
      <c r="A19" s="10" t="s">
        <v>9</v>
      </c>
      <c r="B19" s="10" t="s">
        <v>155</v>
      </c>
      <c r="C19" s="10" t="s">
        <v>156</v>
      </c>
      <c r="D19" s="10">
        <v>2</v>
      </c>
      <c r="J19" s="6"/>
    </row>
    <row r="20" spans="1:10" ht="18" hidden="1" customHeight="1" x14ac:dyDescent="0.25">
      <c r="A20" s="10" t="s">
        <v>138</v>
      </c>
      <c r="B20" s="10" t="s">
        <v>149</v>
      </c>
      <c r="C20" s="10" t="s">
        <v>345</v>
      </c>
      <c r="J20" s="6"/>
    </row>
    <row r="21" spans="1:10" ht="18" hidden="1" customHeight="1" x14ac:dyDescent="0.25">
      <c r="A21" s="10" t="s">
        <v>9</v>
      </c>
      <c r="B21" s="10" t="s">
        <v>25</v>
      </c>
      <c r="C21" s="10" t="s">
        <v>304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10">
        <v>5</v>
      </c>
      <c r="J24" s="6"/>
    </row>
    <row r="25" spans="1:10" ht="18" hidden="1" customHeight="1" x14ac:dyDescent="0.25">
      <c r="A25" s="4" t="s">
        <v>138</v>
      </c>
      <c r="B25" s="4" t="s">
        <v>141</v>
      </c>
      <c r="C25" s="4" t="s">
        <v>142</v>
      </c>
      <c r="J25" s="6"/>
    </row>
    <row r="26" spans="1:10" ht="18" hidden="1" customHeight="1" x14ac:dyDescent="0.25">
      <c r="A26" s="4" t="s">
        <v>7</v>
      </c>
      <c r="B26" s="4" t="s">
        <v>8</v>
      </c>
      <c r="C26" s="4" t="s">
        <v>303</v>
      </c>
      <c r="J26" s="6"/>
    </row>
    <row r="27" spans="1:10" ht="18" hidden="1" customHeight="1" x14ac:dyDescent="0.25">
      <c r="A27" s="4" t="s">
        <v>7</v>
      </c>
      <c r="B27" s="4" t="s">
        <v>196</v>
      </c>
      <c r="C27" s="4" t="s">
        <v>302</v>
      </c>
      <c r="J27" s="6"/>
    </row>
    <row r="28" spans="1:10" hidden="1" x14ac:dyDescent="0.25">
      <c r="A28" s="4" t="s">
        <v>47</v>
      </c>
      <c r="B28" s="4" t="s">
        <v>205</v>
      </c>
      <c r="C28" s="4" t="s">
        <v>206</v>
      </c>
    </row>
    <row r="29" spans="1:10" hidden="1" x14ac:dyDescent="0.25">
      <c r="A29" s="4" t="s">
        <v>47</v>
      </c>
      <c r="B29" s="4" t="s">
        <v>207</v>
      </c>
      <c r="C29" s="4" t="s">
        <v>208</v>
      </c>
      <c r="J29" s="6"/>
    </row>
    <row r="30" spans="1:10" hidden="1" x14ac:dyDescent="0.25">
      <c r="A30" s="4" t="s">
        <v>47</v>
      </c>
      <c r="B30" s="4" t="s">
        <v>209</v>
      </c>
      <c r="C30" s="4" t="s">
        <v>210</v>
      </c>
    </row>
    <row r="31" spans="1:10" hidden="1" x14ac:dyDescent="0.25">
      <c r="A31" s="4" t="s">
        <v>47</v>
      </c>
      <c r="B31" s="4" t="s">
        <v>211</v>
      </c>
      <c r="C31" s="4" t="s">
        <v>212</v>
      </c>
    </row>
    <row r="32" spans="1:10" hidden="1" x14ac:dyDescent="0.25">
      <c r="A32" s="4" t="s">
        <v>47</v>
      </c>
      <c r="B32" s="4" t="s">
        <v>48</v>
      </c>
      <c r="C32" s="4" t="s">
        <v>49</v>
      </c>
    </row>
    <row r="33" spans="1:4" hidden="1" x14ac:dyDescent="0.25">
      <c r="A33" s="4" t="s">
        <v>47</v>
      </c>
      <c r="B33" s="4" t="s">
        <v>50</v>
      </c>
      <c r="C33" s="4" t="s">
        <v>51</v>
      </c>
    </row>
    <row r="34" spans="1:4" x14ac:dyDescent="0.25">
      <c r="A34" s="10" t="s">
        <v>52</v>
      </c>
      <c r="B34" s="10" t="s">
        <v>213</v>
      </c>
      <c r="C34" s="10" t="s">
        <v>214</v>
      </c>
      <c r="D34" s="10">
        <v>3</v>
      </c>
    </row>
    <row r="35" spans="1:4" hidden="1" x14ac:dyDescent="0.25">
      <c r="A35" s="4" t="s">
        <v>55</v>
      </c>
      <c r="B35" s="4" t="s">
        <v>56</v>
      </c>
      <c r="C35" s="4" t="s">
        <v>57</v>
      </c>
    </row>
    <row r="36" spans="1:4" hidden="1" x14ac:dyDescent="0.25">
      <c r="A36" s="4" t="s">
        <v>30</v>
      </c>
      <c r="B36" s="4" t="s">
        <v>58</v>
      </c>
      <c r="C36" s="4" t="s">
        <v>59</v>
      </c>
    </row>
    <row r="37" spans="1:4" hidden="1" x14ac:dyDescent="0.25">
      <c r="A37" s="4" t="s">
        <v>30</v>
      </c>
      <c r="B37" s="4" t="s">
        <v>60</v>
      </c>
      <c r="C37" s="4" t="s">
        <v>61</v>
      </c>
    </row>
    <row r="38" spans="1:4" hidden="1" x14ac:dyDescent="0.25">
      <c r="A38" s="4" t="s">
        <v>30</v>
      </c>
      <c r="B38" s="4" t="s">
        <v>62</v>
      </c>
      <c r="C38" s="4" t="s">
        <v>63</v>
      </c>
    </row>
    <row r="39" spans="1:4" hidden="1" x14ac:dyDescent="0.25">
      <c r="A39" s="4" t="s">
        <v>30</v>
      </c>
      <c r="B39" s="4" t="s">
        <v>31</v>
      </c>
      <c r="C39" s="4" t="s">
        <v>32</v>
      </c>
    </row>
    <row r="40" spans="1:4" hidden="1" x14ac:dyDescent="0.25">
      <c r="A40" s="4" t="s">
        <v>30</v>
      </c>
      <c r="B40" s="4" t="s">
        <v>39</v>
      </c>
      <c r="C40" s="4" t="s">
        <v>40</v>
      </c>
    </row>
    <row r="41" spans="1:4" hidden="1" x14ac:dyDescent="0.25">
      <c r="A41" s="4" t="s">
        <v>30</v>
      </c>
      <c r="B41" s="4" t="s">
        <v>217</v>
      </c>
      <c r="C41" s="4" t="s">
        <v>218</v>
      </c>
    </row>
    <row r="42" spans="1:4" hidden="1" x14ac:dyDescent="0.25">
      <c r="A42" s="4" t="s">
        <v>30</v>
      </c>
      <c r="B42" s="4" t="s">
        <v>219</v>
      </c>
      <c r="C42" s="4" t="s">
        <v>220</v>
      </c>
    </row>
    <row r="43" spans="1:4" hidden="1" x14ac:dyDescent="0.25">
      <c r="A43" s="4" t="s">
        <v>200</v>
      </c>
      <c r="B43" s="4" t="s">
        <v>221</v>
      </c>
      <c r="C43" s="4" t="s">
        <v>222</v>
      </c>
    </row>
    <row r="44" spans="1:4" hidden="1" x14ac:dyDescent="0.25">
      <c r="A44" s="4" t="s">
        <v>223</v>
      </c>
      <c r="B44" s="4" t="s">
        <v>224</v>
      </c>
      <c r="C44" s="4" t="s">
        <v>225</v>
      </c>
    </row>
    <row r="45" spans="1:4" hidden="1" x14ac:dyDescent="0.25">
      <c r="A45" s="4" t="s">
        <v>0</v>
      </c>
      <c r="B45" s="4" t="s">
        <v>134</v>
      </c>
      <c r="C45" s="4" t="s">
        <v>135</v>
      </c>
    </row>
    <row r="46" spans="1:4" hidden="1" x14ac:dyDescent="0.25">
      <c r="A46" s="4" t="s">
        <v>0</v>
      </c>
      <c r="B46" s="4" t="s">
        <v>1</v>
      </c>
      <c r="C46" s="4" t="s">
        <v>2</v>
      </c>
    </row>
    <row r="47" spans="1:4" hidden="1" x14ac:dyDescent="0.25">
      <c r="A47" s="4" t="s">
        <v>0</v>
      </c>
      <c r="B47" s="4" t="s">
        <v>174</v>
      </c>
      <c r="C47" s="4" t="s">
        <v>175</v>
      </c>
    </row>
    <row r="48" spans="1:4" hidden="1" x14ac:dyDescent="0.25">
      <c r="A48" s="4" t="s">
        <v>0</v>
      </c>
      <c r="B48" s="4" t="s">
        <v>176</v>
      </c>
      <c r="C48" s="4" t="s">
        <v>177</v>
      </c>
    </row>
    <row r="49" spans="1:3" hidden="1" x14ac:dyDescent="0.25">
      <c r="A49" s="4" t="s">
        <v>0</v>
      </c>
      <c r="B49" s="4" t="s">
        <v>226</v>
      </c>
      <c r="C49" s="4" t="s">
        <v>227</v>
      </c>
    </row>
    <row r="50" spans="1:3" hidden="1" x14ac:dyDescent="0.25">
      <c r="A50" s="4" t="s">
        <v>3</v>
      </c>
      <c r="B50" s="4" t="s">
        <v>228</v>
      </c>
      <c r="C50" s="4" t="s">
        <v>229</v>
      </c>
    </row>
    <row r="51" spans="1:3" hidden="1" x14ac:dyDescent="0.25">
      <c r="A51" s="4" t="s">
        <v>3</v>
      </c>
      <c r="B51" s="4" t="s">
        <v>178</v>
      </c>
      <c r="C51" s="4" t="s">
        <v>179</v>
      </c>
    </row>
    <row r="52" spans="1:3" hidden="1" x14ac:dyDescent="0.25">
      <c r="A52" s="4" t="s">
        <v>3</v>
      </c>
      <c r="B52" s="4" t="s">
        <v>289</v>
      </c>
      <c r="C52" s="4" t="s">
        <v>290</v>
      </c>
    </row>
    <row r="53" spans="1:3" hidden="1" x14ac:dyDescent="0.25">
      <c r="A53" s="4" t="s">
        <v>3</v>
      </c>
      <c r="B53" s="4" t="s">
        <v>64</v>
      </c>
      <c r="C53" s="4" t="s">
        <v>65</v>
      </c>
    </row>
    <row r="54" spans="1:3" hidden="1" x14ac:dyDescent="0.25">
      <c r="A54" s="4" t="s">
        <v>3</v>
      </c>
      <c r="B54" s="4" t="s">
        <v>180</v>
      </c>
      <c r="C54" s="4" t="s">
        <v>181</v>
      </c>
    </row>
    <row r="55" spans="1:3" hidden="1" x14ac:dyDescent="0.25">
      <c r="A55" s="4" t="s">
        <v>3</v>
      </c>
      <c r="B55" s="4" t="s">
        <v>230</v>
      </c>
      <c r="C55" s="4" t="s">
        <v>231</v>
      </c>
    </row>
    <row r="56" spans="1:3" hidden="1" x14ac:dyDescent="0.25">
      <c r="A56" s="4" t="s">
        <v>66</v>
      </c>
      <c r="B56" s="4" t="s">
        <v>232</v>
      </c>
      <c r="C56" s="4" t="s">
        <v>233</v>
      </c>
    </row>
    <row r="57" spans="1:3" hidden="1" x14ac:dyDescent="0.25">
      <c r="A57" s="4" t="s">
        <v>66</v>
      </c>
      <c r="B57" s="4" t="s">
        <v>234</v>
      </c>
      <c r="C57" s="4" t="s">
        <v>235</v>
      </c>
    </row>
    <row r="58" spans="1:3" hidden="1" x14ac:dyDescent="0.25">
      <c r="A58" s="4" t="s">
        <v>66</v>
      </c>
      <c r="B58" s="4" t="s">
        <v>67</v>
      </c>
      <c r="C58" s="4" t="s">
        <v>68</v>
      </c>
    </row>
    <row r="59" spans="1:3" hidden="1" x14ac:dyDescent="0.25">
      <c r="A59" s="4" t="s">
        <v>66</v>
      </c>
      <c r="B59" s="4" t="s">
        <v>236</v>
      </c>
      <c r="C59" s="4" t="s">
        <v>237</v>
      </c>
    </row>
    <row r="60" spans="1:3" hidden="1" x14ac:dyDescent="0.25">
      <c r="A60" s="4" t="s">
        <v>66</v>
      </c>
      <c r="B60" s="4" t="s">
        <v>238</v>
      </c>
      <c r="C60" s="4" t="s">
        <v>239</v>
      </c>
    </row>
    <row r="61" spans="1:3" hidden="1" x14ac:dyDescent="0.25">
      <c r="A61" s="4" t="s">
        <v>66</v>
      </c>
      <c r="B61" s="4" t="s">
        <v>182</v>
      </c>
      <c r="C61" s="4" t="s">
        <v>183</v>
      </c>
    </row>
    <row r="62" spans="1:3" hidden="1" x14ac:dyDescent="0.25">
      <c r="A62" s="4" t="s">
        <v>66</v>
      </c>
      <c r="B62" s="4" t="s">
        <v>69</v>
      </c>
      <c r="C62" s="4" t="s">
        <v>70</v>
      </c>
    </row>
    <row r="63" spans="1:3" hidden="1" x14ac:dyDescent="0.25">
      <c r="A63" s="4" t="s">
        <v>66</v>
      </c>
      <c r="B63" s="4" t="s">
        <v>240</v>
      </c>
      <c r="C63" s="4" t="s">
        <v>241</v>
      </c>
    </row>
    <row r="64" spans="1:3" hidden="1" x14ac:dyDescent="0.25">
      <c r="A64" s="4" t="s">
        <v>66</v>
      </c>
      <c r="B64" s="4" t="s">
        <v>242</v>
      </c>
      <c r="C64" s="4" t="s">
        <v>243</v>
      </c>
    </row>
    <row r="65" spans="1:5" hidden="1" x14ac:dyDescent="0.25">
      <c r="A65" s="4" t="s">
        <v>66</v>
      </c>
      <c r="B65" s="4" t="s">
        <v>71</v>
      </c>
      <c r="C65" s="4" t="s">
        <v>72</v>
      </c>
    </row>
    <row r="66" spans="1:5" hidden="1" x14ac:dyDescent="0.25">
      <c r="A66" s="4" t="s">
        <v>66</v>
      </c>
      <c r="B66" s="4" t="s">
        <v>73</v>
      </c>
      <c r="C66" s="4" t="s">
        <v>74</v>
      </c>
    </row>
    <row r="67" spans="1:5" hidden="1" x14ac:dyDescent="0.25">
      <c r="A67" s="4" t="s">
        <v>4</v>
      </c>
      <c r="B67" s="4" t="s">
        <v>75</v>
      </c>
      <c r="C67" s="4" t="s">
        <v>76</v>
      </c>
    </row>
    <row r="68" spans="1:5" hidden="1" x14ac:dyDescent="0.25">
      <c r="A68" s="4" t="s">
        <v>4</v>
      </c>
      <c r="B68" s="4" t="s">
        <v>77</v>
      </c>
      <c r="C68" s="4" t="s">
        <v>78</v>
      </c>
    </row>
    <row r="69" spans="1:5" hidden="1" x14ac:dyDescent="0.25">
      <c r="A69" s="4" t="s">
        <v>4</v>
      </c>
      <c r="B69" s="4" t="s">
        <v>79</v>
      </c>
      <c r="C69" s="4" t="s">
        <v>80</v>
      </c>
    </row>
    <row r="70" spans="1:5" hidden="1" x14ac:dyDescent="0.25">
      <c r="A70" s="4" t="s">
        <v>4</v>
      </c>
      <c r="B70" s="4" t="s">
        <v>136</v>
      </c>
      <c r="C70" s="4" t="s">
        <v>137</v>
      </c>
    </row>
    <row r="71" spans="1:5" hidden="1" x14ac:dyDescent="0.25">
      <c r="A71" s="4" t="s">
        <v>4</v>
      </c>
      <c r="B71" s="4" t="s">
        <v>81</v>
      </c>
      <c r="C71" s="4" t="s">
        <v>82</v>
      </c>
    </row>
    <row r="72" spans="1:5" hidden="1" x14ac:dyDescent="0.25">
      <c r="A72" s="4" t="s">
        <v>4</v>
      </c>
      <c r="B72" s="4" t="s">
        <v>83</v>
      </c>
      <c r="C72" s="4" t="s">
        <v>84</v>
      </c>
    </row>
    <row r="73" spans="1:5" hidden="1" x14ac:dyDescent="0.25">
      <c r="A73" s="4" t="s">
        <v>4</v>
      </c>
      <c r="B73" s="4" t="s">
        <v>5</v>
      </c>
      <c r="C73" s="4" t="s">
        <v>6</v>
      </c>
    </row>
    <row r="74" spans="1:5" hidden="1" x14ac:dyDescent="0.25">
      <c r="A74" s="4" t="s">
        <v>4</v>
      </c>
      <c r="B74" s="4" t="s">
        <v>127</v>
      </c>
      <c r="C74" s="4" t="s">
        <v>128</v>
      </c>
    </row>
    <row r="75" spans="1:5" x14ac:dyDescent="0.25">
      <c r="A75" s="10" t="s">
        <v>4</v>
      </c>
      <c r="B75" s="10" t="s">
        <v>85</v>
      </c>
      <c r="C75" s="10" t="s">
        <v>350</v>
      </c>
      <c r="D75" s="10">
        <v>6</v>
      </c>
      <c r="E75" s="10" t="s">
        <v>371</v>
      </c>
    </row>
    <row r="76" spans="1:5" hidden="1" x14ac:dyDescent="0.25">
      <c r="A76" s="4" t="s">
        <v>4</v>
      </c>
      <c r="B76" s="4" t="s">
        <v>184</v>
      </c>
      <c r="C76" s="4" t="s">
        <v>185</v>
      </c>
    </row>
    <row r="77" spans="1:5" hidden="1" x14ac:dyDescent="0.25">
      <c r="A77" s="4" t="s">
        <v>4</v>
      </c>
      <c r="B77" s="4" t="s">
        <v>186</v>
      </c>
      <c r="C77" s="4" t="s">
        <v>187</v>
      </c>
    </row>
    <row r="78" spans="1:5" hidden="1" x14ac:dyDescent="0.25">
      <c r="A78" s="4" t="s">
        <v>4</v>
      </c>
      <c r="B78" s="4" t="s">
        <v>190</v>
      </c>
      <c r="C78" s="4" t="s">
        <v>191</v>
      </c>
    </row>
    <row r="79" spans="1:5" hidden="1" x14ac:dyDescent="0.25">
      <c r="A79" s="4" t="s">
        <v>4</v>
      </c>
      <c r="B79" s="4" t="s">
        <v>192</v>
      </c>
      <c r="C79" s="4" t="s">
        <v>193</v>
      </c>
    </row>
    <row r="80" spans="1:5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39" hidden="1" x14ac:dyDescent="0.25">
      <c r="A129" s="4" t="s">
        <v>14</v>
      </c>
      <c r="B129" s="4" t="s">
        <v>15</v>
      </c>
      <c r="C129" s="4" t="s">
        <v>16</v>
      </c>
    </row>
    <row r="130" spans="1:39" hidden="1" x14ac:dyDescent="0.25">
      <c r="A130" s="4" t="s">
        <v>14</v>
      </c>
      <c r="B130" s="4" t="s">
        <v>17</v>
      </c>
      <c r="C130" s="4" t="s">
        <v>18</v>
      </c>
    </row>
    <row r="131" spans="1:39" hidden="1" x14ac:dyDescent="0.25">
      <c r="A131" s="4" t="s">
        <v>14</v>
      </c>
      <c r="B131" s="4" t="s">
        <v>201</v>
      </c>
      <c r="C131" s="4" t="s">
        <v>202</v>
      </c>
    </row>
    <row r="132" spans="1:39" hidden="1" x14ac:dyDescent="0.25">
      <c r="A132" s="4" t="s">
        <v>14</v>
      </c>
      <c r="B132" s="4" t="s">
        <v>203</v>
      </c>
      <c r="C132" s="4" t="s">
        <v>204</v>
      </c>
    </row>
    <row r="133" spans="1:39" hidden="1" x14ac:dyDescent="0.25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 x14ac:dyDescent="0.25">
      <c r="A134" s="4" t="s">
        <v>107</v>
      </c>
      <c r="B134" s="4" t="s">
        <v>252</v>
      </c>
      <c r="C134" s="4" t="s">
        <v>253</v>
      </c>
      <c r="AD134" s="3"/>
      <c r="AL134" s="3"/>
      <c r="AM134" s="3"/>
    </row>
    <row r="135" spans="1:39" x14ac:dyDescent="0.25">
      <c r="AD135" s="3"/>
      <c r="AL135" s="3"/>
      <c r="AM135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1266" r:id="rId7" name="CommandButton2">
          <controlPr autoLine="0" r:id="rId8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1266" r:id="rId7" name="CommandButton2"/>
      </mc:Fallback>
    </mc:AlternateContent>
    <mc:AlternateContent xmlns:mc="http://schemas.openxmlformats.org/markup-compatibility/2006">
      <mc:Choice Requires="x14">
        <control shapeId="11265" r:id="rId9" name="CommandButton1">
          <controlPr autoLine="0" r:id="rId10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11265" r:id="rId9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4" filterMode="1">
    <pageSetUpPr fitToPage="1"/>
  </sheetPr>
  <dimension ref="A1:AM135"/>
  <sheetViews>
    <sheetView topLeftCell="D1"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thickBot="1" x14ac:dyDescent="0.3">
      <c r="B1" s="7" t="s">
        <v>325</v>
      </c>
      <c r="C1" s="7" t="str">
        <f ca="1">MID(CELL("filename",A1),FIND("]",CELL("filename",A1))+1,256)</f>
        <v>rgo190006</v>
      </c>
      <c r="F1" s="6" t="s">
        <v>339</v>
      </c>
      <c r="J1" s="6" t="s">
        <v>288</v>
      </c>
      <c r="K1" s="15" t="s">
        <v>354</v>
      </c>
      <c r="L1" s="16"/>
      <c r="M1" s="16" t="s">
        <v>355</v>
      </c>
      <c r="N1" s="17"/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5">
        <v>1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1</v>
      </c>
      <c r="J7" s="6"/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D20" s="5">
        <v>1</v>
      </c>
      <c r="J20" s="6"/>
    </row>
    <row r="21" spans="1:10" ht="18" customHeight="1" x14ac:dyDescent="0.25">
      <c r="A21" s="10" t="s">
        <v>9</v>
      </c>
      <c r="B21" s="10" t="s">
        <v>25</v>
      </c>
      <c r="C21" s="10" t="s">
        <v>304</v>
      </c>
      <c r="D21" s="5" t="s">
        <v>373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2</v>
      </c>
      <c r="F24" s="10" t="s">
        <v>358</v>
      </c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4" t="s">
        <v>52</v>
      </c>
      <c r="B26" s="4" t="s">
        <v>213</v>
      </c>
      <c r="C26" s="4" t="s">
        <v>214</v>
      </c>
      <c r="J26" s="6"/>
    </row>
    <row r="27" spans="1:10" ht="18" hidden="1" customHeight="1" x14ac:dyDescent="0.25">
      <c r="A27" s="4" t="s">
        <v>138</v>
      </c>
      <c r="B27" s="4" t="s">
        <v>141</v>
      </c>
      <c r="C27" s="4" t="s">
        <v>142</v>
      </c>
      <c r="J27" s="6"/>
    </row>
    <row r="28" spans="1:10" ht="18" hidden="1" customHeight="1" x14ac:dyDescent="0.25">
      <c r="A28" s="4" t="s">
        <v>7</v>
      </c>
      <c r="B28" s="4" t="s">
        <v>8</v>
      </c>
      <c r="C28" s="4" t="s">
        <v>303</v>
      </c>
      <c r="J28" s="6"/>
    </row>
    <row r="29" spans="1:10" ht="18" hidden="1" customHeight="1" x14ac:dyDescent="0.25">
      <c r="A29" s="4" t="s">
        <v>7</v>
      </c>
      <c r="B29" s="4" t="s">
        <v>196</v>
      </c>
      <c r="C29" s="4" t="s">
        <v>302</v>
      </c>
      <c r="J29" s="6"/>
    </row>
    <row r="30" spans="1:10" hidden="1" x14ac:dyDescent="0.25">
      <c r="A30" s="4" t="s">
        <v>47</v>
      </c>
      <c r="B30" s="4" t="s">
        <v>205</v>
      </c>
      <c r="C30" s="4" t="s">
        <v>206</v>
      </c>
    </row>
    <row r="31" spans="1:10" hidden="1" x14ac:dyDescent="0.25">
      <c r="A31" s="4" t="s">
        <v>47</v>
      </c>
      <c r="B31" s="4" t="s">
        <v>207</v>
      </c>
      <c r="C31" s="4" t="s">
        <v>208</v>
      </c>
      <c r="J31" s="6"/>
    </row>
    <row r="32" spans="1:10" hidden="1" x14ac:dyDescent="0.25">
      <c r="A32" s="4" t="s">
        <v>47</v>
      </c>
      <c r="B32" s="4" t="s">
        <v>209</v>
      </c>
      <c r="C32" s="4" t="s">
        <v>210</v>
      </c>
    </row>
    <row r="33" spans="1:3" hidden="1" x14ac:dyDescent="0.25">
      <c r="A33" s="4" t="s">
        <v>47</v>
      </c>
      <c r="B33" s="4" t="s">
        <v>211</v>
      </c>
      <c r="C33" s="4" t="s">
        <v>212</v>
      </c>
    </row>
    <row r="34" spans="1:3" hidden="1" x14ac:dyDescent="0.25">
      <c r="A34" s="4" t="s">
        <v>47</v>
      </c>
      <c r="B34" s="4" t="s">
        <v>48</v>
      </c>
      <c r="C34" s="4" t="s">
        <v>49</v>
      </c>
    </row>
    <row r="35" spans="1:3" hidden="1" x14ac:dyDescent="0.25">
      <c r="A35" s="4" t="s">
        <v>47</v>
      </c>
      <c r="B35" s="4" t="s">
        <v>50</v>
      </c>
      <c r="C35" s="4" t="s">
        <v>51</v>
      </c>
    </row>
    <row r="36" spans="1:3" hidden="1" x14ac:dyDescent="0.25">
      <c r="A36" s="4" t="s">
        <v>55</v>
      </c>
      <c r="B36" s="4" t="s">
        <v>56</v>
      </c>
      <c r="C36" s="4" t="s">
        <v>57</v>
      </c>
    </row>
    <row r="37" spans="1:3" hidden="1" x14ac:dyDescent="0.25">
      <c r="A37" s="4" t="s">
        <v>30</v>
      </c>
      <c r="B37" s="4" t="s">
        <v>58</v>
      </c>
      <c r="C37" s="4" t="s">
        <v>59</v>
      </c>
    </row>
    <row r="38" spans="1:3" hidden="1" x14ac:dyDescent="0.25">
      <c r="A38" s="4" t="s">
        <v>30</v>
      </c>
      <c r="B38" s="4" t="s">
        <v>60</v>
      </c>
      <c r="C38" s="4" t="s">
        <v>61</v>
      </c>
    </row>
    <row r="39" spans="1:3" hidden="1" x14ac:dyDescent="0.25">
      <c r="A39" s="4" t="s">
        <v>30</v>
      </c>
      <c r="B39" s="4" t="s">
        <v>62</v>
      </c>
      <c r="C39" s="4" t="s">
        <v>63</v>
      </c>
    </row>
    <row r="40" spans="1:3" hidden="1" x14ac:dyDescent="0.25">
      <c r="A40" s="4" t="s">
        <v>30</v>
      </c>
      <c r="B40" s="4" t="s">
        <v>31</v>
      </c>
      <c r="C40" s="4" t="s">
        <v>32</v>
      </c>
    </row>
    <row r="41" spans="1:3" hidden="1" x14ac:dyDescent="0.25">
      <c r="A41" s="4" t="s">
        <v>30</v>
      </c>
      <c r="B41" s="4" t="s">
        <v>39</v>
      </c>
      <c r="C41" s="4" t="s">
        <v>40</v>
      </c>
    </row>
    <row r="42" spans="1:3" hidden="1" x14ac:dyDescent="0.25">
      <c r="A42" s="4" t="s">
        <v>30</v>
      </c>
      <c r="B42" s="4" t="s">
        <v>217</v>
      </c>
      <c r="C42" s="4" t="s">
        <v>218</v>
      </c>
    </row>
    <row r="43" spans="1:3" hidden="1" x14ac:dyDescent="0.25">
      <c r="A43" s="4" t="s">
        <v>30</v>
      </c>
      <c r="B43" s="4" t="s">
        <v>219</v>
      </c>
      <c r="C43" s="4" t="s">
        <v>220</v>
      </c>
    </row>
    <row r="44" spans="1:3" hidden="1" x14ac:dyDescent="0.25">
      <c r="A44" s="4" t="s">
        <v>200</v>
      </c>
      <c r="B44" s="4" t="s">
        <v>221</v>
      </c>
      <c r="C44" s="4" t="s">
        <v>222</v>
      </c>
    </row>
    <row r="45" spans="1:3" hidden="1" x14ac:dyDescent="0.25">
      <c r="A45" s="4" t="s">
        <v>223</v>
      </c>
      <c r="B45" s="4" t="s">
        <v>224</v>
      </c>
      <c r="C45" s="4" t="s">
        <v>225</v>
      </c>
    </row>
    <row r="46" spans="1:3" hidden="1" x14ac:dyDescent="0.25">
      <c r="A46" s="4" t="s">
        <v>0</v>
      </c>
      <c r="B46" s="4" t="s">
        <v>134</v>
      </c>
      <c r="C46" s="4" t="s">
        <v>135</v>
      </c>
    </row>
    <row r="47" spans="1:3" hidden="1" x14ac:dyDescent="0.25">
      <c r="A47" s="4" t="s">
        <v>0</v>
      </c>
      <c r="B47" s="4" t="s">
        <v>1</v>
      </c>
      <c r="C47" s="4" t="s">
        <v>2</v>
      </c>
    </row>
    <row r="48" spans="1:3" hidden="1" x14ac:dyDescent="0.25">
      <c r="A48" s="4" t="s">
        <v>0</v>
      </c>
      <c r="B48" s="4" t="s">
        <v>174</v>
      </c>
      <c r="C48" s="4" t="s">
        <v>175</v>
      </c>
    </row>
    <row r="49" spans="1:3" hidden="1" x14ac:dyDescent="0.25">
      <c r="A49" s="4" t="s">
        <v>0</v>
      </c>
      <c r="B49" s="4" t="s">
        <v>176</v>
      </c>
      <c r="C49" s="4" t="s">
        <v>177</v>
      </c>
    </row>
    <row r="50" spans="1:3" hidden="1" x14ac:dyDescent="0.25">
      <c r="A50" s="4" t="s">
        <v>0</v>
      </c>
      <c r="B50" s="4" t="s">
        <v>226</v>
      </c>
      <c r="C50" s="4" t="s">
        <v>227</v>
      </c>
    </row>
    <row r="51" spans="1:3" hidden="1" x14ac:dyDescent="0.25">
      <c r="A51" s="4" t="s">
        <v>3</v>
      </c>
      <c r="B51" s="4" t="s">
        <v>228</v>
      </c>
      <c r="C51" s="4" t="s">
        <v>229</v>
      </c>
    </row>
    <row r="52" spans="1:3" hidden="1" x14ac:dyDescent="0.25">
      <c r="A52" s="4" t="s">
        <v>3</v>
      </c>
      <c r="B52" s="4" t="s">
        <v>178</v>
      </c>
      <c r="C52" s="4" t="s">
        <v>179</v>
      </c>
    </row>
    <row r="53" spans="1:3" hidden="1" x14ac:dyDescent="0.25">
      <c r="A53" s="4" t="s">
        <v>3</v>
      </c>
      <c r="B53" s="4" t="s">
        <v>289</v>
      </c>
      <c r="C53" s="4" t="s">
        <v>290</v>
      </c>
    </row>
    <row r="54" spans="1:3" hidden="1" x14ac:dyDescent="0.25">
      <c r="A54" s="4" t="s">
        <v>3</v>
      </c>
      <c r="B54" s="4" t="s">
        <v>64</v>
      </c>
      <c r="C54" s="4" t="s">
        <v>65</v>
      </c>
    </row>
    <row r="55" spans="1:3" hidden="1" x14ac:dyDescent="0.25">
      <c r="A55" s="4" t="s">
        <v>3</v>
      </c>
      <c r="B55" s="4" t="s">
        <v>180</v>
      </c>
      <c r="C55" s="4" t="s">
        <v>181</v>
      </c>
    </row>
    <row r="56" spans="1:3" hidden="1" x14ac:dyDescent="0.25">
      <c r="A56" s="4" t="s">
        <v>3</v>
      </c>
      <c r="B56" s="4" t="s">
        <v>230</v>
      </c>
      <c r="C56" s="4" t="s">
        <v>231</v>
      </c>
    </row>
    <row r="57" spans="1:3" hidden="1" x14ac:dyDescent="0.25">
      <c r="A57" s="4" t="s">
        <v>66</v>
      </c>
      <c r="B57" s="4" t="s">
        <v>232</v>
      </c>
      <c r="C57" s="4" t="s">
        <v>233</v>
      </c>
    </row>
    <row r="58" spans="1:3" hidden="1" x14ac:dyDescent="0.25">
      <c r="A58" s="4" t="s">
        <v>66</v>
      </c>
      <c r="B58" s="4" t="s">
        <v>234</v>
      </c>
      <c r="C58" s="4" t="s">
        <v>235</v>
      </c>
    </row>
    <row r="59" spans="1:3" hidden="1" x14ac:dyDescent="0.25">
      <c r="A59" s="4" t="s">
        <v>66</v>
      </c>
      <c r="B59" s="4" t="s">
        <v>67</v>
      </c>
      <c r="C59" s="4" t="s">
        <v>68</v>
      </c>
    </row>
    <row r="60" spans="1:3" hidden="1" x14ac:dyDescent="0.25">
      <c r="A60" s="4" t="s">
        <v>66</v>
      </c>
      <c r="B60" s="4" t="s">
        <v>236</v>
      </c>
      <c r="C60" s="4" t="s">
        <v>237</v>
      </c>
    </row>
    <row r="61" spans="1:3" hidden="1" x14ac:dyDescent="0.25">
      <c r="A61" s="4" t="s">
        <v>66</v>
      </c>
      <c r="B61" s="4" t="s">
        <v>238</v>
      </c>
      <c r="C61" s="4" t="s">
        <v>239</v>
      </c>
    </row>
    <row r="62" spans="1:3" hidden="1" x14ac:dyDescent="0.25">
      <c r="A62" s="4" t="s">
        <v>66</v>
      </c>
      <c r="B62" s="4" t="s">
        <v>182</v>
      </c>
      <c r="C62" s="4" t="s">
        <v>183</v>
      </c>
    </row>
    <row r="63" spans="1:3" hidden="1" x14ac:dyDescent="0.25">
      <c r="A63" s="4" t="s">
        <v>66</v>
      </c>
      <c r="B63" s="4" t="s">
        <v>69</v>
      </c>
      <c r="C63" s="4" t="s">
        <v>70</v>
      </c>
    </row>
    <row r="64" spans="1:3" hidden="1" x14ac:dyDescent="0.25">
      <c r="A64" s="4" t="s">
        <v>66</v>
      </c>
      <c r="B64" s="4" t="s">
        <v>240</v>
      </c>
      <c r="C64" s="4" t="s">
        <v>241</v>
      </c>
    </row>
    <row r="65" spans="1:3" hidden="1" x14ac:dyDescent="0.25">
      <c r="A65" s="4" t="s">
        <v>66</v>
      </c>
      <c r="B65" s="4" t="s">
        <v>242</v>
      </c>
      <c r="C65" s="4" t="s">
        <v>243</v>
      </c>
    </row>
    <row r="66" spans="1:3" hidden="1" x14ac:dyDescent="0.25">
      <c r="A66" s="4" t="s">
        <v>66</v>
      </c>
      <c r="B66" s="4" t="s">
        <v>71</v>
      </c>
      <c r="C66" s="4" t="s">
        <v>72</v>
      </c>
    </row>
    <row r="67" spans="1:3" hidden="1" x14ac:dyDescent="0.25">
      <c r="A67" s="4" t="s">
        <v>66</v>
      </c>
      <c r="B67" s="4" t="s">
        <v>73</v>
      </c>
      <c r="C67" s="4" t="s">
        <v>74</v>
      </c>
    </row>
    <row r="68" spans="1:3" hidden="1" x14ac:dyDescent="0.25">
      <c r="A68" s="4" t="s">
        <v>4</v>
      </c>
      <c r="B68" s="4" t="s">
        <v>75</v>
      </c>
      <c r="C68" s="4" t="s">
        <v>76</v>
      </c>
    </row>
    <row r="69" spans="1:3" hidden="1" x14ac:dyDescent="0.25">
      <c r="A69" s="4" t="s">
        <v>4</v>
      </c>
      <c r="B69" s="4" t="s">
        <v>77</v>
      </c>
      <c r="C69" s="4" t="s">
        <v>78</v>
      </c>
    </row>
    <row r="70" spans="1:3" hidden="1" x14ac:dyDescent="0.25">
      <c r="A70" s="4" t="s">
        <v>4</v>
      </c>
      <c r="B70" s="4" t="s">
        <v>79</v>
      </c>
      <c r="C70" s="4" t="s">
        <v>80</v>
      </c>
    </row>
    <row r="71" spans="1:3" hidden="1" x14ac:dyDescent="0.25">
      <c r="A71" s="4" t="s">
        <v>4</v>
      </c>
      <c r="B71" s="4" t="s">
        <v>136</v>
      </c>
      <c r="C71" s="4" t="s">
        <v>137</v>
      </c>
    </row>
    <row r="72" spans="1:3" hidden="1" x14ac:dyDescent="0.25">
      <c r="A72" s="4" t="s">
        <v>4</v>
      </c>
      <c r="B72" s="4" t="s">
        <v>81</v>
      </c>
      <c r="C72" s="4" t="s">
        <v>82</v>
      </c>
    </row>
    <row r="73" spans="1:3" hidden="1" x14ac:dyDescent="0.25">
      <c r="A73" s="4" t="s">
        <v>4</v>
      </c>
      <c r="B73" s="4" t="s">
        <v>83</v>
      </c>
      <c r="C73" s="4" t="s">
        <v>84</v>
      </c>
    </row>
    <row r="74" spans="1:3" hidden="1" x14ac:dyDescent="0.25">
      <c r="A74" s="4" t="s">
        <v>4</v>
      </c>
      <c r="B74" s="4" t="s">
        <v>5</v>
      </c>
      <c r="C74" s="4" t="s">
        <v>6</v>
      </c>
    </row>
    <row r="75" spans="1:3" hidden="1" x14ac:dyDescent="0.25">
      <c r="A75" s="4" t="s">
        <v>4</v>
      </c>
      <c r="B75" s="4" t="s">
        <v>127</v>
      </c>
      <c r="C75" s="4" t="s">
        <v>128</v>
      </c>
    </row>
    <row r="76" spans="1:3" hidden="1" x14ac:dyDescent="0.25">
      <c r="A76" s="4" t="s">
        <v>4</v>
      </c>
      <c r="B76" s="4" t="s">
        <v>184</v>
      </c>
      <c r="C76" s="4" t="s">
        <v>185</v>
      </c>
    </row>
    <row r="77" spans="1:3" hidden="1" x14ac:dyDescent="0.25">
      <c r="A77" s="4" t="s">
        <v>4</v>
      </c>
      <c r="B77" s="4" t="s">
        <v>186</v>
      </c>
      <c r="C77" s="4" t="s">
        <v>187</v>
      </c>
    </row>
    <row r="78" spans="1:3" hidden="1" x14ac:dyDescent="0.25">
      <c r="A78" s="4" t="s">
        <v>4</v>
      </c>
      <c r="B78" s="4" t="s">
        <v>190</v>
      </c>
      <c r="C78" s="4" t="s">
        <v>191</v>
      </c>
    </row>
    <row r="79" spans="1:3" hidden="1" x14ac:dyDescent="0.25">
      <c r="A79" s="4" t="s">
        <v>4</v>
      </c>
      <c r="B79" s="4" t="s">
        <v>192</v>
      </c>
      <c r="C79" s="4" t="s">
        <v>193</v>
      </c>
    </row>
    <row r="80" spans="1:3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39" hidden="1" x14ac:dyDescent="0.25">
      <c r="A129" s="4" t="s">
        <v>14</v>
      </c>
      <c r="B129" s="4" t="s">
        <v>15</v>
      </c>
      <c r="C129" s="4" t="s">
        <v>16</v>
      </c>
    </row>
    <row r="130" spans="1:39" hidden="1" x14ac:dyDescent="0.25">
      <c r="A130" s="4" t="s">
        <v>14</v>
      </c>
      <c r="B130" s="4" t="s">
        <v>17</v>
      </c>
      <c r="C130" s="4" t="s">
        <v>18</v>
      </c>
    </row>
    <row r="131" spans="1:39" hidden="1" x14ac:dyDescent="0.25">
      <c r="A131" s="4" t="s">
        <v>14</v>
      </c>
      <c r="B131" s="4" t="s">
        <v>201</v>
      </c>
      <c r="C131" s="4" t="s">
        <v>202</v>
      </c>
    </row>
    <row r="132" spans="1:39" hidden="1" x14ac:dyDescent="0.25">
      <c r="A132" s="4" t="s">
        <v>14</v>
      </c>
      <c r="B132" s="4" t="s">
        <v>203</v>
      </c>
      <c r="C132" s="4" t="s">
        <v>204</v>
      </c>
    </row>
    <row r="133" spans="1:39" hidden="1" x14ac:dyDescent="0.25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 x14ac:dyDescent="0.25">
      <c r="A134" s="4" t="s">
        <v>107</v>
      </c>
      <c r="B134" s="4" t="s">
        <v>252</v>
      </c>
      <c r="C134" s="4" t="s">
        <v>253</v>
      </c>
      <c r="AD134" s="3"/>
      <c r="AL134" s="3"/>
      <c r="AM134" s="3"/>
    </row>
    <row r="135" spans="1:39" x14ac:dyDescent="0.25">
      <c r="A135" s="7" t="s">
        <v>30</v>
      </c>
      <c r="B135" s="7" t="s">
        <v>374</v>
      </c>
      <c r="D135" s="5" t="s">
        <v>375</v>
      </c>
      <c r="AD135" s="3"/>
      <c r="AL135" s="3"/>
      <c r="AM135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3313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13313" r:id="rId7" name="CommandButton1"/>
      </mc:Fallback>
    </mc:AlternateContent>
    <mc:AlternateContent xmlns:mc="http://schemas.openxmlformats.org/markup-compatibility/2006">
      <mc:Choice Requires="x14">
        <control shapeId="13314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3314" r:id="rId9" name="CommandButton2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 filterMode="1">
    <pageSetUpPr fitToPage="1"/>
  </sheetPr>
  <dimension ref="A1:AM136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thickBot="1" x14ac:dyDescent="0.3">
      <c r="B1" s="7" t="s">
        <v>325</v>
      </c>
      <c r="F1" s="6" t="s">
        <v>339</v>
      </c>
      <c r="J1" s="6" t="s">
        <v>288</v>
      </c>
      <c r="L1" s="15" t="s">
        <v>353</v>
      </c>
      <c r="M1" s="16">
        <v>1004</v>
      </c>
      <c r="N1" s="17">
        <v>1015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5">
        <v>2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2</v>
      </c>
      <c r="J7" s="6"/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D20" s="5">
        <v>2</v>
      </c>
      <c r="J20" s="6"/>
    </row>
    <row r="21" spans="1:10" ht="18" customHeight="1" x14ac:dyDescent="0.25">
      <c r="A21" s="10" t="s">
        <v>9</v>
      </c>
      <c r="B21" s="10" t="s">
        <v>25</v>
      </c>
      <c r="C21" s="10" t="s">
        <v>304</v>
      </c>
      <c r="D21" s="5" t="s">
        <v>372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customHeight="1" x14ac:dyDescent="0.25">
      <c r="A23" s="10" t="s">
        <v>129</v>
      </c>
      <c r="B23" s="10" t="s">
        <v>130</v>
      </c>
      <c r="C23" s="10" t="s">
        <v>131</v>
      </c>
      <c r="D23" s="5">
        <v>6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4</v>
      </c>
      <c r="F24" s="18"/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4" t="s">
        <v>52</v>
      </c>
      <c r="B26" s="4" t="s">
        <v>213</v>
      </c>
      <c r="C26" s="4" t="s">
        <v>214</v>
      </c>
      <c r="J26" s="6"/>
    </row>
    <row r="27" spans="1:10" ht="18" hidden="1" customHeight="1" x14ac:dyDescent="0.25">
      <c r="A27" s="4" t="s">
        <v>138</v>
      </c>
      <c r="B27" s="4" t="s">
        <v>141</v>
      </c>
      <c r="C27" s="4" t="s">
        <v>142</v>
      </c>
      <c r="J27" s="6"/>
    </row>
    <row r="28" spans="1:10" ht="18" hidden="1" customHeight="1" x14ac:dyDescent="0.25">
      <c r="A28" s="4" t="s">
        <v>7</v>
      </c>
      <c r="B28" s="4" t="s">
        <v>8</v>
      </c>
      <c r="C28" s="4" t="s">
        <v>303</v>
      </c>
      <c r="J28" s="6"/>
    </row>
    <row r="29" spans="1:10" ht="18" hidden="1" customHeight="1" x14ac:dyDescent="0.25">
      <c r="A29" s="4" t="s">
        <v>7</v>
      </c>
      <c r="B29" s="4" t="s">
        <v>196</v>
      </c>
      <c r="C29" s="4" t="s">
        <v>302</v>
      </c>
      <c r="J29" s="6"/>
    </row>
    <row r="30" spans="1:10" hidden="1" x14ac:dyDescent="0.25">
      <c r="A30" s="4" t="s">
        <v>47</v>
      </c>
      <c r="B30" s="4" t="s">
        <v>205</v>
      </c>
      <c r="C30" s="4" t="s">
        <v>206</v>
      </c>
    </row>
    <row r="31" spans="1:10" hidden="1" x14ac:dyDescent="0.25">
      <c r="A31" s="4" t="s">
        <v>47</v>
      </c>
      <c r="B31" s="4" t="s">
        <v>207</v>
      </c>
      <c r="C31" s="4" t="s">
        <v>208</v>
      </c>
      <c r="J31" s="6"/>
    </row>
    <row r="32" spans="1:10" hidden="1" x14ac:dyDescent="0.25">
      <c r="A32" s="4" t="s">
        <v>47</v>
      </c>
      <c r="B32" s="4" t="s">
        <v>209</v>
      </c>
      <c r="C32" s="4" t="s">
        <v>210</v>
      </c>
    </row>
    <row r="33" spans="1:3" hidden="1" x14ac:dyDescent="0.25">
      <c r="A33" s="4" t="s">
        <v>47</v>
      </c>
      <c r="B33" s="4" t="s">
        <v>211</v>
      </c>
      <c r="C33" s="4" t="s">
        <v>212</v>
      </c>
    </row>
    <row r="34" spans="1:3" hidden="1" x14ac:dyDescent="0.25">
      <c r="A34" s="4" t="s">
        <v>47</v>
      </c>
      <c r="B34" s="4" t="s">
        <v>48</v>
      </c>
      <c r="C34" s="4" t="s">
        <v>49</v>
      </c>
    </row>
    <row r="35" spans="1:3" hidden="1" x14ac:dyDescent="0.25">
      <c r="A35" s="4" t="s">
        <v>47</v>
      </c>
      <c r="B35" s="4" t="s">
        <v>50</v>
      </c>
      <c r="C35" s="4" t="s">
        <v>51</v>
      </c>
    </row>
    <row r="36" spans="1:3" hidden="1" x14ac:dyDescent="0.25">
      <c r="A36" s="4" t="s">
        <v>55</v>
      </c>
      <c r="B36" s="4" t="s">
        <v>56</v>
      </c>
      <c r="C36" s="4" t="s">
        <v>57</v>
      </c>
    </row>
    <row r="37" spans="1:3" hidden="1" x14ac:dyDescent="0.25">
      <c r="A37" s="4" t="s">
        <v>30</v>
      </c>
      <c r="B37" s="4" t="s">
        <v>58</v>
      </c>
      <c r="C37" s="4" t="s">
        <v>59</v>
      </c>
    </row>
    <row r="38" spans="1:3" hidden="1" x14ac:dyDescent="0.25">
      <c r="A38" s="4" t="s">
        <v>30</v>
      </c>
      <c r="B38" s="4" t="s">
        <v>60</v>
      </c>
      <c r="C38" s="4" t="s">
        <v>61</v>
      </c>
    </row>
    <row r="39" spans="1:3" hidden="1" x14ac:dyDescent="0.25">
      <c r="A39" s="4" t="s">
        <v>30</v>
      </c>
      <c r="B39" s="4" t="s">
        <v>62</v>
      </c>
      <c r="C39" s="4" t="s">
        <v>63</v>
      </c>
    </row>
    <row r="40" spans="1:3" hidden="1" x14ac:dyDescent="0.25">
      <c r="A40" s="4" t="s">
        <v>30</v>
      </c>
      <c r="B40" s="4" t="s">
        <v>31</v>
      </c>
      <c r="C40" s="4" t="s">
        <v>32</v>
      </c>
    </row>
    <row r="41" spans="1:3" hidden="1" x14ac:dyDescent="0.25">
      <c r="A41" s="4" t="s">
        <v>30</v>
      </c>
      <c r="B41" s="4" t="s">
        <v>39</v>
      </c>
      <c r="C41" s="4" t="s">
        <v>40</v>
      </c>
    </row>
    <row r="42" spans="1:3" hidden="1" x14ac:dyDescent="0.25">
      <c r="A42" s="4" t="s">
        <v>30</v>
      </c>
      <c r="B42" s="4" t="s">
        <v>217</v>
      </c>
      <c r="C42" s="4" t="s">
        <v>218</v>
      </c>
    </row>
    <row r="43" spans="1:3" hidden="1" x14ac:dyDescent="0.25">
      <c r="A43" s="4" t="s">
        <v>30</v>
      </c>
      <c r="B43" s="4" t="s">
        <v>219</v>
      </c>
      <c r="C43" s="4" t="s">
        <v>220</v>
      </c>
    </row>
    <row r="44" spans="1:3" hidden="1" x14ac:dyDescent="0.25">
      <c r="A44" s="4" t="s">
        <v>200</v>
      </c>
      <c r="B44" s="4" t="s">
        <v>221</v>
      </c>
      <c r="C44" s="4" t="s">
        <v>222</v>
      </c>
    </row>
    <row r="45" spans="1:3" hidden="1" x14ac:dyDescent="0.25">
      <c r="A45" s="4" t="s">
        <v>223</v>
      </c>
      <c r="B45" s="4" t="s">
        <v>224</v>
      </c>
      <c r="C45" s="4" t="s">
        <v>225</v>
      </c>
    </row>
    <row r="46" spans="1:3" hidden="1" x14ac:dyDescent="0.25">
      <c r="A46" s="4" t="s">
        <v>0</v>
      </c>
      <c r="B46" s="4" t="s">
        <v>134</v>
      </c>
      <c r="C46" s="4" t="s">
        <v>135</v>
      </c>
    </row>
    <row r="47" spans="1:3" hidden="1" x14ac:dyDescent="0.25">
      <c r="A47" s="4" t="s">
        <v>0</v>
      </c>
      <c r="B47" s="4" t="s">
        <v>1</v>
      </c>
      <c r="C47" s="4" t="s">
        <v>2</v>
      </c>
    </row>
    <row r="48" spans="1:3" hidden="1" x14ac:dyDescent="0.25">
      <c r="A48" s="4" t="s">
        <v>0</v>
      </c>
      <c r="B48" s="4" t="s">
        <v>174</v>
      </c>
      <c r="C48" s="4" t="s">
        <v>175</v>
      </c>
    </row>
    <row r="49" spans="1:3" hidden="1" x14ac:dyDescent="0.25">
      <c r="A49" s="4" t="s">
        <v>0</v>
      </c>
      <c r="B49" s="4" t="s">
        <v>176</v>
      </c>
      <c r="C49" s="4" t="s">
        <v>177</v>
      </c>
    </row>
    <row r="50" spans="1:3" hidden="1" x14ac:dyDescent="0.25">
      <c r="A50" s="4" t="s">
        <v>0</v>
      </c>
      <c r="B50" s="4" t="s">
        <v>226</v>
      </c>
      <c r="C50" s="4" t="s">
        <v>227</v>
      </c>
    </row>
    <row r="51" spans="1:3" hidden="1" x14ac:dyDescent="0.25">
      <c r="A51" s="4" t="s">
        <v>3</v>
      </c>
      <c r="B51" s="4" t="s">
        <v>228</v>
      </c>
      <c r="C51" s="4" t="s">
        <v>229</v>
      </c>
    </row>
    <row r="52" spans="1:3" hidden="1" x14ac:dyDescent="0.25">
      <c r="A52" s="4" t="s">
        <v>3</v>
      </c>
      <c r="B52" s="4" t="s">
        <v>178</v>
      </c>
      <c r="C52" s="4" t="s">
        <v>179</v>
      </c>
    </row>
    <row r="53" spans="1:3" hidden="1" x14ac:dyDescent="0.25">
      <c r="A53" s="4" t="s">
        <v>3</v>
      </c>
      <c r="B53" s="4" t="s">
        <v>289</v>
      </c>
      <c r="C53" s="4" t="s">
        <v>290</v>
      </c>
    </row>
    <row r="54" spans="1:3" hidden="1" x14ac:dyDescent="0.25">
      <c r="A54" s="4" t="s">
        <v>3</v>
      </c>
      <c r="B54" s="4" t="s">
        <v>64</v>
      </c>
      <c r="C54" s="4" t="s">
        <v>65</v>
      </c>
    </row>
    <row r="55" spans="1:3" hidden="1" x14ac:dyDescent="0.25">
      <c r="A55" s="4" t="s">
        <v>3</v>
      </c>
      <c r="B55" s="4" t="s">
        <v>180</v>
      </c>
      <c r="C55" s="4" t="s">
        <v>181</v>
      </c>
    </row>
    <row r="56" spans="1:3" hidden="1" x14ac:dyDescent="0.25">
      <c r="A56" s="4" t="s">
        <v>3</v>
      </c>
      <c r="B56" s="4" t="s">
        <v>230</v>
      </c>
      <c r="C56" s="4" t="s">
        <v>231</v>
      </c>
    </row>
    <row r="57" spans="1:3" hidden="1" x14ac:dyDescent="0.25">
      <c r="A57" s="4" t="s">
        <v>66</v>
      </c>
      <c r="B57" s="4" t="s">
        <v>232</v>
      </c>
      <c r="C57" s="4" t="s">
        <v>233</v>
      </c>
    </row>
    <row r="58" spans="1:3" hidden="1" x14ac:dyDescent="0.25">
      <c r="A58" s="4" t="s">
        <v>66</v>
      </c>
      <c r="B58" s="4" t="s">
        <v>234</v>
      </c>
      <c r="C58" s="4" t="s">
        <v>235</v>
      </c>
    </row>
    <row r="59" spans="1:3" hidden="1" x14ac:dyDescent="0.25">
      <c r="A59" s="4" t="s">
        <v>66</v>
      </c>
      <c r="B59" s="4" t="s">
        <v>67</v>
      </c>
      <c r="C59" s="4" t="s">
        <v>68</v>
      </c>
    </row>
    <row r="60" spans="1:3" hidden="1" x14ac:dyDescent="0.25">
      <c r="A60" s="4" t="s">
        <v>66</v>
      </c>
      <c r="B60" s="4" t="s">
        <v>236</v>
      </c>
      <c r="C60" s="4" t="s">
        <v>237</v>
      </c>
    </row>
    <row r="61" spans="1:3" hidden="1" x14ac:dyDescent="0.25">
      <c r="A61" s="4" t="s">
        <v>66</v>
      </c>
      <c r="B61" s="4" t="s">
        <v>238</v>
      </c>
      <c r="C61" s="4" t="s">
        <v>239</v>
      </c>
    </row>
    <row r="62" spans="1:3" hidden="1" x14ac:dyDescent="0.25">
      <c r="A62" s="4" t="s">
        <v>66</v>
      </c>
      <c r="B62" s="4" t="s">
        <v>182</v>
      </c>
      <c r="C62" s="4" t="s">
        <v>183</v>
      </c>
    </row>
    <row r="63" spans="1:3" hidden="1" x14ac:dyDescent="0.25">
      <c r="A63" s="4" t="s">
        <v>66</v>
      </c>
      <c r="B63" s="4" t="s">
        <v>69</v>
      </c>
      <c r="C63" s="4" t="s">
        <v>70</v>
      </c>
    </row>
    <row r="64" spans="1:3" hidden="1" x14ac:dyDescent="0.25">
      <c r="A64" s="4" t="s">
        <v>66</v>
      </c>
      <c r="B64" s="4" t="s">
        <v>240</v>
      </c>
      <c r="C64" s="4" t="s">
        <v>241</v>
      </c>
    </row>
    <row r="65" spans="1:3" hidden="1" x14ac:dyDescent="0.25">
      <c r="A65" s="4" t="s">
        <v>66</v>
      </c>
      <c r="B65" s="4" t="s">
        <v>242</v>
      </c>
      <c r="C65" s="4" t="s">
        <v>243</v>
      </c>
    </row>
    <row r="66" spans="1:3" hidden="1" x14ac:dyDescent="0.25">
      <c r="A66" s="4" t="s">
        <v>66</v>
      </c>
      <c r="B66" s="4" t="s">
        <v>71</v>
      </c>
      <c r="C66" s="4" t="s">
        <v>72</v>
      </c>
    </row>
    <row r="67" spans="1:3" hidden="1" x14ac:dyDescent="0.25">
      <c r="A67" s="4" t="s">
        <v>66</v>
      </c>
      <c r="B67" s="4" t="s">
        <v>73</v>
      </c>
      <c r="C67" s="4" t="s">
        <v>74</v>
      </c>
    </row>
    <row r="68" spans="1:3" hidden="1" x14ac:dyDescent="0.25">
      <c r="A68" s="4" t="s">
        <v>4</v>
      </c>
      <c r="B68" s="4" t="s">
        <v>75</v>
      </c>
      <c r="C68" s="4" t="s">
        <v>76</v>
      </c>
    </row>
    <row r="69" spans="1:3" hidden="1" x14ac:dyDescent="0.25">
      <c r="A69" s="4" t="s">
        <v>4</v>
      </c>
      <c r="B69" s="4" t="s">
        <v>77</v>
      </c>
      <c r="C69" s="4" t="s">
        <v>78</v>
      </c>
    </row>
    <row r="70" spans="1:3" hidden="1" x14ac:dyDescent="0.25">
      <c r="A70" s="4" t="s">
        <v>4</v>
      </c>
      <c r="B70" s="4" t="s">
        <v>79</v>
      </c>
      <c r="C70" s="4" t="s">
        <v>80</v>
      </c>
    </row>
    <row r="71" spans="1:3" hidden="1" x14ac:dyDescent="0.25">
      <c r="A71" s="4" t="s">
        <v>4</v>
      </c>
      <c r="B71" s="4" t="s">
        <v>136</v>
      </c>
      <c r="C71" s="4" t="s">
        <v>137</v>
      </c>
    </row>
    <row r="72" spans="1:3" hidden="1" x14ac:dyDescent="0.25">
      <c r="A72" s="4" t="s">
        <v>4</v>
      </c>
      <c r="B72" s="4" t="s">
        <v>81</v>
      </c>
      <c r="C72" s="4" t="s">
        <v>82</v>
      </c>
    </row>
    <row r="73" spans="1:3" hidden="1" x14ac:dyDescent="0.25">
      <c r="A73" s="4" t="s">
        <v>4</v>
      </c>
      <c r="B73" s="4" t="s">
        <v>83</v>
      </c>
      <c r="C73" s="4" t="s">
        <v>84</v>
      </c>
    </row>
    <row r="74" spans="1:3" hidden="1" x14ac:dyDescent="0.25">
      <c r="A74" s="4" t="s">
        <v>4</v>
      </c>
      <c r="B74" s="4" t="s">
        <v>5</v>
      </c>
      <c r="C74" s="4" t="s">
        <v>6</v>
      </c>
    </row>
    <row r="75" spans="1:3" hidden="1" x14ac:dyDescent="0.25">
      <c r="A75" s="4" t="s">
        <v>4</v>
      </c>
      <c r="B75" s="4" t="s">
        <v>127</v>
      </c>
      <c r="C75" s="4" t="s">
        <v>128</v>
      </c>
    </row>
    <row r="76" spans="1:3" hidden="1" x14ac:dyDescent="0.25">
      <c r="A76" s="4" t="s">
        <v>4</v>
      </c>
      <c r="B76" s="4" t="s">
        <v>184</v>
      </c>
      <c r="C76" s="4" t="s">
        <v>185</v>
      </c>
    </row>
    <row r="77" spans="1:3" hidden="1" x14ac:dyDescent="0.25">
      <c r="A77" s="4" t="s">
        <v>4</v>
      </c>
      <c r="B77" s="4" t="s">
        <v>186</v>
      </c>
      <c r="C77" s="4" t="s">
        <v>187</v>
      </c>
    </row>
    <row r="78" spans="1:3" hidden="1" x14ac:dyDescent="0.25">
      <c r="A78" s="4" t="s">
        <v>4</v>
      </c>
      <c r="B78" s="4" t="s">
        <v>190</v>
      </c>
      <c r="C78" s="4" t="s">
        <v>191</v>
      </c>
    </row>
    <row r="79" spans="1:3" hidden="1" x14ac:dyDescent="0.25">
      <c r="A79" s="4" t="s">
        <v>4</v>
      </c>
      <c r="B79" s="4" t="s">
        <v>192</v>
      </c>
      <c r="C79" s="4" t="s">
        <v>193</v>
      </c>
    </row>
    <row r="80" spans="1:3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39" hidden="1" x14ac:dyDescent="0.25">
      <c r="A129" s="4" t="s">
        <v>14</v>
      </c>
      <c r="B129" s="4" t="s">
        <v>15</v>
      </c>
      <c r="C129" s="4" t="s">
        <v>16</v>
      </c>
    </row>
    <row r="130" spans="1:39" hidden="1" x14ac:dyDescent="0.25">
      <c r="A130" s="4" t="s">
        <v>14</v>
      </c>
      <c r="B130" s="4" t="s">
        <v>17</v>
      </c>
      <c r="C130" s="4" t="s">
        <v>18</v>
      </c>
    </row>
    <row r="131" spans="1:39" hidden="1" x14ac:dyDescent="0.25">
      <c r="A131" s="4" t="s">
        <v>14</v>
      </c>
      <c r="B131" s="4" t="s">
        <v>201</v>
      </c>
      <c r="C131" s="4" t="s">
        <v>202</v>
      </c>
    </row>
    <row r="132" spans="1:39" hidden="1" x14ac:dyDescent="0.25">
      <c r="A132" s="4" t="s">
        <v>14</v>
      </c>
      <c r="B132" s="4" t="s">
        <v>203</v>
      </c>
      <c r="C132" s="4" t="s">
        <v>204</v>
      </c>
    </row>
    <row r="133" spans="1:39" hidden="1" x14ac:dyDescent="0.25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 x14ac:dyDescent="0.25">
      <c r="A134" s="4"/>
      <c r="B134" s="4"/>
      <c r="C134" s="4"/>
      <c r="AD134" s="3"/>
      <c r="AL134" s="3"/>
      <c r="AM134" s="3"/>
    </row>
    <row r="135" spans="1:39" x14ac:dyDescent="0.25">
      <c r="A135" s="7" t="s">
        <v>30</v>
      </c>
      <c r="B135" s="7" t="s">
        <v>374</v>
      </c>
      <c r="D135" s="5" t="s">
        <v>375</v>
      </c>
      <c r="AD135" s="3"/>
      <c r="AL135" s="3"/>
      <c r="AM135" s="3"/>
    </row>
    <row r="136" spans="1:39" x14ac:dyDescent="0.25">
      <c r="Q136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9" scale="47" orientation="landscape" r:id="rId4"/>
  <drawing r:id="rId5"/>
  <legacyDrawing r:id="rId6"/>
  <controls>
    <mc:AlternateContent xmlns:mc="http://schemas.openxmlformats.org/markup-compatibility/2006">
      <mc:Choice Requires="x14">
        <control shapeId="4097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4097" r:id="rId7" name="CommandButton1"/>
      </mc:Fallback>
    </mc:AlternateContent>
    <mc:AlternateContent xmlns:mc="http://schemas.openxmlformats.org/markup-compatibility/2006">
      <mc:Choice Requires="x14">
        <control shapeId="4098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4098" r:id="rId9" name="CommandButton2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5" filterMode="1">
    <pageSetUpPr fitToPage="1"/>
  </sheetPr>
  <dimension ref="A1:AM135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x14ac:dyDescent="0.25">
      <c r="B1" s="7" t="s">
        <v>325</v>
      </c>
      <c r="C1" s="7" t="str">
        <f>M1</f>
        <v>ep060069.007</v>
      </c>
      <c r="F1" s="6" t="s">
        <v>339</v>
      </c>
      <c r="J1" s="6" t="s">
        <v>288</v>
      </c>
      <c r="K1" t="s">
        <v>356</v>
      </c>
      <c r="L1" t="s">
        <v>357</v>
      </c>
      <c r="M1" t="s">
        <v>363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364</v>
      </c>
      <c r="D3" s="5">
        <v>1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1</v>
      </c>
      <c r="J7" s="6"/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D20" s="5">
        <v>1</v>
      </c>
      <c r="J20" s="6"/>
    </row>
    <row r="21" spans="1:10" ht="18" hidden="1" customHeight="1" x14ac:dyDescent="0.25">
      <c r="A21" s="10" t="s">
        <v>9</v>
      </c>
      <c r="B21" s="10" t="s">
        <v>25</v>
      </c>
      <c r="C21" s="10" t="s">
        <v>304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2</v>
      </c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4" t="s">
        <v>52</v>
      </c>
      <c r="B26" s="4" t="s">
        <v>213</v>
      </c>
      <c r="C26" s="4" t="s">
        <v>214</v>
      </c>
      <c r="J26" s="6"/>
    </row>
    <row r="27" spans="1:10" ht="18" hidden="1" customHeight="1" x14ac:dyDescent="0.25">
      <c r="A27" s="4" t="s">
        <v>138</v>
      </c>
      <c r="B27" s="4" t="s">
        <v>141</v>
      </c>
      <c r="C27" s="4" t="s">
        <v>142</v>
      </c>
      <c r="J27" s="6"/>
    </row>
    <row r="28" spans="1:10" ht="18" hidden="1" customHeight="1" x14ac:dyDescent="0.25">
      <c r="A28" s="4" t="s">
        <v>7</v>
      </c>
      <c r="B28" s="4" t="s">
        <v>8</v>
      </c>
      <c r="C28" s="4" t="s">
        <v>303</v>
      </c>
      <c r="J28" s="6"/>
    </row>
    <row r="29" spans="1:10" ht="18" hidden="1" customHeight="1" x14ac:dyDescent="0.25">
      <c r="A29" s="4" t="s">
        <v>7</v>
      </c>
      <c r="B29" s="4" t="s">
        <v>196</v>
      </c>
      <c r="C29" s="4" t="s">
        <v>302</v>
      </c>
      <c r="J29" s="6"/>
    </row>
    <row r="30" spans="1:10" hidden="1" x14ac:dyDescent="0.25">
      <c r="A30" s="4" t="s">
        <v>47</v>
      </c>
      <c r="B30" s="4" t="s">
        <v>205</v>
      </c>
      <c r="C30" s="4" t="s">
        <v>206</v>
      </c>
    </row>
    <row r="31" spans="1:10" hidden="1" x14ac:dyDescent="0.25">
      <c r="A31" s="4" t="s">
        <v>47</v>
      </c>
      <c r="B31" s="4" t="s">
        <v>207</v>
      </c>
      <c r="C31" s="4" t="s">
        <v>208</v>
      </c>
      <c r="J31" s="6"/>
    </row>
    <row r="32" spans="1:10" hidden="1" x14ac:dyDescent="0.25">
      <c r="A32" s="4" t="s">
        <v>47</v>
      </c>
      <c r="B32" s="4" t="s">
        <v>209</v>
      </c>
      <c r="C32" s="4" t="s">
        <v>210</v>
      </c>
    </row>
    <row r="33" spans="1:3" hidden="1" x14ac:dyDescent="0.25">
      <c r="A33" s="4" t="s">
        <v>47</v>
      </c>
      <c r="B33" s="4" t="s">
        <v>211</v>
      </c>
      <c r="C33" s="4" t="s">
        <v>212</v>
      </c>
    </row>
    <row r="34" spans="1:3" hidden="1" x14ac:dyDescent="0.25">
      <c r="A34" s="4" t="s">
        <v>47</v>
      </c>
      <c r="B34" s="4" t="s">
        <v>48</v>
      </c>
      <c r="C34" s="4" t="s">
        <v>49</v>
      </c>
    </row>
    <row r="35" spans="1:3" hidden="1" x14ac:dyDescent="0.25">
      <c r="A35" s="4" t="s">
        <v>47</v>
      </c>
      <c r="B35" s="4" t="s">
        <v>50</v>
      </c>
      <c r="C35" s="4" t="s">
        <v>51</v>
      </c>
    </row>
    <row r="36" spans="1:3" hidden="1" x14ac:dyDescent="0.25">
      <c r="A36" s="4" t="s">
        <v>55</v>
      </c>
      <c r="B36" s="4" t="s">
        <v>56</v>
      </c>
      <c r="C36" s="4" t="s">
        <v>57</v>
      </c>
    </row>
    <row r="37" spans="1:3" hidden="1" x14ac:dyDescent="0.25">
      <c r="A37" s="4" t="s">
        <v>30</v>
      </c>
      <c r="B37" s="4" t="s">
        <v>58</v>
      </c>
      <c r="C37" s="4" t="s">
        <v>59</v>
      </c>
    </row>
    <row r="38" spans="1:3" hidden="1" x14ac:dyDescent="0.25">
      <c r="A38" s="4" t="s">
        <v>30</v>
      </c>
      <c r="B38" s="4" t="s">
        <v>60</v>
      </c>
      <c r="C38" s="4" t="s">
        <v>61</v>
      </c>
    </row>
    <row r="39" spans="1:3" hidden="1" x14ac:dyDescent="0.25">
      <c r="A39" s="4" t="s">
        <v>30</v>
      </c>
      <c r="B39" s="4" t="s">
        <v>62</v>
      </c>
      <c r="C39" s="4" t="s">
        <v>63</v>
      </c>
    </row>
    <row r="40" spans="1:3" hidden="1" x14ac:dyDescent="0.25">
      <c r="A40" s="4" t="s">
        <v>30</v>
      </c>
      <c r="B40" s="4" t="s">
        <v>31</v>
      </c>
      <c r="C40" s="4" t="s">
        <v>32</v>
      </c>
    </row>
    <row r="41" spans="1:3" hidden="1" x14ac:dyDescent="0.25">
      <c r="A41" s="4" t="s">
        <v>30</v>
      </c>
      <c r="B41" s="4" t="s">
        <v>39</v>
      </c>
      <c r="C41" s="4" t="s">
        <v>40</v>
      </c>
    </row>
    <row r="42" spans="1:3" hidden="1" x14ac:dyDescent="0.25">
      <c r="A42" s="4" t="s">
        <v>30</v>
      </c>
      <c r="B42" s="4" t="s">
        <v>217</v>
      </c>
      <c r="C42" s="4" t="s">
        <v>218</v>
      </c>
    </row>
    <row r="43" spans="1:3" hidden="1" x14ac:dyDescent="0.25">
      <c r="A43" s="4" t="s">
        <v>30</v>
      </c>
      <c r="B43" s="4" t="s">
        <v>219</v>
      </c>
      <c r="C43" s="4" t="s">
        <v>220</v>
      </c>
    </row>
    <row r="44" spans="1:3" hidden="1" x14ac:dyDescent="0.25">
      <c r="A44" s="4" t="s">
        <v>200</v>
      </c>
      <c r="B44" s="4" t="s">
        <v>221</v>
      </c>
      <c r="C44" s="4" t="s">
        <v>222</v>
      </c>
    </row>
    <row r="45" spans="1:3" hidden="1" x14ac:dyDescent="0.25">
      <c r="A45" s="4" t="s">
        <v>223</v>
      </c>
      <c r="B45" s="4" t="s">
        <v>224</v>
      </c>
      <c r="C45" s="4" t="s">
        <v>225</v>
      </c>
    </row>
    <row r="46" spans="1:3" hidden="1" x14ac:dyDescent="0.25">
      <c r="A46" s="4" t="s">
        <v>0</v>
      </c>
      <c r="B46" s="4" t="s">
        <v>134</v>
      </c>
      <c r="C46" s="4" t="s">
        <v>135</v>
      </c>
    </row>
    <row r="47" spans="1:3" hidden="1" x14ac:dyDescent="0.25">
      <c r="A47" s="4" t="s">
        <v>0</v>
      </c>
      <c r="B47" s="4" t="s">
        <v>1</v>
      </c>
      <c r="C47" s="4" t="s">
        <v>2</v>
      </c>
    </row>
    <row r="48" spans="1:3" hidden="1" x14ac:dyDescent="0.25">
      <c r="A48" s="4" t="s">
        <v>0</v>
      </c>
      <c r="B48" s="4" t="s">
        <v>174</v>
      </c>
      <c r="C48" s="4" t="s">
        <v>175</v>
      </c>
    </row>
    <row r="49" spans="1:3" hidden="1" x14ac:dyDescent="0.25">
      <c r="A49" s="4" t="s">
        <v>0</v>
      </c>
      <c r="B49" s="4" t="s">
        <v>176</v>
      </c>
      <c r="C49" s="4" t="s">
        <v>177</v>
      </c>
    </row>
    <row r="50" spans="1:3" hidden="1" x14ac:dyDescent="0.25">
      <c r="A50" s="4" t="s">
        <v>0</v>
      </c>
      <c r="B50" s="4" t="s">
        <v>226</v>
      </c>
      <c r="C50" s="4" t="s">
        <v>227</v>
      </c>
    </row>
    <row r="51" spans="1:3" hidden="1" x14ac:dyDescent="0.25">
      <c r="A51" s="4" t="s">
        <v>3</v>
      </c>
      <c r="B51" s="4" t="s">
        <v>228</v>
      </c>
      <c r="C51" s="4" t="s">
        <v>229</v>
      </c>
    </row>
    <row r="52" spans="1:3" hidden="1" x14ac:dyDescent="0.25">
      <c r="A52" s="4" t="s">
        <v>3</v>
      </c>
      <c r="B52" s="4" t="s">
        <v>178</v>
      </c>
      <c r="C52" s="4" t="s">
        <v>179</v>
      </c>
    </row>
    <row r="53" spans="1:3" hidden="1" x14ac:dyDescent="0.25">
      <c r="A53" s="4" t="s">
        <v>3</v>
      </c>
      <c r="B53" s="4" t="s">
        <v>289</v>
      </c>
      <c r="C53" s="4" t="s">
        <v>290</v>
      </c>
    </row>
    <row r="54" spans="1:3" hidden="1" x14ac:dyDescent="0.25">
      <c r="A54" s="4" t="s">
        <v>3</v>
      </c>
      <c r="B54" s="4" t="s">
        <v>64</v>
      </c>
      <c r="C54" s="4" t="s">
        <v>65</v>
      </c>
    </row>
    <row r="55" spans="1:3" hidden="1" x14ac:dyDescent="0.25">
      <c r="A55" s="4" t="s">
        <v>3</v>
      </c>
      <c r="B55" s="4" t="s">
        <v>180</v>
      </c>
      <c r="C55" s="4" t="s">
        <v>181</v>
      </c>
    </row>
    <row r="56" spans="1:3" hidden="1" x14ac:dyDescent="0.25">
      <c r="A56" s="4" t="s">
        <v>3</v>
      </c>
      <c r="B56" s="4" t="s">
        <v>230</v>
      </c>
      <c r="C56" s="4" t="s">
        <v>231</v>
      </c>
    </row>
    <row r="57" spans="1:3" hidden="1" x14ac:dyDescent="0.25">
      <c r="A57" s="4" t="s">
        <v>66</v>
      </c>
      <c r="B57" s="4" t="s">
        <v>232</v>
      </c>
      <c r="C57" s="4" t="s">
        <v>233</v>
      </c>
    </row>
    <row r="58" spans="1:3" hidden="1" x14ac:dyDescent="0.25">
      <c r="A58" s="4" t="s">
        <v>66</v>
      </c>
      <c r="B58" s="4" t="s">
        <v>234</v>
      </c>
      <c r="C58" s="4" t="s">
        <v>235</v>
      </c>
    </row>
    <row r="59" spans="1:3" hidden="1" x14ac:dyDescent="0.25">
      <c r="A59" s="4" t="s">
        <v>66</v>
      </c>
      <c r="B59" s="4" t="s">
        <v>67</v>
      </c>
      <c r="C59" s="4" t="s">
        <v>68</v>
      </c>
    </row>
    <row r="60" spans="1:3" hidden="1" x14ac:dyDescent="0.25">
      <c r="A60" s="4" t="s">
        <v>66</v>
      </c>
      <c r="B60" s="4" t="s">
        <v>236</v>
      </c>
      <c r="C60" s="4" t="s">
        <v>237</v>
      </c>
    </row>
    <row r="61" spans="1:3" hidden="1" x14ac:dyDescent="0.25">
      <c r="A61" s="4" t="s">
        <v>66</v>
      </c>
      <c r="B61" s="4" t="s">
        <v>238</v>
      </c>
      <c r="C61" s="4" t="s">
        <v>239</v>
      </c>
    </row>
    <row r="62" spans="1:3" hidden="1" x14ac:dyDescent="0.25">
      <c r="A62" s="4" t="s">
        <v>66</v>
      </c>
      <c r="B62" s="4" t="s">
        <v>182</v>
      </c>
      <c r="C62" s="4" t="s">
        <v>183</v>
      </c>
    </row>
    <row r="63" spans="1:3" hidden="1" x14ac:dyDescent="0.25">
      <c r="A63" s="4" t="s">
        <v>66</v>
      </c>
      <c r="B63" s="4" t="s">
        <v>69</v>
      </c>
      <c r="C63" s="4" t="s">
        <v>70</v>
      </c>
    </row>
    <row r="64" spans="1:3" hidden="1" x14ac:dyDescent="0.25">
      <c r="A64" s="4" t="s">
        <v>66</v>
      </c>
      <c r="B64" s="4" t="s">
        <v>240</v>
      </c>
      <c r="C64" s="4" t="s">
        <v>241</v>
      </c>
    </row>
    <row r="65" spans="1:3" hidden="1" x14ac:dyDescent="0.25">
      <c r="A65" s="4" t="s">
        <v>66</v>
      </c>
      <c r="B65" s="4" t="s">
        <v>242</v>
      </c>
      <c r="C65" s="4" t="s">
        <v>243</v>
      </c>
    </row>
    <row r="66" spans="1:3" hidden="1" x14ac:dyDescent="0.25">
      <c r="A66" s="4" t="s">
        <v>66</v>
      </c>
      <c r="B66" s="4" t="s">
        <v>71</v>
      </c>
      <c r="C66" s="4" t="s">
        <v>72</v>
      </c>
    </row>
    <row r="67" spans="1:3" hidden="1" x14ac:dyDescent="0.25">
      <c r="A67" s="4" t="s">
        <v>66</v>
      </c>
      <c r="B67" s="4" t="s">
        <v>73</v>
      </c>
      <c r="C67" s="4" t="s">
        <v>74</v>
      </c>
    </row>
    <row r="68" spans="1:3" hidden="1" x14ac:dyDescent="0.25">
      <c r="A68" s="4" t="s">
        <v>4</v>
      </c>
      <c r="B68" s="4" t="s">
        <v>75</v>
      </c>
      <c r="C68" s="4" t="s">
        <v>76</v>
      </c>
    </row>
    <row r="69" spans="1:3" hidden="1" x14ac:dyDescent="0.25">
      <c r="A69" s="4" t="s">
        <v>4</v>
      </c>
      <c r="B69" s="4" t="s">
        <v>77</v>
      </c>
      <c r="C69" s="4" t="s">
        <v>78</v>
      </c>
    </row>
    <row r="70" spans="1:3" hidden="1" x14ac:dyDescent="0.25">
      <c r="A70" s="4" t="s">
        <v>4</v>
      </c>
      <c r="B70" s="4" t="s">
        <v>79</v>
      </c>
      <c r="C70" s="4" t="s">
        <v>80</v>
      </c>
    </row>
    <row r="71" spans="1:3" hidden="1" x14ac:dyDescent="0.25">
      <c r="A71" s="4" t="s">
        <v>4</v>
      </c>
      <c r="B71" s="4" t="s">
        <v>136</v>
      </c>
      <c r="C71" s="4" t="s">
        <v>137</v>
      </c>
    </row>
    <row r="72" spans="1:3" hidden="1" x14ac:dyDescent="0.25">
      <c r="A72" s="4" t="s">
        <v>4</v>
      </c>
      <c r="B72" s="4" t="s">
        <v>81</v>
      </c>
      <c r="C72" s="4" t="s">
        <v>82</v>
      </c>
    </row>
    <row r="73" spans="1:3" hidden="1" x14ac:dyDescent="0.25">
      <c r="A73" s="4" t="s">
        <v>4</v>
      </c>
      <c r="B73" s="4" t="s">
        <v>83</v>
      </c>
      <c r="C73" s="4" t="s">
        <v>84</v>
      </c>
    </row>
    <row r="74" spans="1:3" hidden="1" x14ac:dyDescent="0.25">
      <c r="A74" s="4" t="s">
        <v>4</v>
      </c>
      <c r="B74" s="4" t="s">
        <v>5</v>
      </c>
      <c r="C74" s="4" t="s">
        <v>6</v>
      </c>
    </row>
    <row r="75" spans="1:3" hidden="1" x14ac:dyDescent="0.25">
      <c r="A75" s="4" t="s">
        <v>4</v>
      </c>
      <c r="B75" s="4" t="s">
        <v>127</v>
      </c>
      <c r="C75" s="4" t="s">
        <v>128</v>
      </c>
    </row>
    <row r="76" spans="1:3" hidden="1" x14ac:dyDescent="0.25">
      <c r="A76" s="4" t="s">
        <v>4</v>
      </c>
      <c r="B76" s="4" t="s">
        <v>184</v>
      </c>
      <c r="C76" s="4" t="s">
        <v>185</v>
      </c>
    </row>
    <row r="77" spans="1:3" hidden="1" x14ac:dyDescent="0.25">
      <c r="A77" s="4" t="s">
        <v>4</v>
      </c>
      <c r="B77" s="4" t="s">
        <v>186</v>
      </c>
      <c r="C77" s="4" t="s">
        <v>187</v>
      </c>
    </row>
    <row r="78" spans="1:3" hidden="1" x14ac:dyDescent="0.25">
      <c r="A78" s="4" t="s">
        <v>4</v>
      </c>
      <c r="B78" s="4" t="s">
        <v>190</v>
      </c>
      <c r="C78" s="4" t="s">
        <v>191</v>
      </c>
    </row>
    <row r="79" spans="1:3" hidden="1" x14ac:dyDescent="0.25">
      <c r="A79" s="4" t="s">
        <v>4</v>
      </c>
      <c r="B79" s="4" t="s">
        <v>192</v>
      </c>
      <c r="C79" s="4" t="s">
        <v>193</v>
      </c>
    </row>
    <row r="80" spans="1:3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39" hidden="1" x14ac:dyDescent="0.25">
      <c r="A129" s="4" t="s">
        <v>14</v>
      </c>
      <c r="B129" s="4" t="s">
        <v>15</v>
      </c>
      <c r="C129" s="4" t="s">
        <v>16</v>
      </c>
    </row>
    <row r="130" spans="1:39" hidden="1" x14ac:dyDescent="0.25">
      <c r="A130" s="4" t="s">
        <v>14</v>
      </c>
      <c r="B130" s="4" t="s">
        <v>17</v>
      </c>
      <c r="C130" s="4" t="s">
        <v>18</v>
      </c>
    </row>
    <row r="131" spans="1:39" hidden="1" x14ac:dyDescent="0.25">
      <c r="A131" s="4" t="s">
        <v>14</v>
      </c>
      <c r="B131" s="4" t="s">
        <v>201</v>
      </c>
      <c r="C131" s="4" t="s">
        <v>202</v>
      </c>
    </row>
    <row r="132" spans="1:39" hidden="1" x14ac:dyDescent="0.25">
      <c r="A132" s="4" t="s">
        <v>14</v>
      </c>
      <c r="B132" s="4" t="s">
        <v>203</v>
      </c>
      <c r="C132" s="4" t="s">
        <v>204</v>
      </c>
    </row>
    <row r="133" spans="1:39" hidden="1" x14ac:dyDescent="0.25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 x14ac:dyDescent="0.25">
      <c r="A134" s="4" t="s">
        <v>107</v>
      </c>
      <c r="B134" s="4" t="s">
        <v>252</v>
      </c>
      <c r="C134" s="4" t="s">
        <v>253</v>
      </c>
      <c r="AD134" s="3"/>
      <c r="AL134" s="3"/>
      <c r="AM134" s="3"/>
    </row>
    <row r="135" spans="1:39" x14ac:dyDescent="0.25">
      <c r="AD135" s="3"/>
      <c r="AL135" s="3"/>
      <c r="AM135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4337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14337" r:id="rId7" name="CommandButton1"/>
      </mc:Fallback>
    </mc:AlternateContent>
    <mc:AlternateContent xmlns:mc="http://schemas.openxmlformats.org/markup-compatibility/2006">
      <mc:Choice Requires="x14">
        <control shapeId="14338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4338" r:id="rId9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18</vt:i4>
      </vt:variant>
    </vt:vector>
  </HeadingPairs>
  <TitlesOfParts>
    <vt:vector size="18" baseType="lpstr">
      <vt:lpstr>rgo190016</vt:lpstr>
      <vt:lpstr>rgo190015</vt:lpstr>
      <vt:lpstr>batch47</vt:lpstr>
      <vt:lpstr>batch46</vt:lpstr>
      <vt:lpstr>mst (template)save-as (6)</vt:lpstr>
      <vt:lpstr>rgo190011</vt:lpstr>
      <vt:lpstr>rgo190010</vt:lpstr>
      <vt:lpstr>RGO190009 a-s.be kris buyl.</vt:lpstr>
      <vt:lpstr>rgo180032</vt:lpstr>
      <vt:lpstr>batch43</vt:lpstr>
      <vt:lpstr>rgo190003</vt:lpstr>
      <vt:lpstr>rgo180008-batch3</vt:lpstr>
      <vt:lpstr>batch44</vt:lpstr>
      <vt:lpstr>RGO190005 batchv5</vt:lpstr>
      <vt:lpstr>batch45</vt:lpstr>
      <vt:lpstr>rgo190006</vt:lpstr>
      <vt:lpstr>rgo190007</vt:lpstr>
      <vt:lpstr>rgo190008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2019-05-20T09:57:56Z</cp:lastPrinted>
  <dcterms:created xsi:type="dcterms:W3CDTF">2018-12-18T07:43:50Z</dcterms:created>
  <dcterms:modified xsi:type="dcterms:W3CDTF">2019-05-20T15:04:33Z</dcterms:modified>
</cp:coreProperties>
</file>