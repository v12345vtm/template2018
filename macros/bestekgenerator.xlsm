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1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3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4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6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8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20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2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22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3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00" tabRatio="879"/>
  </bookViews>
  <sheets>
    <sheet name="rgo190030sabrina" sheetId="31" r:id="rId1"/>
    <sheet name="rde190006" sheetId="30" r:id="rId2"/>
    <sheet name="batch50" sheetId="29" r:id="rId3"/>
    <sheet name="rgo190021" sheetId="28" r:id="rId4"/>
    <sheet name="rgo190023" sheetId="27" r:id="rId5"/>
    <sheet name="batch49" sheetId="26" r:id="rId6"/>
    <sheet name="mst rijschoolkortrijk" sheetId="25" r:id="rId7"/>
    <sheet name="batch48" sheetId="24" r:id="rId8"/>
    <sheet name="rgo190016" sheetId="23" r:id="rId9"/>
    <sheet name="rgo190015" sheetId="22" r:id="rId10"/>
    <sheet name="batch47" sheetId="21" r:id="rId11"/>
    <sheet name="batch46" sheetId="20" r:id="rId12"/>
    <sheet name="mst (template)save-as (6)" sheetId="19" r:id="rId13"/>
    <sheet name="rgo190011" sheetId="17" r:id="rId14"/>
    <sheet name="rgo190010" sheetId="16" r:id="rId15"/>
    <sheet name="RGO190009 a-s.be kris buyl." sheetId="12" r:id="rId16"/>
    <sheet name="rgo180032" sheetId="3" r:id="rId17"/>
    <sheet name="batch43" sheetId="5" r:id="rId18"/>
    <sheet name="rgo190003" sheetId="6" r:id="rId19"/>
    <sheet name="rgo180008-batch3" sheetId="7" r:id="rId20"/>
    <sheet name="batch44" sheetId="8" r:id="rId21"/>
    <sheet name="RGO190005 batchv5" sheetId="10" r:id="rId22"/>
    <sheet name="batch45" sheetId="11" r:id="rId23"/>
    <sheet name="rgo190006" sheetId="13" r:id="rId24"/>
    <sheet name="rgo190007" sheetId="4" r:id="rId25"/>
    <sheet name="rgo190008" sheetId="14" r:id="rId26"/>
  </sheets>
  <functionGroups builtInGroupCount="18"/>
  <definedNames>
    <definedName name="_xlnm._FilterDatabase" localSheetId="20" hidden="1">batch44!$A$1:$D$134</definedName>
    <definedName name="_xlnm._FilterDatabase" localSheetId="22" hidden="1">batch45!$A$1:$D$134</definedName>
    <definedName name="_xlnm._FilterDatabase" localSheetId="11" hidden="1">batch46!$A$5:$M$164</definedName>
    <definedName name="_xlnm._FilterDatabase" localSheetId="10" hidden="1">batch47!$A$5:$M$164</definedName>
    <definedName name="_xlnm._FilterDatabase" localSheetId="7" hidden="1">batch48!$A$5:$M$164</definedName>
    <definedName name="_xlnm._FilterDatabase" localSheetId="5" hidden="1">batch49!$A$5:$M$164</definedName>
    <definedName name="_xlnm._FilterDatabase" localSheetId="2" hidden="1">batch50!$A$5:$M$164</definedName>
    <definedName name="_xlnm._FilterDatabase" localSheetId="12" hidden="1">'mst (template)save-as (6)'!$A$1:$D$1</definedName>
    <definedName name="_xlnm._FilterDatabase" localSheetId="6" hidden="1">'mst rijschoolkortrijk'!$A$5:$M$164</definedName>
    <definedName name="_xlnm._FilterDatabase" localSheetId="1" hidden="1">'rde190006'!$A$5:$M$166</definedName>
    <definedName name="_xlnm._FilterDatabase" localSheetId="19" hidden="1">'rgo180008-batch3'!$A$1:$D$135</definedName>
    <definedName name="_xlnm._FilterDatabase" localSheetId="18" hidden="1">'rgo190003'!$A$1:$D$131</definedName>
    <definedName name="_xlnm._FilterDatabase" localSheetId="21" hidden="1">'RGO190005 batchv5'!$A$1:$D$134</definedName>
    <definedName name="_xlnm._FilterDatabase" localSheetId="23" hidden="1">'rgo190006'!$A$1:$D$134</definedName>
    <definedName name="_xlnm._FilterDatabase" localSheetId="24" hidden="1">'rgo190007'!$A$1:$D$134</definedName>
    <definedName name="_xlnm._FilterDatabase" localSheetId="25" hidden="1">'rgo190008'!$A$1:$D$134</definedName>
    <definedName name="_xlnm._FilterDatabase" localSheetId="15" hidden="1">'RGO190009 a-s.be kris buyl.'!$A$1:$D$134</definedName>
    <definedName name="_xlnm._FilterDatabase" localSheetId="14" hidden="1">'rgo190010'!$A$1:$D$134</definedName>
    <definedName name="_xlnm._FilterDatabase" localSheetId="13" hidden="1">'rgo190011'!$A$5:$H$164</definedName>
    <definedName name="_xlnm._FilterDatabase" localSheetId="9" hidden="1">'rgo190015'!$A$5:$M$165</definedName>
    <definedName name="_xlnm._FilterDatabase" localSheetId="8" hidden="1">'rgo190016'!$A$5:$M$165</definedName>
    <definedName name="_xlnm._FilterDatabase" localSheetId="3" hidden="1">'rgo190021'!$A$5:$M$164</definedName>
    <definedName name="_xlnm._FilterDatabase" localSheetId="4" hidden="1">'rgo190023'!$A$5:$M$164</definedName>
    <definedName name="_xlnm._FilterDatabase" localSheetId="0" hidden="1">rgo190030sabrina!$A$5:$M$167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1" l="1"/>
  <c r="D167" i="31"/>
  <c r="D166" i="31"/>
  <c r="D165" i="31"/>
  <c r="D164" i="31"/>
  <c r="D163" i="31"/>
  <c r="D162" i="31"/>
  <c r="D161" i="31"/>
  <c r="D160" i="31"/>
  <c r="AQ159" i="31"/>
  <c r="T159" i="31"/>
  <c r="D159" i="31"/>
  <c r="D158" i="31"/>
  <c r="D157" i="31"/>
  <c r="D156" i="31"/>
  <c r="D155" i="31"/>
  <c r="D154" i="31"/>
  <c r="D153" i="31"/>
  <c r="D152" i="31"/>
  <c r="D151" i="31"/>
  <c r="D150" i="31"/>
  <c r="D149" i="31"/>
  <c r="D148" i="31"/>
  <c r="D147" i="31"/>
  <c r="D146" i="31"/>
  <c r="D145" i="31"/>
  <c r="D144" i="31"/>
  <c r="D143" i="31"/>
  <c r="D142" i="31"/>
  <c r="D141" i="31"/>
  <c r="D140" i="31"/>
  <c r="D139" i="31"/>
  <c r="D138" i="31"/>
  <c r="D137" i="31"/>
  <c r="D136" i="31"/>
  <c r="D135" i="31"/>
  <c r="D134" i="31"/>
  <c r="D133" i="31"/>
  <c r="D132" i="31"/>
  <c r="D131" i="31"/>
  <c r="D130" i="31"/>
  <c r="D129" i="31"/>
  <c r="D128" i="31"/>
  <c r="D127" i="31"/>
  <c r="D126" i="31"/>
  <c r="D125" i="31"/>
  <c r="D124" i="31"/>
  <c r="D123" i="31"/>
  <c r="D122" i="31"/>
  <c r="D121" i="31"/>
  <c r="D120" i="31"/>
  <c r="D119" i="31"/>
  <c r="D118" i="31"/>
  <c r="D117" i="31"/>
  <c r="D116" i="31"/>
  <c r="D115" i="31"/>
  <c r="D114" i="31"/>
  <c r="D113" i="31"/>
  <c r="D112" i="31"/>
  <c r="D111" i="31"/>
  <c r="D110" i="31"/>
  <c r="D109" i="31"/>
  <c r="D108" i="31"/>
  <c r="D107" i="31"/>
  <c r="D106" i="31"/>
  <c r="D105" i="31"/>
  <c r="D104" i="31"/>
  <c r="D103" i="31"/>
  <c r="D102" i="31"/>
  <c r="D101" i="31"/>
  <c r="D100" i="31"/>
  <c r="D99" i="31"/>
  <c r="D98" i="31"/>
  <c r="D97" i="31"/>
  <c r="D96" i="31"/>
  <c r="D95" i="31"/>
  <c r="D94" i="31"/>
  <c r="D93" i="31"/>
  <c r="D92" i="31"/>
  <c r="D91" i="31"/>
  <c r="D90" i="31"/>
  <c r="D89" i="31"/>
  <c r="D88" i="31"/>
  <c r="D87" i="31"/>
  <c r="D86" i="31"/>
  <c r="D85" i="31"/>
  <c r="D84" i="31"/>
  <c r="D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9" i="31"/>
  <c r="D8" i="31"/>
  <c r="D6" i="31"/>
  <c r="C5" i="31"/>
  <c r="D7" i="30" l="1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6" i="30"/>
  <c r="AQ158" i="30"/>
  <c r="T158" i="30"/>
  <c r="C5" i="30"/>
  <c r="D6" i="29" l="1"/>
  <c r="D12" i="29"/>
  <c r="D164" i="29" l="1"/>
  <c r="D163" i="29"/>
  <c r="D162" i="29"/>
  <c r="D161" i="29"/>
  <c r="D160" i="29"/>
  <c r="D159" i="29"/>
  <c r="D158" i="29"/>
  <c r="AQ157" i="29"/>
  <c r="T157" i="29"/>
  <c r="D157" i="29"/>
  <c r="D156" i="29"/>
  <c r="D155" i="29"/>
  <c r="D154" i="29"/>
  <c r="D153" i="29"/>
  <c r="D152" i="29"/>
  <c r="D151" i="29"/>
  <c r="D150" i="29"/>
  <c r="D149" i="29"/>
  <c r="D148" i="29"/>
  <c r="D147" i="29"/>
  <c r="D146" i="29"/>
  <c r="D145" i="29"/>
  <c r="D144" i="29"/>
  <c r="D143" i="29"/>
  <c r="D142" i="29"/>
  <c r="D141" i="29"/>
  <c r="D140" i="29"/>
  <c r="D139" i="29"/>
  <c r="D138" i="29"/>
  <c r="D137" i="29"/>
  <c r="D136" i="29"/>
  <c r="D135" i="29"/>
  <c r="D134" i="29"/>
  <c r="D133" i="29"/>
  <c r="D132" i="29"/>
  <c r="D131" i="29"/>
  <c r="D130" i="29"/>
  <c r="D129" i="29"/>
  <c r="D128" i="29"/>
  <c r="D127" i="29"/>
  <c r="D126" i="29"/>
  <c r="D125" i="29"/>
  <c r="D124" i="29"/>
  <c r="D123" i="29"/>
  <c r="D122" i="29"/>
  <c r="D121" i="29"/>
  <c r="D120" i="29"/>
  <c r="D119" i="29"/>
  <c r="D118" i="29"/>
  <c r="D117" i="29"/>
  <c r="D116" i="29"/>
  <c r="D115" i="29"/>
  <c r="D114" i="29"/>
  <c r="D113" i="29"/>
  <c r="D112" i="29"/>
  <c r="D111" i="29"/>
  <c r="D110" i="29"/>
  <c r="D109" i="29"/>
  <c r="D108" i="29"/>
  <c r="D107" i="29"/>
  <c r="D106" i="29"/>
  <c r="D105" i="29"/>
  <c r="D104" i="29"/>
  <c r="D103" i="29"/>
  <c r="D102" i="29"/>
  <c r="D101" i="29"/>
  <c r="D100" i="29"/>
  <c r="D99" i="29"/>
  <c r="D98" i="29"/>
  <c r="D97" i="29"/>
  <c r="D96" i="29"/>
  <c r="D95" i="29"/>
  <c r="D94" i="29"/>
  <c r="D93" i="29"/>
  <c r="D92" i="29"/>
  <c r="D91" i="29"/>
  <c r="D90" i="29"/>
  <c r="D89" i="29"/>
  <c r="D88" i="29"/>
  <c r="D87" i="29"/>
  <c r="D86" i="29"/>
  <c r="D85" i="29"/>
  <c r="D84" i="29"/>
  <c r="D83" i="29"/>
  <c r="D82" i="29"/>
  <c r="D81" i="29"/>
  <c r="D80" i="29"/>
  <c r="D79" i="29"/>
  <c r="D78" i="29"/>
  <c r="D77" i="29"/>
  <c r="D76" i="29"/>
  <c r="D75" i="29"/>
  <c r="D74" i="29"/>
  <c r="D73" i="29"/>
  <c r="D72" i="29"/>
  <c r="D71" i="29"/>
  <c r="D70" i="29"/>
  <c r="D69" i="29"/>
  <c r="D68" i="29"/>
  <c r="D67" i="29"/>
  <c r="D66" i="29"/>
  <c r="D65" i="29"/>
  <c r="D64" i="29"/>
  <c r="D63" i="29"/>
  <c r="D62" i="29"/>
  <c r="D61" i="29"/>
  <c r="D60" i="29"/>
  <c r="D59" i="29"/>
  <c r="D58" i="29"/>
  <c r="D57" i="29"/>
  <c r="D56" i="29"/>
  <c r="D55" i="29"/>
  <c r="D54" i="29"/>
  <c r="D53" i="29"/>
  <c r="D52" i="29"/>
  <c r="D51" i="29"/>
  <c r="D50" i="29"/>
  <c r="D49" i="29"/>
  <c r="D48" i="29"/>
  <c r="D47" i="29"/>
  <c r="D46" i="29"/>
  <c r="D45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1" i="29"/>
  <c r="D10" i="29"/>
  <c r="D9" i="29"/>
  <c r="D8" i="29"/>
  <c r="D7" i="29"/>
  <c r="C5" i="29"/>
  <c r="D7" i="28" l="1"/>
  <c r="D164" i="28"/>
  <c r="D163" i="28"/>
  <c r="D162" i="28"/>
  <c r="D161" i="28"/>
  <c r="D160" i="28"/>
  <c r="D159" i="28"/>
  <c r="D158" i="28"/>
  <c r="AQ157" i="28"/>
  <c r="T157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D133" i="28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D109" i="28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6" i="28"/>
  <c r="C5" i="28"/>
  <c r="D164" i="27" l="1"/>
  <c r="D163" i="27"/>
  <c r="D162" i="27"/>
  <c r="D161" i="27"/>
  <c r="D160" i="27"/>
  <c r="D159" i="27"/>
  <c r="D158" i="27"/>
  <c r="AQ157" i="27"/>
  <c r="T157" i="27"/>
  <c r="D157" i="27"/>
  <c r="D156" i="27"/>
  <c r="D155" i="27"/>
  <c r="D154" i="27"/>
  <c r="D153" i="27"/>
  <c r="D152" i="27"/>
  <c r="D151" i="27"/>
  <c r="D150" i="27"/>
  <c r="D149" i="27"/>
  <c r="D148" i="27"/>
  <c r="D147" i="27"/>
  <c r="D146" i="27"/>
  <c r="D145" i="27"/>
  <c r="D144" i="27"/>
  <c r="D143" i="27"/>
  <c r="D142" i="27"/>
  <c r="D141" i="27"/>
  <c r="D140" i="27"/>
  <c r="D139" i="27"/>
  <c r="D138" i="27"/>
  <c r="D137" i="27"/>
  <c r="D136" i="27"/>
  <c r="D135" i="27"/>
  <c r="D134" i="27"/>
  <c r="D133" i="27"/>
  <c r="D132" i="27"/>
  <c r="D131" i="27"/>
  <c r="D130" i="27"/>
  <c r="D129" i="27"/>
  <c r="D128" i="27"/>
  <c r="D127" i="27"/>
  <c r="D126" i="27"/>
  <c r="D125" i="27"/>
  <c r="D124" i="27"/>
  <c r="D123" i="27"/>
  <c r="D122" i="27"/>
  <c r="D121" i="27"/>
  <c r="D120" i="27"/>
  <c r="D119" i="27"/>
  <c r="D118" i="27"/>
  <c r="D117" i="27"/>
  <c r="D116" i="27"/>
  <c r="D115" i="27"/>
  <c r="D114" i="27"/>
  <c r="D113" i="27"/>
  <c r="D112" i="27"/>
  <c r="D111" i="27"/>
  <c r="D110" i="27"/>
  <c r="D109" i="27"/>
  <c r="D108" i="27"/>
  <c r="D107" i="27"/>
  <c r="D106" i="27"/>
  <c r="D105" i="27"/>
  <c r="D104" i="27"/>
  <c r="D103" i="27"/>
  <c r="D102" i="27"/>
  <c r="D101" i="27"/>
  <c r="D100" i="27"/>
  <c r="D99" i="27"/>
  <c r="D98" i="27"/>
  <c r="D97" i="27"/>
  <c r="D96" i="27"/>
  <c r="D95" i="27"/>
  <c r="D94" i="27"/>
  <c r="D93" i="27"/>
  <c r="D92" i="27"/>
  <c r="D91" i="27"/>
  <c r="D90" i="27"/>
  <c r="D89" i="27"/>
  <c r="D88" i="27"/>
  <c r="D87" i="27"/>
  <c r="D86" i="27"/>
  <c r="D85" i="27"/>
  <c r="D84" i="27"/>
  <c r="D83" i="27"/>
  <c r="D82" i="27"/>
  <c r="D81" i="27"/>
  <c r="D80" i="27"/>
  <c r="D79" i="27"/>
  <c r="D78" i="27"/>
  <c r="D77" i="27"/>
  <c r="D76" i="27"/>
  <c r="D75" i="27"/>
  <c r="D74" i="27"/>
  <c r="D73" i="27"/>
  <c r="D72" i="27"/>
  <c r="D71" i="27"/>
  <c r="D70" i="27"/>
  <c r="D69" i="27"/>
  <c r="D68" i="27"/>
  <c r="D67" i="27"/>
  <c r="D66" i="27"/>
  <c r="D65" i="27"/>
  <c r="D64" i="27"/>
  <c r="D63" i="27"/>
  <c r="D62" i="27"/>
  <c r="D61" i="27"/>
  <c r="D60" i="27"/>
  <c r="D59" i="27"/>
  <c r="D58" i="27"/>
  <c r="D57" i="27"/>
  <c r="D56" i="27"/>
  <c r="D55" i="27"/>
  <c r="D54" i="27"/>
  <c r="D53" i="27"/>
  <c r="D52" i="27"/>
  <c r="D51" i="27"/>
  <c r="D50" i="27"/>
  <c r="D49" i="27"/>
  <c r="D48" i="27"/>
  <c r="D47" i="27"/>
  <c r="D46" i="27"/>
  <c r="D45" i="27"/>
  <c r="D44" i="27"/>
  <c r="D43" i="27"/>
  <c r="D42" i="27"/>
  <c r="D41" i="27"/>
  <c r="D40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C5" i="27"/>
  <c r="D164" i="26" l="1"/>
  <c r="D163" i="26"/>
  <c r="D162" i="26"/>
  <c r="D161" i="26"/>
  <c r="D160" i="26"/>
  <c r="D159" i="26"/>
  <c r="D158" i="26"/>
  <c r="AQ157" i="26"/>
  <c r="T157" i="26"/>
  <c r="D157" i="26"/>
  <c r="D156" i="26"/>
  <c r="D155" i="26"/>
  <c r="D154" i="26"/>
  <c r="D153" i="26"/>
  <c r="D152" i="26"/>
  <c r="D151" i="26"/>
  <c r="D150" i="26"/>
  <c r="D149" i="26"/>
  <c r="D148" i="26"/>
  <c r="D147" i="26"/>
  <c r="D146" i="26"/>
  <c r="D145" i="26"/>
  <c r="D144" i="26"/>
  <c r="D143" i="26"/>
  <c r="D142" i="26"/>
  <c r="D141" i="26"/>
  <c r="D140" i="26"/>
  <c r="D139" i="26"/>
  <c r="D138" i="26"/>
  <c r="D137" i="26"/>
  <c r="D136" i="26"/>
  <c r="D135" i="26"/>
  <c r="D134" i="26"/>
  <c r="D133" i="26"/>
  <c r="D132" i="26"/>
  <c r="D131" i="26"/>
  <c r="D130" i="26"/>
  <c r="D129" i="26"/>
  <c r="D128" i="26"/>
  <c r="D127" i="26"/>
  <c r="D126" i="26"/>
  <c r="D125" i="26"/>
  <c r="D124" i="26"/>
  <c r="D123" i="26"/>
  <c r="D122" i="26"/>
  <c r="D121" i="26"/>
  <c r="D120" i="26"/>
  <c r="D119" i="26"/>
  <c r="D118" i="26"/>
  <c r="D117" i="26"/>
  <c r="D116" i="26"/>
  <c r="D115" i="26"/>
  <c r="D114" i="26"/>
  <c r="D113" i="26"/>
  <c r="D112" i="26"/>
  <c r="D111" i="26"/>
  <c r="D110" i="26"/>
  <c r="D109" i="26"/>
  <c r="D108" i="26"/>
  <c r="D107" i="26"/>
  <c r="D106" i="26"/>
  <c r="D105" i="26"/>
  <c r="D104" i="26"/>
  <c r="D103" i="26"/>
  <c r="D102" i="26"/>
  <c r="D101" i="26"/>
  <c r="D100" i="26"/>
  <c r="D99" i="26"/>
  <c r="D98" i="26"/>
  <c r="D97" i="26"/>
  <c r="D96" i="26"/>
  <c r="D95" i="26"/>
  <c r="D94" i="26"/>
  <c r="D93" i="26"/>
  <c r="D92" i="26"/>
  <c r="D91" i="26"/>
  <c r="D90" i="26"/>
  <c r="D89" i="26"/>
  <c r="D88" i="26"/>
  <c r="D87" i="26"/>
  <c r="D86" i="26"/>
  <c r="D85" i="26"/>
  <c r="D84" i="26"/>
  <c r="D83" i="26"/>
  <c r="D82" i="26"/>
  <c r="D81" i="26"/>
  <c r="D80" i="26"/>
  <c r="D79" i="26"/>
  <c r="D78" i="26"/>
  <c r="D77" i="26"/>
  <c r="D76" i="26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C5" i="26"/>
  <c r="D7" i="25" l="1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AQ157" i="25" l="1"/>
  <c r="T157" i="25"/>
  <c r="D6" i="25"/>
  <c r="C5" i="25"/>
  <c r="D164" i="24" l="1"/>
  <c r="D163" i="24"/>
  <c r="D162" i="24"/>
  <c r="D161" i="24"/>
  <c r="D160" i="24"/>
  <c r="D159" i="24"/>
  <c r="D158" i="24"/>
  <c r="AQ157" i="24"/>
  <c r="T157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C5" i="24"/>
  <c r="D167" i="22" l="1"/>
  <c r="D166" i="22" l="1"/>
  <c r="D165" i="23" l="1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AQ152" i="23"/>
  <c r="T152" i="23"/>
  <c r="D152" i="23"/>
  <c r="D151" i="23"/>
  <c r="D150" i="23"/>
  <c r="D149" i="23"/>
  <c r="D148" i="23"/>
  <c r="D147" i="23"/>
  <c r="AR146" i="23"/>
  <c r="D146" i="23"/>
  <c r="AR145" i="23"/>
  <c r="U145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AR21" i="23"/>
  <c r="U21" i="23"/>
  <c r="D21" i="23"/>
  <c r="D20" i="23"/>
  <c r="D19" i="23"/>
  <c r="D18" i="23"/>
  <c r="D17" i="23"/>
  <c r="D16" i="23"/>
  <c r="AR15" i="23"/>
  <c r="D15" i="23"/>
  <c r="AR14" i="23"/>
  <c r="U14" i="23"/>
  <c r="D14" i="23"/>
  <c r="D13" i="23"/>
  <c r="D12" i="23"/>
  <c r="D11" i="23"/>
  <c r="D10" i="23"/>
  <c r="D9" i="23"/>
  <c r="D8" i="23"/>
  <c r="D7" i="23"/>
  <c r="D6" i="23"/>
  <c r="C5" i="23"/>
  <c r="D8" i="22" l="1"/>
  <c r="D7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T152" i="22"/>
  <c r="AQ152" i="22"/>
  <c r="U21" i="22"/>
  <c r="AR21" i="22"/>
  <c r="D145" i="22"/>
  <c r="D144" i="22"/>
  <c r="U145" i="22"/>
  <c r="AR145" i="22"/>
  <c r="AR146" i="22"/>
  <c r="U14" i="22"/>
  <c r="AR14" i="22"/>
  <c r="AR15" i="22"/>
  <c r="T157" i="21" l="1"/>
  <c r="AQ157" i="21"/>
  <c r="C5" i="22" l="1"/>
  <c r="C5" i="21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6" i="22"/>
  <c r="D7" i="21" l="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6" i="21"/>
  <c r="D7" i="20" l="1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6" i="20"/>
  <c r="C5" i="20" l="1"/>
  <c r="C1" i="19"/>
  <c r="D31" i="17" l="1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6" i="17"/>
  <c r="C1" i="13" l="1"/>
  <c r="C5" i="17" l="1"/>
  <c r="C1" i="16"/>
  <c r="C1" i="14" l="1"/>
</calcChain>
</file>

<file path=xl/sharedStrings.xml><?xml version="1.0" encoding="utf-8"?>
<sst xmlns="http://schemas.openxmlformats.org/spreadsheetml/2006/main" count="12126" uniqueCount="609">
  <si>
    <t>DIVMA</t>
  </si>
  <si>
    <t>020536_00MST</t>
  </si>
  <si>
    <t>Venster LCD display MST Goca</t>
  </si>
  <si>
    <t>DNBOU</t>
  </si>
  <si>
    <t>DRFR</t>
  </si>
  <si>
    <t>030084_00MST</t>
  </si>
  <si>
    <t>Deksel behuizing speedoscope MST</t>
  </si>
  <si>
    <t>ELEM</t>
  </si>
  <si>
    <t>HAND-ELESA-M.443/140-8-CH</t>
  </si>
  <si>
    <t>HF</t>
  </si>
  <si>
    <t>020504_00MST</t>
  </si>
  <si>
    <t>Knop module ON/C MST Goca</t>
  </si>
  <si>
    <t>020505_00MST</t>
  </si>
  <si>
    <t>Knop module select MST Goca</t>
  </si>
  <si>
    <t>STICK</t>
  </si>
  <si>
    <t>050907_00MST</t>
  </si>
  <si>
    <t>Sticker speedoscope MST</t>
  </si>
  <si>
    <t>060050_00MST</t>
  </si>
  <si>
    <t>Sticker on/select speedoscope MST</t>
  </si>
  <si>
    <t>020558_00MST</t>
  </si>
  <si>
    <t>Externe kabelset module MST</t>
  </si>
  <si>
    <t>020637_00MST</t>
  </si>
  <si>
    <t>Koffer MST Goca</t>
  </si>
  <si>
    <t>030093_00MST</t>
  </si>
  <si>
    <t>Main unit speedoscope MST</t>
  </si>
  <si>
    <t>020511_00MST</t>
  </si>
  <si>
    <t>Transformator en laadkabel MST</t>
  </si>
  <si>
    <t>HFKAB</t>
  </si>
  <si>
    <t>020512_00MST</t>
  </si>
  <si>
    <t>Kabel remote fotocel mod 3 MST</t>
  </si>
  <si>
    <t>CONRO</t>
  </si>
  <si>
    <t>M12-04P-R-V</t>
  </si>
  <si>
    <t>Ronde connector M12 04P recht Vrl.</t>
  </si>
  <si>
    <t>KABAS</t>
  </si>
  <si>
    <t>NET-01,8-MV10A</t>
  </si>
  <si>
    <t>Net-kabel 01,8m M/V 10A</t>
  </si>
  <si>
    <t>VOED</t>
  </si>
  <si>
    <t>NET-230    V-024VDC-50W  -UK</t>
  </si>
  <si>
    <t>Netadaptor in : 230V uit : 024 VDC 50W -UK</t>
  </si>
  <si>
    <t>M12-05P-R-M</t>
  </si>
  <si>
    <t>Ronde connector M12 05P recht Mnl.</t>
  </si>
  <si>
    <t>KABFX</t>
  </si>
  <si>
    <t>05P-0,25-J06.7-SUPERFLEX</t>
  </si>
  <si>
    <t>Soepele kabel 05P sectie : 0,25 afgeschermd 6,7 mm -SUPERFLEX</t>
  </si>
  <si>
    <t>KOF</t>
  </si>
  <si>
    <t>075X045X020CM</t>
  </si>
  <si>
    <t>Koffer lichtgrau 750x450x200 mm</t>
  </si>
  <si>
    <t>AFBUS</t>
  </si>
  <si>
    <t>NY-D-03,0X06,0</t>
  </si>
  <si>
    <t>Afstandsbus nylon D 3 x 6 mm</t>
  </si>
  <si>
    <t>NY-D-03,2X02,1-AR</t>
  </si>
  <si>
    <t>Afstandsbus nylon D 3.2 x 2.1 mm - antiverliesring</t>
  </si>
  <si>
    <t>BAT</t>
  </si>
  <si>
    <t>NIM-07,20V-07,00Ah195X35X60-KORT</t>
  </si>
  <si>
    <t>Batterijpak NiMh 7,20V 9000mAh  Blok 195x35x60mm - kabel 15cm</t>
  </si>
  <si>
    <t>BEWKO</t>
  </si>
  <si>
    <t>020579_00MST</t>
  </si>
  <si>
    <t>Afdichtschroef gasvulling MST GOCA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</si>
  <si>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</si>
  <si>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</si>
  <si>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</si>
  <si>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</si>
  <si>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</si>
  <si>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</si>
  <si>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0912-M04X60-RVS</t>
  </si>
  <si>
    <t>Binnenzeskantbout cylinderkop DIN0912  M 4x60mm A2</t>
  </si>
  <si>
    <t>DNSCH</t>
  </si>
  <si>
    <t>0916-M05X12-RVS</t>
  </si>
  <si>
    <t>Stelschroef binnenzesk.kraterp DIN0916 M 5x 12mm A2</t>
  </si>
  <si>
    <t>0965-M04X10-RVS</t>
  </si>
  <si>
    <t>Metaalschroef verz.kop kruis DIN0965 M 4x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</si>
  <si>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</si>
  <si>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</si>
  <si>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</si>
  <si>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</si>
  <si>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</si>
  <si>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</si>
  <si>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</si>
  <si>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</si>
  <si>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</si>
  <si>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</si>
  <si>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030080_00MST</t>
  </si>
  <si>
    <t>Behuizing speedoscope MST</t>
  </si>
  <si>
    <t>030081_00MST</t>
  </si>
  <si>
    <t>Batterijdeksel speedoscope MST</t>
  </si>
  <si>
    <t>050910_00MST</t>
  </si>
  <si>
    <t>Steunvoet klein MST - RVS</t>
  </si>
  <si>
    <t>020497_00MST</t>
  </si>
  <si>
    <t>Fotocel module 1 MST Goca</t>
  </si>
  <si>
    <t>020498_00MST</t>
  </si>
  <si>
    <t>Fotocel module 2 MST Goca</t>
  </si>
  <si>
    <t>030098_00MST</t>
  </si>
  <si>
    <t>Dekselmodule speedoscope MST</t>
  </si>
  <si>
    <t>030099_00MST</t>
  </si>
  <si>
    <t>Houder venster fotocel speedoscope MST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</si>
  <si>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</si>
  <si>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</si>
  <si>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</si>
  <si>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</si>
  <si>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</si>
  <si>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</si>
  <si>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</si>
  <si>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</si>
  <si>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</si>
  <si>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</si>
  <si>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</si>
  <si>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</si>
  <si>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HFPRI</t>
  </si>
  <si>
    <t>020462_00MST/</t>
  </si>
  <si>
    <t>Power board MST Goca</t>
  </si>
  <si>
    <t>020494_00MST/</t>
  </si>
  <si>
    <t>Processor board MST Goca</t>
  </si>
  <si>
    <t>020495A00MST/</t>
  </si>
  <si>
    <t>LCD display MST Rev A</t>
  </si>
  <si>
    <t>KOEL</t>
  </si>
  <si>
    <t>TO220-MICA</t>
  </si>
  <si>
    <t>Mica TO220</t>
  </si>
  <si>
    <t>MONTB</t>
  </si>
  <si>
    <t>PLA-BORGRING-4.2X8X2.5</t>
  </si>
  <si>
    <t>Montage-toebehoren plastiek - borgring 4.2x8x2.5 mm</t>
  </si>
  <si>
    <t>ORING</t>
  </si>
  <si>
    <t>005,0X01,5-NBR70</t>
  </si>
  <si>
    <t>O-ring 5x 1.5 mm NBR70</t>
  </si>
  <si>
    <t>189,0X02,5-NBR70-G</t>
  </si>
  <si>
    <t>O-ring 189x 2.5 mm NBR70 - gelijmd</t>
  </si>
  <si>
    <t>510,0X02,5-NBR70-G</t>
  </si>
  <si>
    <t>O-ring 510x 2.5 mm NBR70 - gelijmd</t>
  </si>
  <si>
    <t>030087_00MST</t>
  </si>
  <si>
    <t>Steun reflector main speedoscope MST</t>
  </si>
  <si>
    <t>FOCEL</t>
  </si>
  <si>
    <t>IND- -PL30ASICK</t>
  </si>
  <si>
    <t>Industriële fotocel  reflector 58x28mm PL30A Sick</t>
  </si>
  <si>
    <t>030089A00MST</t>
  </si>
  <si>
    <t>Steunvoet refectorhouder MST</t>
  </si>
  <si>
    <t>020533_00MST</t>
  </si>
  <si>
    <t>Rubber groot MST</t>
  </si>
  <si>
    <t>020532B00MST</t>
  </si>
  <si>
    <t>Steunvoet refectorhouder MST !!! WIJZIGT 02/09/2015 !!!</t>
  </si>
  <si>
    <t>DRKKN</t>
  </si>
  <si>
    <t>EAO-CON-84-8510.0020</t>
  </si>
  <si>
    <t>Drukknop EAO contactblok mom. 1NO dia.22,5mm</t>
  </si>
  <si>
    <t>EAO-KAP-84-7111.400</t>
  </si>
  <si>
    <t>Lens EAO geel dia.22,5mm</t>
  </si>
  <si>
    <t>EAO-LIC-84-1101.0</t>
  </si>
  <si>
    <t>Drukknop EAO lichaam dia.22,5mm</t>
  </si>
  <si>
    <t>HEAD</t>
  </si>
  <si>
    <t>2.54-V-1-02P-R-KBL</t>
  </si>
  <si>
    <t>Header 2.54 Vrl. 1 rij 02P recht kabel</t>
  </si>
  <si>
    <t>Drukknop EAO contactblok mom. 1NO verlicht dia.22,5mm</t>
  </si>
  <si>
    <t>EAO-CON-84-8512.4620</t>
  </si>
  <si>
    <t>BESTEK</t>
  </si>
  <si>
    <t>aantal</t>
  </si>
  <si>
    <t>optie</t>
  </si>
  <si>
    <t xml:space="preserve">4hwerk per mst </t>
  </si>
  <si>
    <t>kabel herstellen en venster inlijmen incl</t>
  </si>
  <si>
    <t>150310_01MST</t>
  </si>
  <si>
    <t xml:space="preserve">refurbischkit </t>
  </si>
  <si>
    <t>Drukknop Apem piezo 16mm - Led groen/rood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</si>
  <si>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</si>
  <si>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</si>
  <si>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</si>
  <si>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</si>
  <si>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</si>
  <si>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Dekselmodule speedoscope MST2 (Piezo)</t>
  </si>
  <si>
    <t>070159A00MST</t>
  </si>
  <si>
    <t>Knop module ON/C MST2 (Piezo)</t>
  </si>
  <si>
    <t>070235A00MST</t>
  </si>
  <si>
    <t>Knop module Select MST (Piezo)</t>
  </si>
  <si>
    <t>070237A00MST</t>
  </si>
  <si>
    <t>COMP</t>
  </si>
  <si>
    <t>TBH -BLUETOOTH-ANTENNE</t>
  </si>
  <si>
    <t>Bluetooth antenne BT STUBBY ST SMA</t>
  </si>
  <si>
    <t>TBH -BLUETOOTHKABEL-15CM</t>
  </si>
  <si>
    <t>Bluetoothkabel 15 cm</t>
  </si>
  <si>
    <t>070211_00MST</t>
  </si>
  <si>
    <t>Venster display speedoscope MST2</t>
  </si>
  <si>
    <t>070212A00MST</t>
  </si>
  <si>
    <t>Afdichtrubber inkijkvenster speedoscope MST2</t>
  </si>
  <si>
    <t>0912-M03X08-RVS</t>
  </si>
  <si>
    <t>Binnenzeskantbout cylinderkop DIN0912  M 3x08mm A2</t>
  </si>
  <si>
    <t>7991-M08X10-RVS</t>
  </si>
  <si>
    <t>Binnenzeskantbout met verz.kop DIN7991  M 8x10mm A2</t>
  </si>
  <si>
    <t>0965-M03X08-RVS</t>
  </si>
  <si>
    <t>Metaalschroef verz.kop kruis DIN0965 M 3x 08mm A2</t>
  </si>
  <si>
    <t>070174_00MST</t>
  </si>
  <si>
    <t>Deksel behuizing speedoscope MST2 (DSA)</t>
  </si>
  <si>
    <t>070213_00MST</t>
  </si>
  <si>
    <t>Kader display speedoscope MST2</t>
  </si>
  <si>
    <t>070214_00MST</t>
  </si>
  <si>
    <t>Staaf handvat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</si>
  <si>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</si>
  <si>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</si>
  <si>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</si>
  <si>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</si>
  <si>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</si>
  <si>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</si>
  <si>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HAND-NYLON-KORT</t>
  </si>
  <si>
    <t>Handvat zwart</t>
  </si>
  <si>
    <t>015,0X01,5-NBR70</t>
  </si>
  <si>
    <t>O-ring 15x 1.5 mm NBR70</t>
  </si>
  <si>
    <t>DICHT</t>
  </si>
  <si>
    <t>070238_00MST</t>
  </si>
  <si>
    <t>Sticker speedoscope MST2</t>
  </si>
  <si>
    <t>070239_00MST</t>
  </si>
  <si>
    <t>Sticker ON/SELECT speedoscope MST2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</si>
  <si>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</si>
  <si>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</si>
  <si>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</si>
  <si>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</si>
  <si>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</si>
  <si>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</si>
  <si>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</si>
  <si>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</si>
  <si>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NIM-01,20V-02,00Ah-AA-ENELOOP</t>
  </si>
  <si>
    <t>Batterijpak NiMh 01,20V 02,00Ah   -AA - Eneloop</t>
  </si>
  <si>
    <t>BOAR-BLUETOOTH</t>
  </si>
  <si>
    <t>Board Bluetooth module Ezurio</t>
  </si>
  <si>
    <t>MET-03P-C-V-LEMO</t>
  </si>
  <si>
    <t>Ronde connector metaal 03P chassis Vrl. -LEMO</t>
  </si>
  <si>
    <t>PLA-03P- - AFDEKKAPJE-LEMO</t>
  </si>
  <si>
    <t>Afdekkapje Lemo 3P</t>
  </si>
  <si>
    <t>DPR-SR-NEOPRENE</t>
  </si>
  <si>
    <t>Sponsrubberprofiel Neoprene</t>
  </si>
  <si>
    <t>DIVKO</t>
  </si>
  <si>
    <t>OMHANGKOORD</t>
  </si>
  <si>
    <t>LanyardSafety omhangkoord donkerblauw</t>
  </si>
  <si>
    <t>080045_00MST</t>
  </si>
  <si>
    <t>Afdichtrubber SD-card opening BRC</t>
  </si>
  <si>
    <t>0912-M02X06-RVS</t>
  </si>
  <si>
    <t>Binnenzeskantbout cylinderkop DIN0912  M 2x06mm A2</t>
  </si>
  <si>
    <t>9999-M02X06-RVS</t>
  </si>
  <si>
    <t>Laagbolkopschroef met flens M2x6 RVS</t>
  </si>
  <si>
    <t>0084-M02X08-RVS</t>
  </si>
  <si>
    <t>Metaalschroef cylinderkop DIN0084 M 2x 08mm A2</t>
  </si>
  <si>
    <t>0916-M02X16-RVS-2.5</t>
  </si>
  <si>
    <t>Stelschroef binnenzesk.kraterp DIN0916 M 2.5 x 16mm A2</t>
  </si>
  <si>
    <t>0963-M02X12-RVS</t>
  </si>
  <si>
    <t>Metaalschroef verzonken kop DIN0963 M 2x 12mm A2</t>
  </si>
  <si>
    <t>0965-M02X10-RVS-2.5</t>
  </si>
  <si>
    <t>Metaalschroef verz.kop kruis DIN0965 M 2.5 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</si>
  <si>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</si>
  <si>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</si>
  <si>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</si>
  <si>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</si>
  <si>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080043_00MST</t>
  </si>
  <si>
    <t>Steun SD-card opening BRC</t>
  </si>
  <si>
    <t>080044_00MST</t>
  </si>
  <si>
    <t>Deksel SD-card opening BRC</t>
  </si>
  <si>
    <t>080051_00MST</t>
  </si>
  <si>
    <t>Voedingsadapter BRC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</si>
  <si>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</si>
  <si>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</si>
  <si>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</si>
  <si>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</si>
  <si>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</si>
  <si>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</si>
  <si>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</si>
  <si>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</si>
  <si>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KABFL</t>
  </si>
  <si>
    <t>10P-G-N</t>
  </si>
  <si>
    <t>Flatcable 10P grijs</t>
  </si>
  <si>
    <t>20P-G-N</t>
  </si>
  <si>
    <t>Flatcable 20P grijs</t>
  </si>
  <si>
    <t>KAST</t>
  </si>
  <si>
    <t>BOP-BS600-DICHTING</t>
  </si>
  <si>
    <t>Dichting BOS behuizing blauw</t>
  </si>
  <si>
    <t>BOP-BS603DIS-7024</t>
  </si>
  <si>
    <t>BOS behuizing met display - RAL7024</t>
  </si>
  <si>
    <t>LCD</t>
  </si>
  <si>
    <t>GRA-WG12864E-NYG-V</t>
  </si>
  <si>
    <t>LCD-scherm grafisch WG12864E-NYG-V</t>
  </si>
  <si>
    <t>001,8X01,0-NBR70</t>
  </si>
  <si>
    <t>O-ring 1,8x 1 mm NBR70</t>
  </si>
  <si>
    <t>002,5X01,2-NBR70</t>
  </si>
  <si>
    <t>O-ring 2,5x 1.2 mm NBR70</t>
  </si>
  <si>
    <t>008,0X01,0-NBR70</t>
  </si>
  <si>
    <t>O-ring 8x 1 mm NBR70</t>
  </si>
  <si>
    <t>025,0X01,0-NBR70</t>
  </si>
  <si>
    <t>O-ring 25x 1 mm NBR70</t>
  </si>
  <si>
    <t>PANEL</t>
  </si>
  <si>
    <t>070278_00MST</t>
  </si>
  <si>
    <t>Keypad voor BS603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</si>
  <si>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</si>
  <si>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</si>
  <si>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</si>
  <si>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</si>
  <si>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</si>
  <si>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</si>
  <si>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checklijst MST2 engeland refurbisch</t>
  </si>
  <si>
    <t>0912-M04X08-RVS</t>
  </si>
  <si>
    <t>Binnenzeskantbout cylinderkop DIN0912  M 4x08mm A2</t>
  </si>
  <si>
    <t>070218_00MST</t>
  </si>
  <si>
    <t>Geraamte dubbele reflector speedoscope MST2</t>
  </si>
  <si>
    <t>070242_00MST</t>
  </si>
  <si>
    <t>Steunvoet reflectorhouder MST2 grote ronde voetje</t>
  </si>
  <si>
    <t>T:\voor SPARES\REFURBISHMENT SPEEDOSCOPES\DSA overview speedoscope + BRC.xlsx</t>
  </si>
  <si>
    <t>BRC EP080026.028</t>
  </si>
  <si>
    <t>BRC EP080026.060</t>
  </si>
  <si>
    <t>MST R EP080082.023</t>
  </si>
  <si>
    <t>MST EP080082.006</t>
  </si>
  <si>
    <t>MST R EP070097.009</t>
  </si>
  <si>
    <t>MST EP070087.004</t>
  </si>
  <si>
    <t>Handvat zwart ( niet de buis maar hoek)</t>
  </si>
  <si>
    <t>Handvat ELESA oranje (goca)</t>
  </si>
  <si>
    <t>Transformator en laadkabel MST GOCA</t>
  </si>
  <si>
    <t>Staaf handvat speedoscope MST2 zwarte staaf</t>
  </si>
  <si>
    <t>standard calibratie</t>
  </si>
  <si>
    <t>werk</t>
  </si>
  <si>
    <t>calibrtieforfait</t>
  </si>
  <si>
    <t>sn 1032</t>
  </si>
  <si>
    <t>Knop module ON/C MST2 (Piezo) met kabeltje aan</t>
  </si>
  <si>
    <t>Knop module Select MST (Piezo) met kabeltje aan</t>
  </si>
  <si>
    <t>LCD display MST Rev A met weerstand erbij</t>
  </si>
  <si>
    <t>Transformator en laadkabel MST GOCA lader</t>
  </si>
  <si>
    <t>ZZZ</t>
  </si>
  <si>
    <t>O-Speedo</t>
  </si>
  <si>
    <t>besteld via ma</t>
  </si>
  <si>
    <t>sn1009</t>
  </si>
  <si>
    <t>sn1013</t>
  </si>
  <si>
    <t>geenserienummer wel plakker 7090</t>
  </si>
  <si>
    <t>geenlader</t>
  </si>
  <si>
    <t>wellader</t>
  </si>
  <si>
    <t>calibrtieforfait  (+/-224euro)</t>
  </si>
  <si>
    <t>minuten in regie</t>
  </si>
  <si>
    <t>extrawerk buiten forfait in minuten</t>
  </si>
  <si>
    <t>bestek-onderdelen</t>
  </si>
  <si>
    <t xml:space="preserve">BRC  : </t>
  </si>
  <si>
    <t>EP080026.025</t>
  </si>
  <si>
    <t xml:space="preserve">MST R </t>
  </si>
  <si>
    <t>EP070097.014</t>
  </si>
  <si>
    <t>EP080056.004</t>
  </si>
  <si>
    <t>EP070097.003</t>
  </si>
  <si>
    <t xml:space="preserve">MST </t>
  </si>
  <si>
    <t>EP070062.001</t>
  </si>
  <si>
    <t>Steunvoet klein MST - RVS inox voetjes</t>
  </si>
  <si>
    <t>lcd voor BRC</t>
  </si>
  <si>
    <t>lcd voor brc</t>
  </si>
  <si>
    <t>GRA-WG160128B-YYH-T</t>
  </si>
  <si>
    <t>LCD-display 5' voor MST</t>
  </si>
  <si>
    <t>openoffice resutlaten speed</t>
  </si>
  <si>
    <t>klant moet gene hebben</t>
  </si>
  <si>
    <t>Drukknop EAO contactblok mom. 1NO met ledje in dia.22,5mm</t>
  </si>
  <si>
    <t>sn1024</t>
  </si>
  <si>
    <t>90minuten inlijmen venster</t>
  </si>
  <si>
    <t>set voor 5</t>
  </si>
  <si>
    <t>Drukknop EAO contactblok mom. 1NO vmet ledje dia.22,5mm</t>
  </si>
  <si>
    <t>15h werh gedaan voor 5st</t>
  </si>
  <si>
    <t>zonder regiewerk</t>
  </si>
  <si>
    <t>alles perfect waterdicht tijdens test</t>
  </si>
  <si>
    <t>11h werk</t>
  </si>
  <si>
    <t>Steunvoet klein MST - RVS inox</t>
  </si>
  <si>
    <t>besteld ma</t>
  </si>
  <si>
    <t>.</t>
  </si>
  <si>
    <t>2x mst</t>
  </si>
  <si>
    <t>mst = 1029</t>
  </si>
  <si>
    <t>ep070015.005</t>
  </si>
  <si>
    <t>1mst</t>
  </si>
  <si>
    <t>cta haasrode</t>
  </si>
  <si>
    <t>bestek gegeven</t>
  </si>
  <si>
    <t>speedocal</t>
  </si>
  <si>
    <t>en 1 mst</t>
  </si>
  <si>
    <t>ep070015.009</t>
  </si>
  <si>
    <t>ep060069.002</t>
  </si>
  <si>
    <t>ep060069.007</t>
  </si>
  <si>
    <t>calibratie forfait  (+/-224euro)</t>
  </si>
  <si>
    <t>calibratieforfait  (+/-224euro)</t>
  </si>
  <si>
    <t>..</t>
  </si>
  <si>
    <t>okee</t>
  </si>
  <si>
    <t>in mei2018 al onderhoud gehad rgo180010</t>
  </si>
  <si>
    <t>sn1034</t>
  </si>
  <si>
    <t>klaar!</t>
  </si>
  <si>
    <t>klaar</t>
  </si>
  <si>
    <t>klant wil geen</t>
  </si>
  <si>
    <t>neen</t>
  </si>
  <si>
    <t>M12-05P-C-V-KABEL</t>
  </si>
  <si>
    <t>1extra</t>
  </si>
  <si>
    <t>Montage-toebehoren dichting wit rond plastiek - borgring 4.2x8x2.5 mm</t>
  </si>
  <si>
    <t>3e cel komt altijd binnen</t>
  </si>
  <si>
    <t>sn1020</t>
  </si>
  <si>
    <t>sn1008</t>
  </si>
  <si>
    <t>sn1010</t>
  </si>
  <si>
    <t xml:space="preserve"> dichting wit rond plastiek - borgring 4.2x8x2.5 mm</t>
  </si>
  <si>
    <t>subtotaal</t>
  </si>
  <si>
    <t>ICDIG</t>
  </si>
  <si>
    <t>MIC-MB90F543       -S-QFP100</t>
  </si>
  <si>
    <t>Digitale IC microcontroller proc print goca</t>
  </si>
  <si>
    <t>opmerking</t>
  </si>
  <si>
    <t>kabel12m derde cel goca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</si>
  <si>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</si>
  <si>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</si>
  <si>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</si>
  <si>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</si>
  <si>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</si>
  <si>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</si>
  <si>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</si>
  <si>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</si>
  <si>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</si>
  <si>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</si>
  <si>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</si>
  <si>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2,00</t>
  </si>
  <si>
    <t>ST</t>
  </si>
  <si>
    <t>0CON146005415</t>
  </si>
  <si>
    <t>CON</t>
  </si>
  <si>
    <t>KABEL</t>
  </si>
  <si>
    <t>13,17</t>
  </si>
  <si>
    <t>0,00</t>
  </si>
  <si>
    <t>12,00</t>
  </si>
  <si>
    <t>M</t>
  </si>
  <si>
    <t>0CAB420025005</t>
  </si>
  <si>
    <t>ELCOM</t>
  </si>
  <si>
    <t>9,58</t>
  </si>
  <si>
    <t>5,00</t>
  </si>
  <si>
    <t>0CON750010050</t>
  </si>
  <si>
    <t>0,27</t>
  </si>
  <si>
    <t>1,00</t>
  </si>
  <si>
    <t>0CAB950167509</t>
  </si>
  <si>
    <t>MONT</t>
  </si>
  <si>
    <t>0,47</t>
  </si>
  <si>
    <t>0FAS100025098</t>
  </si>
  <si>
    <t>0,01</t>
  </si>
  <si>
    <t>optie klant wil geen</t>
  </si>
  <si>
    <t>brc3x</t>
  </si>
  <si>
    <t>hercalib</t>
  </si>
  <si>
    <t>lcd zwart+reflector</t>
  </si>
  <si>
    <t>condens</t>
  </si>
  <si>
    <t>refurb</t>
  </si>
  <si>
    <t>her certificeren</t>
  </si>
  <si>
    <t>flatcable los</t>
  </si>
  <si>
    <t>refurb.</t>
  </si>
  <si>
    <t>ep070062.017</t>
  </si>
  <si>
    <t>ep080082.002</t>
  </si>
  <si>
    <t>ep090021-019</t>
  </si>
  <si>
    <t>ep070062.018</t>
  </si>
  <si>
    <t>laad niet geen BT ,gele knop werkt niet</t>
  </si>
  <si>
    <t>zwart scherm -proc.print</t>
  </si>
  <si>
    <t>batch47  07/05/2019</t>
  </si>
  <si>
    <t>candela</t>
  </si>
  <si>
    <t>minical</t>
  </si>
  <si>
    <t>Ronde connector M8 03P chassis Vrl. + 0.5m kabel</t>
  </si>
  <si>
    <t>M08-03P-C-V-KABEL</t>
  </si>
  <si>
    <t>Gemiddeldekostprijs</t>
  </si>
  <si>
    <t>Alternatiefnummer</t>
  </si>
  <si>
    <t>Voorraadbijhouden</t>
  </si>
  <si>
    <t>VbEnh</t>
  </si>
  <si>
    <t>VkEnh</t>
  </si>
  <si>
    <t>AkEnh</t>
  </si>
  <si>
    <t>PrsEnh</t>
  </si>
  <si>
    <t>Verkoopprijs</t>
  </si>
  <si>
    <t>PercVk</t>
  </si>
  <si>
    <t>Basisaankoopwaarde</t>
  </si>
  <si>
    <t>Categorie</t>
  </si>
  <si>
    <t>Basisgewicht</t>
  </si>
  <si>
    <t>VrdEnh</t>
  </si>
  <si>
    <t>UniekVolgnummer</t>
  </si>
  <si>
    <t>MagazijnIN</t>
  </si>
  <si>
    <t>MagazijnlocatieIN</t>
  </si>
  <si>
    <t>MagazijnUIT</t>
  </si>
  <si>
    <t>MagazijnlocatieUIT</t>
  </si>
  <si>
    <t>Soortelijkgewicht</t>
  </si>
  <si>
    <t>Datum vanaanpassing</t>
  </si>
  <si>
    <t>Uur vanaanpassing</t>
  </si>
  <si>
    <t>Aangepastdoor</t>
  </si>
  <si>
    <t>Lotnr.leverancier</t>
  </si>
  <si>
    <t>BOM</t>
  </si>
  <si>
    <t>EAN13-code</t>
  </si>
  <si>
    <t>Externe Omschrijving</t>
  </si>
  <si>
    <t>Werknemer</t>
  </si>
  <si>
    <t>Vervaldatum</t>
  </si>
  <si>
    <t>Vervaldatumherziening</t>
  </si>
  <si>
    <t>Aankoop-code</t>
  </si>
  <si>
    <t>Soortartikel</t>
  </si>
  <si>
    <t>Linkdocumentcenter</t>
  </si>
  <si>
    <t>Laatste bestelprijs</t>
  </si>
  <si>
    <t>Gevaarlijk en/of veiligheidsvoorschriften</t>
  </si>
  <si>
    <t>Allergeen</t>
  </si>
  <si>
    <t>Type artikel</t>
  </si>
  <si>
    <t>Laatste ontvangstprijs</t>
  </si>
  <si>
    <t>Netto gewicht</t>
  </si>
  <si>
    <t>Standaardop voorraad</t>
  </si>
  <si>
    <t>Budgetprijs</t>
  </si>
  <si>
    <t>Afdeling</t>
  </si>
  <si>
    <t>Verkoop-code</t>
  </si>
  <si>
    <t>Halal</t>
  </si>
  <si>
    <t>Bestemming</t>
  </si>
  <si>
    <t>Board Bluetooth BISM II</t>
  </si>
  <si>
    <t>BOAR-BLUETOOTH-EXTANT</t>
  </si>
  <si>
    <t>40,4800</t>
  </si>
  <si>
    <t>70,0000</t>
  </si>
  <si>
    <t>0,0000</t>
  </si>
  <si>
    <t>HMAG</t>
  </si>
  <si>
    <t>EK12</t>
  </si>
  <si>
    <t>08,50</t>
  </si>
  <si>
    <t>VTH</t>
  </si>
  <si>
    <t>?</t>
  </si>
  <si>
    <t>Bestelbaar</t>
  </si>
  <si>
    <t>Grondstof</t>
  </si>
  <si>
    <t>40,48</t>
  </si>
  <si>
    <t>Standaardartikel</t>
  </si>
  <si>
    <t>Verkoopbaar aan klan</t>
  </si>
  <si>
    <t>Niet HALAL</t>
  </si>
  <si>
    <t>0.257mm</t>
  </si>
  <si>
    <t>0.139mm</t>
  </si>
  <si>
    <t>0.636mm</t>
  </si>
  <si>
    <t>0.1mm</t>
  </si>
  <si>
    <t>mst kabel ontbreekt</t>
  </si>
  <si>
    <t>candela knop kapot</t>
  </si>
  <si>
    <t>EP060069.009</t>
  </si>
  <si>
    <t>1995-1025</t>
  </si>
  <si>
    <t>Maxell battery alkaline 4x AAA micro type LR03</t>
  </si>
  <si>
    <t>ALK-01,50V-00,00Ah-AAA</t>
  </si>
  <si>
    <t>1,2900</t>
  </si>
  <si>
    <t>VE</t>
  </si>
  <si>
    <t>GEEN</t>
  </si>
  <si>
    <t>14,40</t>
  </si>
  <si>
    <t>mro</t>
  </si>
  <si>
    <t>1,29</t>
  </si>
  <si>
    <t>Alkaline-batterij 01,50V 02,25Ah  Lijn 14x50mm AA</t>
  </si>
  <si>
    <t>ALK-01,50V-02,25AhLIJN14X50</t>
  </si>
  <si>
    <t>7,7420</t>
  </si>
  <si>
    <t>0BAT015000000</t>
  </si>
  <si>
    <t>6,5000</t>
  </si>
  <si>
    <t>1,8800</t>
  </si>
  <si>
    <t>BBAT</t>
  </si>
  <si>
    <t>EK69</t>
  </si>
  <si>
    <t>12,33</t>
  </si>
  <si>
    <t>7,742</t>
  </si>
  <si>
    <t>Kabel drukknop CAM 30</t>
  </si>
  <si>
    <t>960033A00CAM</t>
  </si>
  <si>
    <t>15,6390</t>
  </si>
  <si>
    <t>60,0000</t>
  </si>
  <si>
    <t>10,31</t>
  </si>
  <si>
    <t>Halffabrikaat</t>
  </si>
  <si>
    <t xml:space="preserve">minical </t>
  </si>
  <si>
    <t>calibratieforfait  minical</t>
  </si>
  <si>
    <t>…</t>
  </si>
  <si>
    <t>calibratieforfait  candelameter</t>
  </si>
  <si>
    <t>calib+cert</t>
  </si>
  <si>
    <t>calib forfait</t>
  </si>
  <si>
    <t>kabel ligt nog bij klant</t>
  </si>
  <si>
    <t>aanraag v klant</t>
  </si>
  <si>
    <t>laser635nm</t>
  </si>
  <si>
    <t>laser 1mw 635nm</t>
  </si>
  <si>
    <t>laser minical</t>
  </si>
  <si>
    <t>statief ?</t>
  </si>
  <si>
    <t>ep070112.008 refurb</t>
  </si>
  <si>
    <t>ep070097.016 enkel zwart kader op lcd</t>
  </si>
  <si>
    <t>ep070097.014 start gewoon op ?</t>
  </si>
  <si>
    <t xml:space="preserve">ep080056.001 voetje af </t>
  </si>
  <si>
    <t>ep070097.003 uitlijning</t>
  </si>
  <si>
    <t>brc ep080050.030 testen</t>
  </si>
  <si>
    <t>gele knop vervangen</t>
  </si>
  <si>
    <t>check en was ok</t>
  </si>
  <si>
    <t>elco los +silicone</t>
  </si>
  <si>
    <t>cel vijs afgeslepen</t>
  </si>
  <si>
    <t>test  ok</t>
  </si>
  <si>
    <t>naakte LCD-display 5' voor MST</t>
  </si>
  <si>
    <t>ep060069.004</t>
  </si>
  <si>
    <t>slechte cel erin</t>
  </si>
  <si>
    <t>ep080082.021</t>
  </si>
  <si>
    <t>geen BT in de regen</t>
  </si>
  <si>
    <t>start ff op</t>
  </si>
  <si>
    <t>brc80050.042r</t>
  </si>
  <si>
    <t>rammelt</t>
  </si>
  <si>
    <t>lcd kapot</t>
  </si>
  <si>
    <t>Batterij NiMh 01,20V 02,00Ah   -AA - Eneloop</t>
  </si>
  <si>
    <t>start niet , startknop piezo defect</t>
  </si>
  <si>
    <t>EP080049.008r  BT VERVANGEN+SILICONEBUG</t>
  </si>
  <si>
    <t>EP070062.018r GARANTIE</t>
  </si>
  <si>
    <t>EP080021.020r</t>
  </si>
  <si>
    <t>BRC EP080026.043</t>
  </si>
  <si>
    <t>ep080049.003</t>
  </si>
  <si>
    <t>brc</t>
  </si>
  <si>
    <t>+brc test , lcd rij dode pixels</t>
  </si>
  <si>
    <t>EP080082.011</t>
  </si>
  <si>
    <t>EP070097.019</t>
  </si>
  <si>
    <t>EP080049.004</t>
  </si>
  <si>
    <t>EP080082.010</t>
  </si>
  <si>
    <t>EP090021.018</t>
  </si>
  <si>
    <t>EP080026.002</t>
  </si>
  <si>
    <t>flatcable los &gt; alles  gesiliconed</t>
  </si>
  <si>
    <t>start niet op , startknop kapot</t>
  </si>
  <si>
    <t>fische lader kapot</t>
  </si>
  <si>
    <t>GevraagdAantal</t>
  </si>
  <si>
    <t>VoorTiknummer</t>
  </si>
  <si>
    <t>OpmerkingAanvraag</t>
  </si>
  <si>
    <t>Status</t>
  </si>
  <si>
    <t>GeleverdAantal</t>
  </si>
  <si>
    <t>Lev.Enh.</t>
  </si>
  <si>
    <t>Geleverd op</t>
  </si>
  <si>
    <t>Geleverd door</t>
  </si>
  <si>
    <t>Magazijn</t>
  </si>
  <si>
    <t>Magazijnlocatie</t>
  </si>
  <si>
    <t>Opmerking geleverd</t>
  </si>
  <si>
    <t>Volledig geleverd</t>
  </si>
  <si>
    <t>GevraagdeLeverdatum</t>
  </si>
  <si>
    <t>Verpakkingsbon</t>
  </si>
  <si>
    <t>M12-03P-R-M-BINDER720</t>
  </si>
  <si>
    <t>RDE150006HERST</t>
  </si>
  <si>
    <t>Aangemaakt</t>
  </si>
  <si>
    <t>fische binder voor aan de lader</t>
  </si>
  <si>
    <t>geleknop corosie</t>
  </si>
  <si>
    <t>vocht vanbinnen</t>
  </si>
  <si>
    <t>ep060051.007</t>
  </si>
  <si>
    <t>O-miniccal</t>
  </si>
  <si>
    <t>BAT AA duracel</t>
  </si>
  <si>
    <t>ep060069.010</t>
  </si>
  <si>
    <t>was reeds in januarie2019 hier</t>
  </si>
  <si>
    <t>batt was 4.8V !test met LUC</t>
  </si>
  <si>
    <t>moto blijft staan tijdens opstarten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</si>
</sst>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4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1"/>
    <xf numFmtId="0" fontId="3" fillId="2" borderId="0" xfId="0" applyFont="1" applyFill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4" borderId="0" xfId="0" applyFill="1"/>
    <xf numFmtId="0" fontId="3" fillId="4" borderId="0" xfId="0" applyFont="1" applyFill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2" borderId="0" xfId="0" applyFont="1" applyFill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6" borderId="0" xfId="0" applyFont="1" applyFill="1" applyAlignment="1">
      <alignment horizontal="left"/>
    </xf>
    <xf numFmtId="0" fontId="3" fillId="2" borderId="1" xfId="0" applyFont="1" applyFill="1" applyBorder="1"/>
    <xf numFmtId="0" fontId="3" fillId="6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4" borderId="1" xfId="0" applyFont="1" applyFill="1" applyBorder="1"/>
    <xf numFmtId="0" fontId="0" fillId="4" borderId="1" xfId="0" applyFill="1" applyBorder="1"/>
    <xf numFmtId="0" fontId="0" fillId="2" borderId="1" xfId="0" applyFill="1" applyBorder="1"/>
    <xf numFmtId="0" fontId="0" fillId="7" borderId="1" xfId="0" applyFill="1" applyBorder="1"/>
    <xf numFmtId="0" fontId="3" fillId="3" borderId="7" xfId="0" applyFont="1" applyFill="1" applyBorder="1" applyAlignment="1">
      <alignment horizontal="left"/>
    </xf>
    <xf numFmtId="0" fontId="3" fillId="2" borderId="1" xfId="0" applyFont="1" applyFill="1" applyBorder="1" applyAlignment="1">
      <alignment textRotation="90"/>
    </xf>
    <xf numFmtId="0" fontId="3" fillId="6" borderId="1" xfId="0" applyFont="1" applyFill="1" applyBorder="1" applyAlignment="1">
      <alignment horizontal="left" textRotation="90"/>
    </xf>
    <xf numFmtId="0" fontId="0" fillId="3" borderId="7" xfId="0" applyFill="1" applyBorder="1" applyAlignment="1">
      <alignment horizontal="left" textRotation="90"/>
    </xf>
    <xf numFmtId="0" fontId="0" fillId="0" borderId="0" xfId="0" applyAlignment="1">
      <alignment textRotation="90"/>
    </xf>
    <xf numFmtId="0" fontId="3" fillId="3" borderId="8" xfId="0" applyFont="1" applyFill="1" applyBorder="1" applyAlignment="1">
      <alignment horizontal="left" textRotation="90"/>
    </xf>
    <xf numFmtId="0" fontId="0" fillId="3" borderId="8" xfId="0" applyFill="1" applyBorder="1" applyAlignment="1">
      <alignment horizontal="left" textRotation="90"/>
    </xf>
    <xf numFmtId="0" fontId="0" fillId="0" borderId="1" xfId="0" applyBorder="1" applyAlignment="1">
      <alignment textRotation="90"/>
    </xf>
    <xf numFmtId="14" fontId="0" fillId="0" borderId="0" xfId="0" applyNumberFormat="1" applyAlignment="1">
      <alignment textRotation="90"/>
    </xf>
    <xf numFmtId="0" fontId="0" fillId="4" borderId="9" xfId="0" applyFill="1" applyBorder="1"/>
    <xf numFmtId="0" fontId="3" fillId="6" borderId="9" xfId="0" applyFont="1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2" borderId="9" xfId="0" applyFill="1" applyBorder="1"/>
    <xf numFmtId="0" fontId="0" fillId="4" borderId="5" xfId="0" applyFill="1" applyBorder="1"/>
    <xf numFmtId="0" fontId="3" fillId="6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4" borderId="8" xfId="0" applyFill="1" applyBorder="1"/>
    <xf numFmtId="0" fontId="3" fillId="6" borderId="8" xfId="0" applyFont="1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8" borderId="1" xfId="0" applyFill="1" applyBorder="1"/>
    <xf numFmtId="0" fontId="3" fillId="8" borderId="1" xfId="0" applyFont="1" applyFill="1" applyBorder="1"/>
    <xf numFmtId="0" fontId="3" fillId="3" borderId="9" xfId="0" applyFont="1" applyFill="1" applyBorder="1" applyAlignment="1">
      <alignment horizontal="left"/>
    </xf>
    <xf numFmtId="0" fontId="0" fillId="2" borderId="8" xfId="0" applyFill="1" applyBorder="1"/>
    <xf numFmtId="0" fontId="3" fillId="3" borderId="1" xfId="0" applyFont="1" applyFill="1" applyBorder="1" applyAlignment="1">
      <alignment textRotation="90"/>
    </xf>
    <xf numFmtId="0" fontId="3" fillId="3" borderId="1" xfId="0" applyFont="1" applyFill="1" applyBorder="1" applyAlignment="1">
      <alignment horizontal="center" vertical="center" textRotation="90"/>
    </xf>
    <xf numFmtId="0" fontId="3" fillId="3" borderId="1" xfId="0" applyFont="1" applyFill="1" applyBorder="1" applyAlignment="1">
      <alignment horizontal="left" textRotation="90"/>
    </xf>
    <xf numFmtId="0" fontId="3" fillId="3" borderId="9" xfId="0" applyFont="1" applyFill="1" applyBorder="1"/>
    <xf numFmtId="0" fontId="3" fillId="3" borderId="1" xfId="0" applyFont="1" applyFill="1" applyBorder="1"/>
    <xf numFmtId="0" fontId="0" fillId="3" borderId="1" xfId="0" applyFill="1" applyBorder="1"/>
    <xf numFmtId="0" fontId="3" fillId="9" borderId="1" xfId="0" applyFont="1" applyFill="1" applyBorder="1" applyAlignment="1">
      <alignment textRotation="90"/>
    </xf>
    <xf numFmtId="0" fontId="3" fillId="9" borderId="1" xfId="0" applyFont="1" applyFill="1" applyBorder="1" applyAlignment="1">
      <alignment horizontal="left" textRotation="90"/>
    </xf>
    <xf numFmtId="0" fontId="3" fillId="9" borderId="8" xfId="0" applyFont="1" applyFill="1" applyBorder="1" applyAlignment="1">
      <alignment horizontal="left" textRotation="90"/>
    </xf>
    <xf numFmtId="0" fontId="0" fillId="9" borderId="8" xfId="0" applyFill="1" applyBorder="1" applyAlignment="1">
      <alignment horizontal="left" textRotation="90"/>
    </xf>
    <xf numFmtId="0" fontId="0" fillId="9" borderId="7" xfId="0" applyFill="1" applyBorder="1" applyAlignment="1">
      <alignment horizontal="left" textRotation="90"/>
    </xf>
    <xf numFmtId="0" fontId="0" fillId="9" borderId="1" xfId="0" applyFill="1" applyBorder="1"/>
    <xf numFmtId="0" fontId="3" fillId="9" borderId="1" xfId="0" applyFont="1" applyFill="1" applyBorder="1" applyAlignment="1">
      <alignment horizontal="left"/>
    </xf>
    <xf numFmtId="0" fontId="0" fillId="9" borderId="1" xfId="0" applyFill="1" applyBorder="1" applyAlignment="1">
      <alignment horizontal="left"/>
    </xf>
    <xf numFmtId="0" fontId="3" fillId="9" borderId="1" xfId="0" applyFont="1" applyFill="1" applyBorder="1"/>
    <xf numFmtId="0" fontId="0" fillId="3" borderId="1" xfId="0" quotePrefix="1" applyFill="1" applyBorder="1" applyAlignment="1">
      <alignment horizontal="left"/>
    </xf>
    <xf numFmtId="0" fontId="3" fillId="2" borderId="8" xfId="0" applyFont="1" applyFill="1" applyBorder="1" applyAlignment="1">
      <alignment horizontal="left" textRotation="90"/>
    </xf>
    <xf numFmtId="0" fontId="0" fillId="2" borderId="8" xfId="0" applyFill="1" applyBorder="1" applyAlignment="1">
      <alignment horizontal="left" textRotation="90"/>
    </xf>
    <xf numFmtId="0" fontId="0" fillId="2" borderId="7" xfId="0" applyFill="1" applyBorder="1" applyAlignment="1">
      <alignment horizontal="left" textRotation="90"/>
    </xf>
    <xf numFmtId="0" fontId="3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0" fillId="2" borderId="5" xfId="0" applyFill="1" applyBorder="1"/>
    <xf numFmtId="0" fontId="0" fillId="2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3" fillId="10" borderId="1" xfId="0" applyFont="1" applyFill="1" applyBorder="1" applyAlignment="1">
      <alignment horizontal="left" textRotation="90"/>
    </xf>
    <xf numFmtId="0" fontId="3" fillId="10" borderId="1" xfId="0" applyFont="1" applyFill="1" applyBorder="1" applyAlignment="1">
      <alignment horizontal="left"/>
    </xf>
    <xf numFmtId="0" fontId="3" fillId="10" borderId="0" xfId="0" applyFont="1" applyFill="1" applyAlignment="1">
      <alignment horizontal="left"/>
    </xf>
    <xf numFmtId="0" fontId="2" fillId="0" borderId="0" xfId="1" applyFill="1"/>
    <xf numFmtId="14" fontId="0" fillId="0" borderId="0" xfId="0" applyNumberFormat="1" applyFill="1"/>
    <xf numFmtId="0" fontId="0" fillId="0" borderId="0" xfId="0" applyFill="1" applyAlignment="1">
      <alignment textRotation="90"/>
    </xf>
    <xf numFmtId="14" fontId="0" fillId="0" borderId="0" xfId="0" applyNumberFormat="1" applyFill="1" applyAlignment="1">
      <alignment textRotation="90"/>
    </xf>
    <xf numFmtId="0" fontId="0" fillId="0" borderId="1" xfId="0" applyFill="1" applyBorder="1" applyAlignment="1">
      <alignment textRotation="90"/>
    </xf>
    <xf numFmtId="0" fontId="6" fillId="2" borderId="1" xfId="0" applyFont="1" applyFill="1" applyBorder="1" applyAlignment="1"/>
    <xf numFmtId="14" fontId="3" fillId="10" borderId="1" xfId="0" applyNumberFormat="1" applyFont="1" applyFill="1" applyBorder="1" applyAlignment="1">
      <alignment horizontal="left" textRotation="90"/>
    </xf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69313" name="CommandButton1" hidden="1">
              <a:extLst>
                <a:ext uri="{63B3BB69-23CF-44E3-9099-C40C66FF867C}">
                  <a14:compatExt spid="_x0000_s269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69314" name="CommandButton2" hidden="1">
              <a:extLst>
                <a:ext uri="{63B3BB69-23CF-44E3-9099-C40C66FF867C}">
                  <a14:compatExt spid="_x0000_s269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69315" name="CommandButton3" hidden="1">
              <a:extLst>
                <a:ext uri="{63B3BB69-23CF-44E3-9099-C40C66FF867C}">
                  <a14:compatExt spid="_x0000_s269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150394</xdr:colOff>
      <xdr:row>4</xdr:row>
      <xdr:rowOff>651710</xdr:rowOff>
    </xdr:from>
    <xdr:to>
      <xdr:col>27</xdr:col>
      <xdr:colOff>32089</xdr:colOff>
      <xdr:row>13</xdr:row>
      <xdr:rowOff>88241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66394" y="3168315"/>
          <a:ext cx="7220958" cy="36676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43713" name="CommandButton1" hidden="1">
              <a:extLst>
                <a:ext uri="{63B3BB69-23CF-44E3-9099-C40C66FF867C}">
                  <a14:compatExt spid="_x0000_s243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43714" name="CommandButton2" hidden="1">
              <a:extLst>
                <a:ext uri="{63B3BB69-23CF-44E3-9099-C40C66FF867C}">
                  <a14:compatExt spid="_x0000_s243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43715" name="CommandButton3" hidden="1">
              <a:extLst>
                <a:ext uri="{63B3BB69-23CF-44E3-9099-C40C66FF867C}">
                  <a14:compatExt spid="_x0000_s243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21185" name="CommandButton1" hidden="1">
              <a:extLst>
                <a:ext uri="{63B3BB69-23CF-44E3-9099-C40C66FF867C}">
                  <a14:compatExt spid="_x0000_s22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21186" name="CommandButton2" hidden="1">
              <a:extLst>
                <a:ext uri="{63B3BB69-23CF-44E3-9099-C40C66FF867C}">
                  <a14:compatExt spid="_x0000_s22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21187" name="CommandButton3" hidden="1">
              <a:extLst>
                <a:ext uri="{63B3BB69-23CF-44E3-9099-C40C66FF867C}">
                  <a14:compatExt spid="_x0000_s22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14</xdr:col>
          <xdr:colOff>571500</xdr:colOff>
          <xdr:row>3</xdr:row>
          <xdr:rowOff>428625</xdr:rowOff>
        </xdr:to>
        <xdr:sp macro="" textlink="">
          <xdr:nvSpPr>
            <xdr:cNvPr id="199681" name="CommandButton1" hidden="1">
              <a:extLst>
                <a:ext uri="{63B3BB69-23CF-44E3-9099-C40C66FF867C}">
                  <a14:compatExt spid="_x0000_s199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99682" name="CommandButton2" hidden="1">
              <a:extLst>
                <a:ext uri="{63B3BB69-23CF-44E3-9099-C40C66FF867C}">
                  <a14:compatExt spid="_x0000_s199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99683" name="CommandButton3" hidden="1">
              <a:extLst>
                <a:ext uri="{63B3BB69-23CF-44E3-9099-C40C66FF867C}">
                  <a14:compatExt spid="_x0000_s199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330868</xdr:colOff>
      <xdr:row>3</xdr:row>
      <xdr:rowOff>782053</xdr:rowOff>
    </xdr:from>
    <xdr:to>
      <xdr:col>22</xdr:col>
      <xdr:colOff>201191</xdr:colOff>
      <xdr:row>180</xdr:row>
      <xdr:rowOff>64009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5263" y="1353553"/>
          <a:ext cx="4763165" cy="603969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79201" name="CommandButton1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79202" name="CommandButton2" hidden="1">
              <a:extLst>
                <a:ext uri="{63B3BB69-23CF-44E3-9099-C40C66FF867C}">
                  <a14:compatExt spid="_x0000_s179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79203" name="CommandButton3" hidden="1">
              <a:extLst>
                <a:ext uri="{63B3BB69-23CF-44E3-9099-C40C66FF867C}">
                  <a14:compatExt spid="_x0000_s179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57697" name="CommandButton1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57698" name="CommandButton2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57699" name="CommandButton3" hidden="1">
              <a:extLst>
                <a:ext uri="{63B3BB69-23CF-44E3-9099-C40C66FF867C}">
                  <a14:compatExt spid="_x0000_s157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39266" name="CommandButton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39267" name="CommandButton3" hidden="1">
              <a:extLst>
                <a:ext uri="{63B3BB69-23CF-44E3-9099-C40C66FF867C}">
                  <a14:compatExt spid="_x0000_s13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0</xdr:colOff>
      <xdr:row>4</xdr:row>
      <xdr:rowOff>0</xdr:rowOff>
    </xdr:from>
    <xdr:to>
      <xdr:col>21</xdr:col>
      <xdr:colOff>407637</xdr:colOff>
      <xdr:row>11</xdr:row>
      <xdr:rowOff>142793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34211" y="1634289"/>
          <a:ext cx="4077269" cy="3010320"/>
        </a:xfrm>
        <a:prstGeom prst="rect">
          <a:avLst/>
        </a:prstGeom>
      </xdr:spPr>
    </xdr:pic>
    <xdr:clientData/>
  </xdr:twoCellAnchor>
  <xdr:twoCellAnchor editAs="oneCell">
    <xdr:from>
      <xdr:col>14</xdr:col>
      <xdr:colOff>370974</xdr:colOff>
      <xdr:row>27</xdr:row>
      <xdr:rowOff>30079</xdr:rowOff>
    </xdr:from>
    <xdr:to>
      <xdr:col>21</xdr:col>
      <xdr:colOff>186059</xdr:colOff>
      <xdr:row>179</xdr:row>
      <xdr:rowOff>9452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3579" y="4772526"/>
          <a:ext cx="4096322" cy="30674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21857" name="CommandButton1" hidden="1">
              <a:extLst>
                <a:ext uri="{63B3BB69-23CF-44E3-9099-C40C66FF867C}">
                  <a14:compatExt spid="_x0000_s12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21858" name="CommandButton2" hidden="1">
              <a:extLst>
                <a:ext uri="{63B3BB69-23CF-44E3-9099-C40C66FF867C}">
                  <a14:compatExt spid="_x0000_s12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21859" name="CommandButton3" hidden="1">
              <a:extLst>
                <a:ext uri="{63B3BB69-23CF-44E3-9099-C40C66FF867C}">
                  <a14:compatExt spid="_x0000_s12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105474" name="CommandButton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105475" name="CommandButton3" hidden="1">
              <a:extLst>
                <a:ext uri="{63B3BB69-23CF-44E3-9099-C40C66FF867C}">
                  <a14:compatExt spid="_x0000_s10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88065" name="CommandButton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88066" name="CommandButton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7</xdr:col>
          <xdr:colOff>342900</xdr:colOff>
          <xdr:row>2</xdr:row>
          <xdr:rowOff>19050</xdr:rowOff>
        </xdr:to>
        <xdr:sp macro="" textlink="">
          <xdr:nvSpPr>
            <xdr:cNvPr id="88067" name="CommandButton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73730" name="CommandButton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73731" name="CommandButton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60417" name="CommandButton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60418" name="CommandButton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60419" name="CommandButton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7345" name="CommandButton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7346" name="CommandButton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200025</xdr:rowOff>
        </xdr:from>
        <xdr:to>
          <xdr:col>6</xdr:col>
          <xdr:colOff>19050</xdr:colOff>
          <xdr:row>4</xdr:row>
          <xdr:rowOff>47625</xdr:rowOff>
        </xdr:to>
        <xdr:sp macro="" textlink="">
          <xdr:nvSpPr>
            <xdr:cNvPr id="57347" name="CommandButton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47625</xdr:rowOff>
        </xdr:from>
        <xdr:to>
          <xdr:col>9</xdr:col>
          <xdr:colOff>104775</xdr:colOff>
          <xdr:row>2</xdr:row>
          <xdr:rowOff>171450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104775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0</xdr:row>
          <xdr:rowOff>95250</xdr:rowOff>
        </xdr:from>
        <xdr:to>
          <xdr:col>6</xdr:col>
          <xdr:colOff>19050</xdr:colOff>
          <xdr:row>2</xdr:row>
          <xdr:rowOff>19050</xdr:rowOff>
        </xdr:to>
        <xdr:sp macro="" textlink="">
          <xdr:nvSpPr>
            <xdr:cNvPr id="34819" name="CommandButton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657225</xdr:colOff>
          <xdr:row>0</xdr:row>
          <xdr:rowOff>428625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504825</xdr:colOff>
          <xdr:row>0</xdr:row>
          <xdr:rowOff>428625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133350</xdr:rowOff>
        </xdr:from>
        <xdr:to>
          <xdr:col>8</xdr:col>
          <xdr:colOff>276225</xdr:colOff>
          <xdr:row>0</xdr:row>
          <xdr:rowOff>438150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4</xdr:col>
          <xdr:colOff>114300</xdr:colOff>
          <xdr:row>0</xdr:row>
          <xdr:rowOff>428625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85726</xdr:rowOff>
    </xdr:from>
    <xdr:to>
      <xdr:col>14</xdr:col>
      <xdr:colOff>428625</xdr:colOff>
      <xdr:row>159</xdr:row>
      <xdr:rowOff>67709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71526"/>
          <a:ext cx="5867400" cy="6220858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.xml"/><Relationship Id="rId12" Type="http://schemas.openxmlformats.org/officeDocument/2006/relationships/image" Target="../media/image7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6.xml"/><Relationship Id="rId5" Type="http://schemas.openxmlformats.org/officeDocument/2006/relationships/drawing" Target="../drawings/drawing2.xml"/><Relationship Id="rId10" Type="http://schemas.openxmlformats.org/officeDocument/2006/relationships/image" Target="../media/image6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.xml"/><Relationship Id="rId12" Type="http://schemas.openxmlformats.org/officeDocument/2006/relationships/image" Target="../media/image10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9.xml"/><Relationship Id="rId5" Type="http://schemas.openxmlformats.org/officeDocument/2006/relationships/drawing" Target="../drawings/drawing3.xml"/><Relationship Id="rId10" Type="http://schemas.openxmlformats.org/officeDocument/2006/relationships/image" Target="../media/image9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0.xml"/><Relationship Id="rId12" Type="http://schemas.openxmlformats.org/officeDocument/2006/relationships/image" Target="../media/image1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4.vml"/><Relationship Id="rId11" Type="http://schemas.openxmlformats.org/officeDocument/2006/relationships/control" Target="../activeX/activeX12.xml"/><Relationship Id="rId5" Type="http://schemas.openxmlformats.org/officeDocument/2006/relationships/drawing" Target="../drawings/drawing4.xml"/><Relationship Id="rId10" Type="http://schemas.openxmlformats.org/officeDocument/2006/relationships/image" Target="../media/image12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3.xml"/><Relationship Id="rId12" Type="http://schemas.openxmlformats.org/officeDocument/2006/relationships/image" Target="../media/image17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5.vml"/><Relationship Id="rId11" Type="http://schemas.openxmlformats.org/officeDocument/2006/relationships/control" Target="../activeX/activeX15.xml"/><Relationship Id="rId5" Type="http://schemas.openxmlformats.org/officeDocument/2006/relationships/drawing" Target="../drawings/drawing5.xml"/><Relationship Id="rId10" Type="http://schemas.openxmlformats.org/officeDocument/2006/relationships/image" Target="../media/image16.emf"/><Relationship Id="rId4" Type="http://schemas.openxmlformats.org/officeDocument/2006/relationships/printerSettings" Target="../printerSettings/printerSettings5.bin"/><Relationship Id="rId9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6.xml"/><Relationship Id="rId12" Type="http://schemas.openxmlformats.org/officeDocument/2006/relationships/image" Target="../media/image20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6.vml"/><Relationship Id="rId11" Type="http://schemas.openxmlformats.org/officeDocument/2006/relationships/control" Target="../activeX/activeX18.xml"/><Relationship Id="rId5" Type="http://schemas.openxmlformats.org/officeDocument/2006/relationships/drawing" Target="../drawings/drawing6.xml"/><Relationship Id="rId10" Type="http://schemas.openxmlformats.org/officeDocument/2006/relationships/image" Target="../media/image19.emf"/><Relationship Id="rId4" Type="http://schemas.openxmlformats.org/officeDocument/2006/relationships/printerSettings" Target="../printerSettings/printerSettings6.bin"/><Relationship Id="rId9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9.xml"/><Relationship Id="rId12" Type="http://schemas.openxmlformats.org/officeDocument/2006/relationships/image" Target="../media/image2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7.vml"/><Relationship Id="rId11" Type="http://schemas.openxmlformats.org/officeDocument/2006/relationships/control" Target="../activeX/activeX21.xml"/><Relationship Id="rId5" Type="http://schemas.openxmlformats.org/officeDocument/2006/relationships/drawing" Target="../drawings/drawing7.xml"/><Relationship Id="rId10" Type="http://schemas.openxmlformats.org/officeDocument/2006/relationships/image" Target="../media/image22.emf"/><Relationship Id="rId4" Type="http://schemas.openxmlformats.org/officeDocument/2006/relationships/printerSettings" Target="../printerSettings/printerSettings7.bin"/><Relationship Id="rId9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2.xml"/><Relationship Id="rId12" Type="http://schemas.openxmlformats.org/officeDocument/2006/relationships/image" Target="../media/image2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8.vml"/><Relationship Id="rId11" Type="http://schemas.openxmlformats.org/officeDocument/2006/relationships/control" Target="../activeX/activeX24.xml"/><Relationship Id="rId5" Type="http://schemas.openxmlformats.org/officeDocument/2006/relationships/drawing" Target="../drawings/drawing8.xml"/><Relationship Id="rId10" Type="http://schemas.openxmlformats.org/officeDocument/2006/relationships/image" Target="../media/image27.emf"/><Relationship Id="rId4" Type="http://schemas.openxmlformats.org/officeDocument/2006/relationships/printerSettings" Target="../printerSettings/printerSettings8.bin"/><Relationship Id="rId9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5.xml"/><Relationship Id="rId12" Type="http://schemas.openxmlformats.org/officeDocument/2006/relationships/image" Target="../media/image31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9.vml"/><Relationship Id="rId11" Type="http://schemas.openxmlformats.org/officeDocument/2006/relationships/control" Target="../activeX/activeX27.xml"/><Relationship Id="rId5" Type="http://schemas.openxmlformats.org/officeDocument/2006/relationships/drawing" Target="../drawings/drawing9.xml"/><Relationship Id="rId10" Type="http://schemas.openxmlformats.org/officeDocument/2006/relationships/image" Target="../media/image30.emf"/><Relationship Id="rId4" Type="http://schemas.openxmlformats.org/officeDocument/2006/relationships/printerSettings" Target="../printerSettings/printerSettings9.bin"/><Relationship Id="rId9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8.xml"/><Relationship Id="rId12" Type="http://schemas.openxmlformats.org/officeDocument/2006/relationships/image" Target="../media/image34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0.vml"/><Relationship Id="rId11" Type="http://schemas.openxmlformats.org/officeDocument/2006/relationships/control" Target="../activeX/activeX30.xml"/><Relationship Id="rId5" Type="http://schemas.openxmlformats.org/officeDocument/2006/relationships/drawing" Target="../drawings/drawing10.xml"/><Relationship Id="rId10" Type="http://schemas.openxmlformats.org/officeDocument/2006/relationships/image" Target="../media/image33.emf"/><Relationship Id="rId4" Type="http://schemas.openxmlformats.org/officeDocument/2006/relationships/printerSettings" Target="../printerSettings/printerSettings10.bin"/><Relationship Id="rId9" Type="http://schemas.openxmlformats.org/officeDocument/2006/relationships/control" Target="../activeX/activeX2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1.xml"/><Relationship Id="rId12" Type="http://schemas.openxmlformats.org/officeDocument/2006/relationships/image" Target="../media/image37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1.vml"/><Relationship Id="rId11" Type="http://schemas.openxmlformats.org/officeDocument/2006/relationships/control" Target="../activeX/activeX33.xml"/><Relationship Id="rId5" Type="http://schemas.openxmlformats.org/officeDocument/2006/relationships/drawing" Target="../drawings/drawing11.xml"/><Relationship Id="rId10" Type="http://schemas.openxmlformats.org/officeDocument/2006/relationships/image" Target="../media/image36.emf"/><Relationship Id="rId4" Type="http://schemas.openxmlformats.org/officeDocument/2006/relationships/printerSettings" Target="../printerSettings/printerSettings11.bin"/><Relationship Id="rId9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4.xml"/><Relationship Id="rId12" Type="http://schemas.openxmlformats.org/officeDocument/2006/relationships/image" Target="../media/image40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2.vml"/><Relationship Id="rId11" Type="http://schemas.openxmlformats.org/officeDocument/2006/relationships/control" Target="../activeX/activeX36.xml"/><Relationship Id="rId5" Type="http://schemas.openxmlformats.org/officeDocument/2006/relationships/drawing" Target="../drawings/drawing12.xml"/><Relationship Id="rId10" Type="http://schemas.openxmlformats.org/officeDocument/2006/relationships/image" Target="../media/image39.emf"/><Relationship Id="rId4" Type="http://schemas.openxmlformats.org/officeDocument/2006/relationships/printerSettings" Target="../printerSettings/printerSettings12.bin"/><Relationship Id="rId9" Type="http://schemas.openxmlformats.org/officeDocument/2006/relationships/control" Target="../activeX/activeX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7.xml"/><Relationship Id="rId12" Type="http://schemas.openxmlformats.org/officeDocument/2006/relationships/image" Target="../media/image4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3.vml"/><Relationship Id="rId11" Type="http://schemas.openxmlformats.org/officeDocument/2006/relationships/control" Target="../activeX/activeX39.xml"/><Relationship Id="rId5" Type="http://schemas.openxmlformats.org/officeDocument/2006/relationships/drawing" Target="../drawings/drawing13.xml"/><Relationship Id="rId10" Type="http://schemas.openxmlformats.org/officeDocument/2006/relationships/image" Target="../media/image42.emf"/><Relationship Id="rId4" Type="http://schemas.openxmlformats.org/officeDocument/2006/relationships/printerSettings" Target="../printerSettings/printerSettings13.bin"/><Relationship Id="rId9" Type="http://schemas.openxmlformats.org/officeDocument/2006/relationships/control" Target="../activeX/activeX3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0.xml"/><Relationship Id="rId12" Type="http://schemas.openxmlformats.org/officeDocument/2006/relationships/image" Target="../media/image4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4.vml"/><Relationship Id="rId11" Type="http://schemas.openxmlformats.org/officeDocument/2006/relationships/control" Target="../activeX/activeX42.xml"/><Relationship Id="rId5" Type="http://schemas.openxmlformats.org/officeDocument/2006/relationships/drawing" Target="../drawings/drawing14.xml"/><Relationship Id="rId10" Type="http://schemas.openxmlformats.org/officeDocument/2006/relationships/image" Target="../media/image45.emf"/><Relationship Id="rId4" Type="http://schemas.openxmlformats.org/officeDocument/2006/relationships/printerSettings" Target="../printerSettings/printerSettings14.bin"/><Relationship Id="rId9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3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5.vml"/><Relationship Id="rId5" Type="http://schemas.openxmlformats.org/officeDocument/2006/relationships/drawing" Target="../drawings/drawing15.xml"/><Relationship Id="rId10" Type="http://schemas.openxmlformats.org/officeDocument/2006/relationships/image" Target="../media/image48.emf"/><Relationship Id="rId4" Type="http://schemas.openxmlformats.org/officeDocument/2006/relationships/printerSettings" Target="../printerSettings/printerSettings15.bin"/><Relationship Id="rId9" Type="http://schemas.openxmlformats.org/officeDocument/2006/relationships/control" Target="../activeX/activeX4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5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6.vml"/><Relationship Id="rId5" Type="http://schemas.openxmlformats.org/officeDocument/2006/relationships/drawing" Target="../drawings/drawing16.xml"/><Relationship Id="rId10" Type="http://schemas.openxmlformats.org/officeDocument/2006/relationships/image" Target="../media/image50.emf"/><Relationship Id="rId4" Type="http://schemas.openxmlformats.org/officeDocument/2006/relationships/printerSettings" Target="../printerSettings/printerSettings16.bin"/><Relationship Id="rId9" Type="http://schemas.openxmlformats.org/officeDocument/2006/relationships/control" Target="../activeX/activeX4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hyperlink" Target="file:///\\file01.letdeinze.lan\company\Letdata\data\06\0392A00\G3\060392A00-G3N01_.ods" TargetMode="External"/><Relationship Id="rId7" Type="http://schemas.openxmlformats.org/officeDocument/2006/relationships/vmlDrawing" Target="../drawings/vmlDrawing17.v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drawing" Target="../drawings/drawing17.xml"/><Relationship Id="rId11" Type="http://schemas.openxmlformats.org/officeDocument/2006/relationships/image" Target="../media/image52.emf"/><Relationship Id="rId5" Type="http://schemas.openxmlformats.org/officeDocument/2006/relationships/printerSettings" Target="../printerSettings/printerSettings18.bin"/><Relationship Id="rId10" Type="http://schemas.openxmlformats.org/officeDocument/2006/relationships/control" Target="../activeX/activeX48.xml"/><Relationship Id="rId4" Type="http://schemas.openxmlformats.org/officeDocument/2006/relationships/hyperlink" Target="file:///\\QNAP01\Temporary\voor%20SPARES\REFURBISHMENT%20SPEEDOSCOPES\DSA%20overview%20speedoscope%20+%20BRC.xlsx" TargetMode="External"/><Relationship Id="rId9" Type="http://schemas.openxmlformats.org/officeDocument/2006/relationships/image" Target="../media/image51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printerSettings" Target="../printerSettings/printerSettings19.bin"/><Relationship Id="rId7" Type="http://schemas.openxmlformats.org/officeDocument/2006/relationships/image" Target="../media/image5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control" Target="../activeX/activeX49.xml"/><Relationship Id="rId5" Type="http://schemas.openxmlformats.org/officeDocument/2006/relationships/vmlDrawing" Target="../drawings/vmlDrawing18.vml"/><Relationship Id="rId4" Type="http://schemas.openxmlformats.org/officeDocument/2006/relationships/drawing" Target="../drawings/drawing18.xml"/><Relationship Id="rId9" Type="http://schemas.openxmlformats.org/officeDocument/2006/relationships/image" Target="../media/image5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1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9.vml"/><Relationship Id="rId5" Type="http://schemas.openxmlformats.org/officeDocument/2006/relationships/drawing" Target="../drawings/drawing19.xml"/><Relationship Id="rId10" Type="http://schemas.openxmlformats.org/officeDocument/2006/relationships/image" Target="../media/image56.emf"/><Relationship Id="rId4" Type="http://schemas.openxmlformats.org/officeDocument/2006/relationships/printerSettings" Target="../printerSettings/printerSettings20.bin"/><Relationship Id="rId9" Type="http://schemas.openxmlformats.org/officeDocument/2006/relationships/control" Target="../activeX/activeX5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3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0.vml"/><Relationship Id="rId5" Type="http://schemas.openxmlformats.org/officeDocument/2006/relationships/drawing" Target="../drawings/drawing20.xml"/><Relationship Id="rId10" Type="http://schemas.openxmlformats.org/officeDocument/2006/relationships/image" Target="../media/image58.emf"/><Relationship Id="rId4" Type="http://schemas.openxmlformats.org/officeDocument/2006/relationships/printerSettings" Target="../printerSettings/printerSettings21.bin"/><Relationship Id="rId9" Type="http://schemas.openxmlformats.org/officeDocument/2006/relationships/control" Target="../activeX/activeX54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5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1.vml"/><Relationship Id="rId5" Type="http://schemas.openxmlformats.org/officeDocument/2006/relationships/drawing" Target="../drawings/drawing21.xml"/><Relationship Id="rId10" Type="http://schemas.openxmlformats.org/officeDocument/2006/relationships/image" Target="../media/image61.emf"/><Relationship Id="rId4" Type="http://schemas.openxmlformats.org/officeDocument/2006/relationships/printerSettings" Target="../printerSettings/printerSettings22.bin"/><Relationship Id="rId9" Type="http://schemas.openxmlformats.org/officeDocument/2006/relationships/control" Target="../activeX/activeX5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7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2.vml"/><Relationship Id="rId5" Type="http://schemas.openxmlformats.org/officeDocument/2006/relationships/drawing" Target="../drawings/drawing22.xml"/><Relationship Id="rId10" Type="http://schemas.openxmlformats.org/officeDocument/2006/relationships/image" Target="../media/image63.emf"/><Relationship Id="rId4" Type="http://schemas.openxmlformats.org/officeDocument/2006/relationships/printerSettings" Target="../printerSettings/printerSettings23.bin"/><Relationship Id="rId9" Type="http://schemas.openxmlformats.org/officeDocument/2006/relationships/control" Target="../activeX/activeX5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9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3.vml"/><Relationship Id="rId5" Type="http://schemas.openxmlformats.org/officeDocument/2006/relationships/drawing" Target="../drawings/drawing23.xml"/><Relationship Id="rId10" Type="http://schemas.openxmlformats.org/officeDocument/2006/relationships/image" Target="../media/image65.emf"/><Relationship Id="rId4" Type="http://schemas.openxmlformats.org/officeDocument/2006/relationships/printerSettings" Target="../printerSettings/printerSettings24.bin"/><Relationship Id="rId9" Type="http://schemas.openxmlformats.org/officeDocument/2006/relationships/control" Target="../activeX/activeX6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1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4.vml"/><Relationship Id="rId5" Type="http://schemas.openxmlformats.org/officeDocument/2006/relationships/drawing" Target="../drawings/drawing24.xml"/><Relationship Id="rId10" Type="http://schemas.openxmlformats.org/officeDocument/2006/relationships/image" Target="../media/image67.emf"/><Relationship Id="rId4" Type="http://schemas.openxmlformats.org/officeDocument/2006/relationships/printerSettings" Target="../printerSettings/printerSettings25.bin"/><Relationship Id="rId9" Type="http://schemas.openxmlformats.org/officeDocument/2006/relationships/control" Target="../activeX/activeX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0">
    <tabColor rgb="FFFFC000"/>
    <pageSetUpPr fitToPage="1"/>
  </sheetPr>
  <dimension ref="A1:BJ167"/>
  <sheetViews>
    <sheetView tabSelected="1" zoomScale="95" zoomScaleNormal="95" workbookViewId="0">
      <selection activeCell="E6" sqref="E6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19.14062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5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5" s="36" customFormat="1" ht="153" customHeight="1" x14ac:dyDescent="0.25">
      <c r="A4" s="89"/>
      <c r="B4" s="89"/>
      <c r="C4" s="90">
        <v>43662</v>
      </c>
      <c r="D4" s="89"/>
      <c r="E4" s="91" t="s">
        <v>437</v>
      </c>
      <c r="F4" s="91"/>
      <c r="G4" s="91"/>
      <c r="H4" s="91"/>
      <c r="I4" s="91"/>
      <c r="J4" s="91"/>
      <c r="K4" s="91"/>
      <c r="L4" s="91"/>
      <c r="M4" s="91"/>
      <c r="N4" s="89"/>
    </row>
    <row r="5" spans="1:15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rgo190030sabrina</v>
      </c>
      <c r="D5" s="93">
        <v>43726</v>
      </c>
      <c r="E5" s="71" t="s">
        <v>605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5" ht="17.25" customHeight="1" x14ac:dyDescent="0.25">
      <c r="A6" s="24" t="s">
        <v>307</v>
      </c>
      <c r="B6" s="24" t="s">
        <v>324</v>
      </c>
      <c r="C6" s="24" t="s">
        <v>323</v>
      </c>
      <c r="D6" s="85" t="str">
        <f t="shared" ref="D6:D72" si="0">(E6+F6+L6+G6+H6+I6+J6+K6) &amp;M6</f>
        <v>0batt was 4.8V !test met LUC</v>
      </c>
      <c r="E6" s="74"/>
      <c r="F6" s="74"/>
      <c r="G6" s="74"/>
      <c r="H6" s="74"/>
      <c r="I6" s="74"/>
      <c r="J6" s="74"/>
      <c r="K6" s="74"/>
      <c r="L6" s="75"/>
      <c r="M6" s="83" t="s">
        <v>607</v>
      </c>
      <c r="O6" t="s">
        <v>606</v>
      </c>
    </row>
    <row r="7" spans="1:15" ht="17.25" customHeight="1" x14ac:dyDescent="0.25">
      <c r="A7" s="24" t="s">
        <v>386</v>
      </c>
      <c r="B7" s="24"/>
      <c r="C7" s="24"/>
      <c r="D7" s="85" t="str">
        <f>(E7+F7+L7+G7+H7+I7+J7+K7) &amp;M7</f>
        <v>0moto blijft staan tijdens opstarten</v>
      </c>
      <c r="F7" s="74"/>
      <c r="G7" s="74"/>
      <c r="H7" s="74"/>
      <c r="I7" s="74"/>
      <c r="J7" s="74"/>
      <c r="K7" s="74"/>
      <c r="L7" s="75"/>
      <c r="M7" s="74" t="s">
        <v>608</v>
      </c>
    </row>
    <row r="8" spans="1:15" ht="17.25" customHeight="1" x14ac:dyDescent="0.25">
      <c r="A8" s="24" t="s">
        <v>314</v>
      </c>
      <c r="B8" s="24" t="s">
        <v>603</v>
      </c>
      <c r="C8" s="24" t="s">
        <v>533</v>
      </c>
      <c r="D8" s="85" t="str">
        <f t="shared" si="0"/>
        <v>0</v>
      </c>
      <c r="E8" s="74"/>
      <c r="F8" s="74"/>
      <c r="G8" s="74"/>
      <c r="H8" s="74"/>
      <c r="I8" s="74"/>
      <c r="J8" s="74"/>
      <c r="K8" s="74"/>
      <c r="L8" s="75"/>
    </row>
    <row r="9" spans="1:15" ht="18" customHeight="1" x14ac:dyDescent="0.25">
      <c r="A9" s="24" t="s">
        <v>314</v>
      </c>
      <c r="B9" s="24" t="s">
        <v>315</v>
      </c>
      <c r="C9" s="24" t="s">
        <v>365</v>
      </c>
      <c r="D9" s="85" t="str">
        <f t="shared" si="0"/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5" ht="18" customHeight="1" x14ac:dyDescent="0.25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5" ht="18" customHeight="1" x14ac:dyDescent="0.25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5" ht="18" customHeight="1" x14ac:dyDescent="0.25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5" ht="18" customHeight="1" x14ac:dyDescent="0.25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5" ht="18" customHeight="1" x14ac:dyDescent="0.25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5" ht="18" customHeight="1" x14ac:dyDescent="0.25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5" ht="18" customHeight="1" x14ac:dyDescent="0.25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customHeight="1" x14ac:dyDescent="0.25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customHeight="1" x14ac:dyDescent="0.25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customHeight="1" x14ac:dyDescent="0.25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customHeight="1" x14ac:dyDescent="0.25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customHeight="1" x14ac:dyDescent="0.25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customHeight="1" x14ac:dyDescent="0.25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/>
      <c r="F22" s="76"/>
      <c r="G22" s="76"/>
      <c r="H22" s="76"/>
      <c r="I22" s="76"/>
      <c r="J22" s="76"/>
      <c r="K22" s="76"/>
      <c r="L22" s="76"/>
      <c r="M22" s="76"/>
    </row>
    <row r="23" spans="1:13" ht="18" customHeight="1" x14ac:dyDescent="0.25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customHeight="1" x14ac:dyDescent="0.25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customHeight="1" x14ac:dyDescent="0.25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customHeight="1" x14ac:dyDescent="0.25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customHeight="1" x14ac:dyDescent="0.25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customHeight="1" x14ac:dyDescent="0.25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customHeight="1" x14ac:dyDescent="0.25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customHeight="1" x14ac:dyDescent="0.25">
      <c r="A30" s="30" t="s">
        <v>138</v>
      </c>
      <c r="B30" s="30" t="s">
        <v>143</v>
      </c>
      <c r="C30" s="30" t="s">
        <v>144</v>
      </c>
      <c r="D30" s="85" t="str">
        <f t="shared" si="0"/>
        <v>1</v>
      </c>
      <c r="E30" s="75">
        <v>1</v>
      </c>
      <c r="F30" s="75"/>
      <c r="G30" s="75"/>
      <c r="H30" s="75"/>
      <c r="I30" s="75"/>
      <c r="J30" s="75"/>
      <c r="K30" s="75"/>
      <c r="L30" s="75"/>
      <c r="M30" s="75"/>
    </row>
    <row r="31" spans="1:13" ht="18" customHeight="1" x14ac:dyDescent="0.25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customHeight="1" x14ac:dyDescent="0.25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customHeight="1" x14ac:dyDescent="0.25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customHeight="1" x14ac:dyDescent="0.25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customHeight="1" x14ac:dyDescent="0.25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customHeight="1" x14ac:dyDescent="0.25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x14ac:dyDescent="0.25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x14ac:dyDescent="0.25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x14ac:dyDescent="0.25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x14ac:dyDescent="0.25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x14ac:dyDescent="0.25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x14ac:dyDescent="0.25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x14ac:dyDescent="0.25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x14ac:dyDescent="0.25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x14ac:dyDescent="0.25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x14ac:dyDescent="0.25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x14ac:dyDescent="0.25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x14ac:dyDescent="0.25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x14ac:dyDescent="0.25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x14ac:dyDescent="0.25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x14ac:dyDescent="0.25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x14ac:dyDescent="0.25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x14ac:dyDescent="0.25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x14ac:dyDescent="0.25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x14ac:dyDescent="0.25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x14ac:dyDescent="0.25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x14ac:dyDescent="0.25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x14ac:dyDescent="0.25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x14ac:dyDescent="0.25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x14ac:dyDescent="0.25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x14ac:dyDescent="0.25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x14ac:dyDescent="0.25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x14ac:dyDescent="0.25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x14ac:dyDescent="0.25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x14ac:dyDescent="0.25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x14ac:dyDescent="0.25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x14ac:dyDescent="0.25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x14ac:dyDescent="0.25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x14ac:dyDescent="0.25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x14ac:dyDescent="0.25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x14ac:dyDescent="0.25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x14ac:dyDescent="0.25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x14ac:dyDescent="0.25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x14ac:dyDescent="0.25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x14ac:dyDescent="0.25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x14ac:dyDescent="0.25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x14ac:dyDescent="0.25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x14ac:dyDescent="0.25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x14ac:dyDescent="0.25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x14ac:dyDescent="0.25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x14ac:dyDescent="0.25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x14ac:dyDescent="0.25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x14ac:dyDescent="0.25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x14ac:dyDescent="0.25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x14ac:dyDescent="0.25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x14ac:dyDescent="0.25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x14ac:dyDescent="0.25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x14ac:dyDescent="0.25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x14ac:dyDescent="0.25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x14ac:dyDescent="0.25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x14ac:dyDescent="0.25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x14ac:dyDescent="0.25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x14ac:dyDescent="0.25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x14ac:dyDescent="0.25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x14ac:dyDescent="0.25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x14ac:dyDescent="0.25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x14ac:dyDescent="0.25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x14ac:dyDescent="0.25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x14ac:dyDescent="0.25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x14ac:dyDescent="0.25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x14ac:dyDescent="0.25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x14ac:dyDescent="0.25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x14ac:dyDescent="0.25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x14ac:dyDescent="0.25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x14ac:dyDescent="0.25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x14ac:dyDescent="0.25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x14ac:dyDescent="0.25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x14ac:dyDescent="0.25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x14ac:dyDescent="0.25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x14ac:dyDescent="0.25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x14ac:dyDescent="0.25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x14ac:dyDescent="0.25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x14ac:dyDescent="0.25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x14ac:dyDescent="0.25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x14ac:dyDescent="0.25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x14ac:dyDescent="0.25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x14ac:dyDescent="0.25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x14ac:dyDescent="0.25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x14ac:dyDescent="0.25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x14ac:dyDescent="0.25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x14ac:dyDescent="0.25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x14ac:dyDescent="0.25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x14ac:dyDescent="0.25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x14ac:dyDescent="0.25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x14ac:dyDescent="0.25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x14ac:dyDescent="0.25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x14ac:dyDescent="0.25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x14ac:dyDescent="0.25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x14ac:dyDescent="0.25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x14ac:dyDescent="0.25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x14ac:dyDescent="0.25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x14ac:dyDescent="0.25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x14ac:dyDescent="0.25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x14ac:dyDescent="0.25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x14ac:dyDescent="0.25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x14ac:dyDescent="0.25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x14ac:dyDescent="0.25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x14ac:dyDescent="0.25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x14ac:dyDescent="0.25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x14ac:dyDescent="0.25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x14ac:dyDescent="0.25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x14ac:dyDescent="0.25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x14ac:dyDescent="0.25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x14ac:dyDescent="0.25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x14ac:dyDescent="0.25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x14ac:dyDescent="0.25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x14ac:dyDescent="0.25">
      <c r="D147" s="85" t="str">
        <f t="shared" si="2"/>
        <v>0</v>
      </c>
    </row>
    <row r="148" spans="1:62" x14ac:dyDescent="0.25">
      <c r="D148" s="85" t="str">
        <f t="shared" si="2"/>
        <v>0</v>
      </c>
    </row>
    <row r="149" spans="1:62" x14ac:dyDescent="0.25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x14ac:dyDescent="0.25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x14ac:dyDescent="0.25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x14ac:dyDescent="0.25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x14ac:dyDescent="0.25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x14ac:dyDescent="0.25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x14ac:dyDescent="0.25">
      <c r="D155" s="85" t="str">
        <f t="shared" si="2"/>
        <v>0</v>
      </c>
    </row>
    <row r="156" spans="1:62" x14ac:dyDescent="0.25">
      <c r="D156" s="85" t="str">
        <f t="shared" si="2"/>
        <v>0</v>
      </c>
    </row>
    <row r="157" spans="1:62" x14ac:dyDescent="0.25">
      <c r="D157" s="85" t="str">
        <f t="shared" si="2"/>
        <v>0</v>
      </c>
    </row>
    <row r="158" spans="1:62" x14ac:dyDescent="0.25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x14ac:dyDescent="0.25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x14ac:dyDescent="0.25">
      <c r="D160" s="85" t="str">
        <f t="shared" si="2"/>
        <v>0</v>
      </c>
    </row>
    <row r="161" spans="1:13" x14ac:dyDescent="0.25">
      <c r="D161" s="85" t="str">
        <f t="shared" si="2"/>
        <v>0</v>
      </c>
    </row>
    <row r="162" spans="1:13" x14ac:dyDescent="0.25">
      <c r="D162" s="85" t="str">
        <f t="shared" si="2"/>
        <v>0</v>
      </c>
    </row>
    <row r="163" spans="1:13" x14ac:dyDescent="0.25">
      <c r="D163" s="85" t="str">
        <f t="shared" si="2"/>
        <v>0</v>
      </c>
    </row>
    <row r="164" spans="1:13" x14ac:dyDescent="0.25">
      <c r="D164" s="85" t="str">
        <f t="shared" si="2"/>
        <v>0</v>
      </c>
    </row>
    <row r="165" spans="1:13" x14ac:dyDescent="0.25">
      <c r="D165" s="85" t="str">
        <f t="shared" si="2"/>
        <v>0</v>
      </c>
    </row>
    <row r="166" spans="1:13" x14ac:dyDescent="0.25">
      <c r="D166" s="85" t="str">
        <f t="shared" si="2"/>
        <v>0</v>
      </c>
    </row>
    <row r="167" spans="1:13" x14ac:dyDescent="0.25">
      <c r="A167" s="24" t="s">
        <v>52</v>
      </c>
      <c r="B167" s="24" t="s">
        <v>517</v>
      </c>
      <c r="C167" s="24" t="s">
        <v>604</v>
      </c>
      <c r="D167" s="85" t="str">
        <f t="shared" si="2"/>
        <v>2</v>
      </c>
      <c r="E167" s="74">
        <v>2</v>
      </c>
      <c r="F167" s="74"/>
      <c r="G167" s="74"/>
      <c r="H167" s="74"/>
      <c r="I167" s="74"/>
      <c r="J167" s="74"/>
      <c r="K167" s="74"/>
      <c r="L167" s="75"/>
      <c r="M167" s="75"/>
    </row>
  </sheetData>
  <autoFilter ref="A5:M167"/>
  <hyperlinks>
    <hyperlink ref="A1" r:id="rId1"/>
    <hyperlink ref="N1" r:id="rId2"/>
    <hyperlink ref="D1" r:id="rId3"/>
  </hyperlinks>
  <pageMargins left="0.25" right="0.25" top="0.75" bottom="0.75" header="0.3" footer="0.3"/>
  <pageSetup paperSize="8" scale="55" orientation="landscape" r:id="rId4"/>
  <drawing r:id="rId5"/>
  <legacyDrawing r:id="rId6"/>
  <controls>
    <mc:AlternateContent xmlns:mc="http://schemas.openxmlformats.org/markup-compatibility/2006">
      <mc:Choice Requires="x14">
        <control shapeId="269315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69315" r:id="rId7" name="CommandButton3"/>
      </mc:Fallback>
    </mc:AlternateContent>
    <mc:AlternateContent xmlns:mc="http://schemas.openxmlformats.org/markup-compatibility/2006">
      <mc:Choice Requires="x14">
        <control shapeId="269314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69314" r:id="rId9" name="CommandButton2"/>
      </mc:Fallback>
    </mc:AlternateContent>
    <mc:AlternateContent xmlns:mc="http://schemas.openxmlformats.org/markup-compatibility/2006">
      <mc:Choice Requires="x14">
        <control shapeId="269313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69313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9" filterMode="1">
    <tabColor rgb="FFFFC000"/>
    <pageSetUpPr fitToPage="1"/>
  </sheetPr>
  <dimension ref="A1:BJ166"/>
  <sheetViews>
    <sheetView zoomScale="95" zoomScaleNormal="95" workbookViewId="0">
      <selection activeCell="B173" sqref="B173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19.14062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7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7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7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7" s="36" customFormat="1" ht="153" customHeight="1" x14ac:dyDescent="0.25">
      <c r="A4" s="89"/>
      <c r="B4" s="89"/>
      <c r="C4" s="90">
        <v>43662</v>
      </c>
      <c r="D4" s="89"/>
      <c r="E4" s="91" t="s">
        <v>437</v>
      </c>
      <c r="F4" s="91"/>
      <c r="G4" s="91"/>
      <c r="H4" s="91"/>
      <c r="I4" s="91"/>
      <c r="J4" s="91"/>
      <c r="K4" s="91"/>
      <c r="L4" s="91"/>
      <c r="M4" s="91"/>
      <c r="N4" s="89"/>
    </row>
    <row r="5" spans="1:17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rde190006</v>
      </c>
      <c r="D5" s="84"/>
      <c r="E5" s="71" t="s">
        <v>602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7" ht="17.25" hidden="1" customHeight="1" x14ac:dyDescent="0.25">
      <c r="A6" s="24" t="s">
        <v>307</v>
      </c>
      <c r="B6" s="24" t="s">
        <v>324</v>
      </c>
      <c r="C6" s="24" t="s">
        <v>323</v>
      </c>
      <c r="D6" s="85" t="str">
        <f t="shared" ref="D6:D71" si="0">(E6+F6+L6+G6+H6+I6+J6+K6) &amp;M6</f>
        <v>0</v>
      </c>
      <c r="E6" s="74"/>
      <c r="F6" s="74"/>
      <c r="G6" s="74"/>
      <c r="H6" s="74"/>
      <c r="I6" s="74"/>
      <c r="J6" s="74"/>
      <c r="K6" s="74"/>
      <c r="L6" s="75"/>
    </row>
    <row r="7" spans="1:17" ht="17.25" customHeight="1" x14ac:dyDescent="0.25">
      <c r="A7" s="24" t="s">
        <v>314</v>
      </c>
      <c r="B7" s="24" t="s">
        <v>603</v>
      </c>
      <c r="C7" s="24" t="s">
        <v>533</v>
      </c>
      <c r="D7" s="85" t="str">
        <f t="shared" si="0"/>
        <v>1</v>
      </c>
      <c r="E7" s="74">
        <v>1</v>
      </c>
      <c r="F7" s="74"/>
      <c r="G7" s="74"/>
      <c r="H7" s="74"/>
      <c r="I7" s="74"/>
      <c r="J7" s="74"/>
      <c r="K7" s="74"/>
      <c r="L7" s="75"/>
    </row>
    <row r="8" spans="1:17" ht="18" hidden="1" customHeight="1" x14ac:dyDescent="0.25">
      <c r="A8" s="24" t="s">
        <v>314</v>
      </c>
      <c r="B8" s="24" t="s">
        <v>315</v>
      </c>
      <c r="C8" s="24" t="s">
        <v>365</v>
      </c>
      <c r="D8" s="85" t="str">
        <f t="shared" si="0"/>
        <v>0</v>
      </c>
      <c r="E8" s="74"/>
      <c r="F8" s="74"/>
      <c r="G8" s="74"/>
      <c r="H8" s="74"/>
      <c r="I8" s="74"/>
      <c r="J8" s="74"/>
      <c r="K8" s="74"/>
      <c r="L8" s="75"/>
      <c r="M8" s="75"/>
    </row>
    <row r="9" spans="1:17" ht="18" hidden="1" customHeight="1" x14ac:dyDescent="0.25">
      <c r="A9" s="30" t="s">
        <v>169</v>
      </c>
      <c r="B9" s="30" t="s">
        <v>215</v>
      </c>
      <c r="C9" s="30" t="s">
        <v>216</v>
      </c>
      <c r="D9" s="85" t="str">
        <f t="shared" si="0"/>
        <v>0</v>
      </c>
      <c r="E9" s="75"/>
      <c r="F9" s="75"/>
      <c r="G9" s="75"/>
      <c r="H9" s="75"/>
      <c r="I9" s="75"/>
      <c r="J9" s="75"/>
      <c r="K9" s="75"/>
      <c r="L9" s="75"/>
      <c r="M9" s="75"/>
      <c r="Q9" t="s">
        <v>573</v>
      </c>
    </row>
    <row r="10" spans="1:17" ht="18" hidden="1" customHeight="1" x14ac:dyDescent="0.25">
      <c r="A10" s="30" t="s">
        <v>169</v>
      </c>
      <c r="B10" s="30" t="s">
        <v>170</v>
      </c>
      <c r="C10" s="30" t="s">
        <v>171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7" ht="18" hidden="1" customHeight="1" x14ac:dyDescent="0.25">
      <c r="A11" s="30" t="s">
        <v>169</v>
      </c>
      <c r="B11" s="30" t="s">
        <v>172</v>
      </c>
      <c r="C11" s="30" t="s">
        <v>173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  <c r="Q11" t="s">
        <v>574</v>
      </c>
    </row>
    <row r="12" spans="1:17" ht="18" hidden="1" customHeight="1" x14ac:dyDescent="0.25">
      <c r="A12" s="30" t="s">
        <v>52</v>
      </c>
      <c r="B12" s="30" t="s">
        <v>53</v>
      </c>
      <c r="C12" s="30" t="s">
        <v>54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7" ht="18" hidden="1" customHeight="1" x14ac:dyDescent="0.25">
      <c r="A13" s="30" t="s">
        <v>138</v>
      </c>
      <c r="B13" s="30" t="s">
        <v>160</v>
      </c>
      <c r="C13" s="30" t="s">
        <v>159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  <c r="Q13" t="s">
        <v>575</v>
      </c>
    </row>
    <row r="14" spans="1:17" ht="18" hidden="1" customHeight="1" x14ac:dyDescent="0.25">
      <c r="A14" s="30" t="s">
        <v>138</v>
      </c>
      <c r="B14" s="30" t="s">
        <v>162</v>
      </c>
      <c r="C14" s="30" t="s">
        <v>161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7" ht="18" hidden="1" customHeight="1" x14ac:dyDescent="0.25">
      <c r="A15" s="30" t="s">
        <v>138</v>
      </c>
      <c r="B15" s="30" t="s">
        <v>139</v>
      </c>
      <c r="C15" s="30" t="s">
        <v>140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  <c r="Q15" t="s">
        <v>576</v>
      </c>
    </row>
    <row r="16" spans="1:17" ht="18" hidden="1" customHeight="1" x14ac:dyDescent="0.25">
      <c r="A16" s="30" t="s">
        <v>120</v>
      </c>
      <c r="B16" s="30" t="s">
        <v>123</v>
      </c>
      <c r="C16" s="30" t="s">
        <v>124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7" ht="18" hidden="1" customHeight="1" x14ac:dyDescent="0.25">
      <c r="A17" s="30" t="s">
        <v>120</v>
      </c>
      <c r="B17" s="30" t="s">
        <v>125</v>
      </c>
      <c r="C17" s="30" t="s">
        <v>126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  <c r="Q17" t="s">
        <v>577</v>
      </c>
    </row>
    <row r="18" spans="1:17" ht="18" hidden="1" customHeight="1" x14ac:dyDescent="0.25">
      <c r="A18" s="30" t="s">
        <v>268</v>
      </c>
      <c r="B18" s="30" t="s">
        <v>337</v>
      </c>
      <c r="C18" s="30" t="s">
        <v>555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7" ht="18" hidden="1" customHeight="1" x14ac:dyDescent="0.25">
      <c r="A19" s="30" t="s">
        <v>268</v>
      </c>
      <c r="B19" s="30" t="s">
        <v>269</v>
      </c>
      <c r="C19" s="30" t="s">
        <v>336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  <c r="Q19" t="s">
        <v>578</v>
      </c>
    </row>
    <row r="20" spans="1:17" ht="18" hidden="1" customHeight="1" x14ac:dyDescent="0.25">
      <c r="A20" s="30" t="s">
        <v>117</v>
      </c>
      <c r="B20" s="30" t="s">
        <v>118</v>
      </c>
      <c r="C20" s="30" t="s">
        <v>381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7" ht="18" hidden="1" customHeight="1" x14ac:dyDescent="0.25">
      <c r="A21" s="44" t="s">
        <v>107</v>
      </c>
      <c r="B21" s="44" t="s">
        <v>112</v>
      </c>
      <c r="C21" s="44" t="s">
        <v>312</v>
      </c>
      <c r="D21" s="85" t="str">
        <f t="shared" si="0"/>
        <v>0</v>
      </c>
      <c r="E21" s="76"/>
      <c r="F21" s="76"/>
      <c r="G21" s="76"/>
      <c r="H21" s="76"/>
      <c r="I21" s="76"/>
      <c r="J21" s="76"/>
      <c r="K21" s="76"/>
      <c r="L21" s="76"/>
      <c r="M21" s="76"/>
    </row>
    <row r="22" spans="1:17" ht="18" hidden="1" customHeight="1" x14ac:dyDescent="0.25">
      <c r="A22" s="30" t="s">
        <v>9</v>
      </c>
      <c r="B22" s="30" t="s">
        <v>166</v>
      </c>
      <c r="C22" s="30" t="s">
        <v>310</v>
      </c>
      <c r="D22" s="85" t="str">
        <f t="shared" si="0"/>
        <v>0</v>
      </c>
      <c r="E22" s="75"/>
      <c r="F22" s="75"/>
      <c r="G22" s="75"/>
      <c r="H22" s="75"/>
      <c r="I22" s="75"/>
      <c r="J22" s="75"/>
      <c r="K22" s="75"/>
      <c r="L22" s="75"/>
      <c r="M22" s="75"/>
    </row>
    <row r="23" spans="1:17" ht="18" hidden="1" customHeight="1" x14ac:dyDescent="0.25">
      <c r="A23" s="77" t="s">
        <v>9</v>
      </c>
      <c r="B23" s="77" t="s">
        <v>168</v>
      </c>
      <c r="C23" s="77" t="s">
        <v>311</v>
      </c>
      <c r="D23" s="85" t="str">
        <f t="shared" si="0"/>
        <v>0</v>
      </c>
      <c r="E23" s="78"/>
      <c r="F23" s="78"/>
      <c r="G23" s="78"/>
      <c r="H23" s="78"/>
      <c r="I23" s="78"/>
      <c r="J23" s="78"/>
      <c r="K23" s="78"/>
      <c r="L23" s="78"/>
      <c r="M23" s="78"/>
    </row>
    <row r="24" spans="1:17" ht="18" hidden="1" customHeight="1" x14ac:dyDescent="0.25">
      <c r="A24" s="30" t="s">
        <v>9</v>
      </c>
      <c r="B24" s="30" t="s">
        <v>155</v>
      </c>
      <c r="C24" s="30" t="s">
        <v>156</v>
      </c>
      <c r="D24" s="85" t="str">
        <f t="shared" si="0"/>
        <v>0</v>
      </c>
      <c r="E24" s="75"/>
      <c r="F24" s="75"/>
      <c r="G24" s="75"/>
      <c r="H24" s="75"/>
      <c r="I24" s="75"/>
      <c r="J24" s="75"/>
      <c r="K24" s="75"/>
      <c r="L24" s="75"/>
      <c r="M24" s="75"/>
    </row>
    <row r="25" spans="1:17" ht="18" hidden="1" customHeight="1" x14ac:dyDescent="0.25">
      <c r="A25" s="54" t="s">
        <v>138</v>
      </c>
      <c r="B25" s="54" t="s">
        <v>149</v>
      </c>
      <c r="C25" s="54" t="s">
        <v>345</v>
      </c>
      <c r="D25" s="85" t="str">
        <f t="shared" si="0"/>
        <v>0</v>
      </c>
      <c r="E25" s="79"/>
      <c r="F25" s="79"/>
      <c r="G25" s="79"/>
      <c r="H25" s="79"/>
      <c r="I25" s="79"/>
      <c r="J25" s="79"/>
      <c r="K25" s="79"/>
      <c r="L25" s="79"/>
      <c r="M25" s="79"/>
    </row>
    <row r="26" spans="1:17" ht="18" hidden="1" customHeight="1" x14ac:dyDescent="0.25">
      <c r="A26" s="30" t="s">
        <v>352</v>
      </c>
      <c r="B26" s="30" t="s">
        <v>352</v>
      </c>
      <c r="C26" s="30" t="s">
        <v>366</v>
      </c>
      <c r="D26" s="85" t="str">
        <f t="shared" si="0"/>
        <v>0</v>
      </c>
      <c r="E26" s="75"/>
      <c r="F26" s="75"/>
      <c r="G26" s="75"/>
      <c r="H26" s="75"/>
      <c r="I26" s="75"/>
      <c r="J26" s="75"/>
      <c r="K26" s="75"/>
      <c r="L26" s="75"/>
      <c r="M26" s="75"/>
    </row>
    <row r="27" spans="1:17" ht="18" hidden="1" customHeight="1" x14ac:dyDescent="0.25">
      <c r="A27" s="44" t="s">
        <v>4</v>
      </c>
      <c r="B27" s="44" t="s">
        <v>188</v>
      </c>
      <c r="C27" s="44" t="s">
        <v>189</v>
      </c>
      <c r="D27" s="85" t="str">
        <f t="shared" si="0"/>
        <v>0</v>
      </c>
      <c r="E27" s="76"/>
      <c r="F27" s="76"/>
      <c r="G27" s="76"/>
      <c r="H27" s="76"/>
      <c r="I27" s="76"/>
      <c r="J27" s="76"/>
      <c r="K27" s="76"/>
      <c r="L27" s="76"/>
      <c r="M27" s="76"/>
    </row>
    <row r="28" spans="1:17" ht="18" hidden="1" customHeight="1" x14ac:dyDescent="0.25">
      <c r="A28" s="30" t="s">
        <v>129</v>
      </c>
      <c r="B28" s="30" t="s">
        <v>130</v>
      </c>
      <c r="C28" s="30" t="s">
        <v>131</v>
      </c>
      <c r="D28" s="85" t="str">
        <f t="shared" si="0"/>
        <v>0</v>
      </c>
      <c r="E28" s="75"/>
      <c r="F28" s="75"/>
      <c r="G28" s="75"/>
      <c r="H28" s="75"/>
      <c r="I28" s="75"/>
      <c r="J28" s="75"/>
      <c r="K28" s="75"/>
      <c r="L28" s="75"/>
      <c r="M28" s="75"/>
    </row>
    <row r="29" spans="1:17" ht="18" hidden="1" customHeight="1" x14ac:dyDescent="0.25">
      <c r="A29" s="30" t="s">
        <v>138</v>
      </c>
      <c r="B29" s="30" t="s">
        <v>143</v>
      </c>
      <c r="C29" s="30" t="s">
        <v>144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7" ht="18" hidden="1" customHeight="1" x14ac:dyDescent="0.25">
      <c r="A30" s="30" t="s">
        <v>4</v>
      </c>
      <c r="B30" s="30" t="s">
        <v>85</v>
      </c>
      <c r="C30" s="30" t="s">
        <v>86</v>
      </c>
      <c r="D30" s="85" t="str">
        <f t="shared" si="0"/>
        <v>0</v>
      </c>
      <c r="E30" s="75"/>
      <c r="F30" s="75"/>
      <c r="G30" s="75"/>
      <c r="H30" s="75"/>
      <c r="I30" s="75"/>
      <c r="J30" s="75"/>
      <c r="K30" s="75"/>
      <c r="L30" s="75"/>
      <c r="M30" s="75"/>
    </row>
    <row r="31" spans="1:17" ht="18" hidden="1" customHeight="1" x14ac:dyDescent="0.25">
      <c r="A31" s="54" t="s">
        <v>9</v>
      </c>
      <c r="B31" s="54" t="s">
        <v>25</v>
      </c>
      <c r="C31" s="54" t="s">
        <v>313</v>
      </c>
      <c r="D31" s="85" t="str">
        <f t="shared" si="0"/>
        <v>0</v>
      </c>
      <c r="E31" s="79"/>
      <c r="F31" s="79"/>
      <c r="G31" s="79"/>
      <c r="H31" s="79"/>
      <c r="I31" s="79"/>
      <c r="J31" s="79"/>
      <c r="K31" s="79"/>
      <c r="L31" s="79"/>
      <c r="M31" s="79"/>
    </row>
    <row r="32" spans="1:17" ht="18" hidden="1" customHeight="1" x14ac:dyDescent="0.25">
      <c r="A32" s="30" t="s">
        <v>52</v>
      </c>
      <c r="B32" s="30" t="s">
        <v>213</v>
      </c>
      <c r="C32" s="30" t="s">
        <v>564</v>
      </c>
      <c r="D32" s="85" t="str">
        <f t="shared" si="0"/>
        <v>0</v>
      </c>
      <c r="E32" s="75"/>
      <c r="F32" s="75"/>
      <c r="G32" s="75"/>
      <c r="H32" s="75"/>
      <c r="I32" s="75"/>
      <c r="J32" s="75"/>
      <c r="K32" s="75"/>
      <c r="L32" s="75"/>
      <c r="M32" s="75"/>
    </row>
    <row r="33" spans="1:13" ht="18" hidden="1" customHeight="1" x14ac:dyDescent="0.25">
      <c r="A33" s="30" t="s">
        <v>138</v>
      </c>
      <c r="B33" s="30" t="s">
        <v>141</v>
      </c>
      <c r="C33" s="30" t="s">
        <v>142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7</v>
      </c>
      <c r="B34" s="30" t="s">
        <v>8</v>
      </c>
      <c r="C34" s="30" t="s">
        <v>303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196</v>
      </c>
      <c r="C35" s="30" t="s">
        <v>302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idden="1" x14ac:dyDescent="0.25">
      <c r="A36" s="30" t="s">
        <v>47</v>
      </c>
      <c r="B36" s="30" t="s">
        <v>205</v>
      </c>
      <c r="C36" s="30" t="s">
        <v>206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207</v>
      </c>
      <c r="C37" s="30" t="s">
        <v>208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209</v>
      </c>
      <c r="C38" s="30" t="s">
        <v>210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211</v>
      </c>
      <c r="C39" s="30" t="s">
        <v>212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48</v>
      </c>
      <c r="C40" s="30" t="s">
        <v>49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50</v>
      </c>
      <c r="C41" s="30" t="s">
        <v>51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55</v>
      </c>
      <c r="B42" s="30" t="s">
        <v>56</v>
      </c>
      <c r="C42" s="30" t="s">
        <v>57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30</v>
      </c>
      <c r="B43" s="30" t="s">
        <v>58</v>
      </c>
      <c r="C43" s="30" t="s">
        <v>59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60</v>
      </c>
      <c r="C44" s="30" t="s">
        <v>61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62</v>
      </c>
      <c r="C45" s="30" t="s">
        <v>63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31</v>
      </c>
      <c r="C46" s="30" t="s">
        <v>32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39</v>
      </c>
      <c r="C47" s="30" t="s">
        <v>40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217</v>
      </c>
      <c r="C48" s="30" t="s">
        <v>218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219</v>
      </c>
      <c r="C49" s="30" t="s">
        <v>220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200</v>
      </c>
      <c r="B50" s="30" t="s">
        <v>221</v>
      </c>
      <c r="C50" s="30" t="s">
        <v>222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223</v>
      </c>
      <c r="B51" s="30" t="s">
        <v>224</v>
      </c>
      <c r="C51" s="30" t="s">
        <v>225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0</v>
      </c>
      <c r="B52" s="30" t="s">
        <v>134</v>
      </c>
      <c r="C52" s="30" t="s">
        <v>135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</v>
      </c>
      <c r="C53" s="30" t="s">
        <v>2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174</v>
      </c>
      <c r="C54" s="30" t="s">
        <v>175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176</v>
      </c>
      <c r="C55" s="30" t="s">
        <v>177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226</v>
      </c>
      <c r="C56" s="30" t="s">
        <v>227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3</v>
      </c>
      <c r="B57" s="30" t="s">
        <v>228</v>
      </c>
      <c r="C57" s="30" t="s">
        <v>229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178</v>
      </c>
      <c r="C58" s="30" t="s">
        <v>179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289</v>
      </c>
      <c r="C59" s="30" t="s">
        <v>290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64</v>
      </c>
      <c r="C60" s="30" t="s">
        <v>65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180</v>
      </c>
      <c r="C61" s="30" t="s">
        <v>181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230</v>
      </c>
      <c r="C62" s="30" t="s">
        <v>231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66</v>
      </c>
      <c r="B63" s="30" t="s">
        <v>232</v>
      </c>
      <c r="C63" s="30" t="s">
        <v>233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234</v>
      </c>
      <c r="C64" s="30" t="s">
        <v>235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67</v>
      </c>
      <c r="C65" s="30" t="s">
        <v>68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236</v>
      </c>
      <c r="C66" s="30" t="s">
        <v>237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238</v>
      </c>
      <c r="C67" s="30" t="s">
        <v>239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182</v>
      </c>
      <c r="C68" s="30" t="s">
        <v>183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69</v>
      </c>
      <c r="C69" s="30" t="s">
        <v>70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240</v>
      </c>
      <c r="C70" s="30" t="s">
        <v>241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242</v>
      </c>
      <c r="C71" s="30" t="s">
        <v>243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71</v>
      </c>
      <c r="C72" s="30" t="s">
        <v>72</v>
      </c>
      <c r="D72" s="85" t="str">
        <f t="shared" ref="D72:D135" si="1">(E72+F72+L72+G72+H72+I72+J72+K72) &amp;M72</f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73</v>
      </c>
      <c r="C73" s="30" t="s">
        <v>74</v>
      </c>
      <c r="D73" s="85" t="str">
        <f t="shared" si="1"/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4</v>
      </c>
      <c r="B74" s="30" t="s">
        <v>75</v>
      </c>
      <c r="C74" s="30" t="s">
        <v>76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77</v>
      </c>
      <c r="C75" s="30" t="s">
        <v>78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79</v>
      </c>
      <c r="C76" s="30" t="s">
        <v>80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136</v>
      </c>
      <c r="C77" s="30" t="s">
        <v>137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81</v>
      </c>
      <c r="C78" s="30" t="s">
        <v>82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83</v>
      </c>
      <c r="C79" s="30" t="s">
        <v>84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5</v>
      </c>
      <c r="C80" s="30" t="s">
        <v>6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127</v>
      </c>
      <c r="C81" s="30" t="s">
        <v>128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184</v>
      </c>
      <c r="C82" s="30" t="s">
        <v>185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186</v>
      </c>
      <c r="C83" s="30" t="s">
        <v>187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190</v>
      </c>
      <c r="C84" s="30" t="s">
        <v>191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192</v>
      </c>
      <c r="C85" s="30" t="s">
        <v>193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194</v>
      </c>
      <c r="C86" s="30" t="s">
        <v>195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291</v>
      </c>
      <c r="C87" s="30" t="s">
        <v>292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244</v>
      </c>
      <c r="C88" s="30" t="s">
        <v>245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246</v>
      </c>
      <c r="C89" s="30" t="s">
        <v>247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138</v>
      </c>
      <c r="B90" s="30" t="s">
        <v>158</v>
      </c>
      <c r="C90" s="30" t="s">
        <v>157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145</v>
      </c>
      <c r="B91" s="30" t="s">
        <v>146</v>
      </c>
      <c r="C91" s="30" t="s">
        <v>147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9</v>
      </c>
      <c r="B92" s="30" t="s">
        <v>87</v>
      </c>
      <c r="C92" s="30" t="s">
        <v>88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89</v>
      </c>
      <c r="C93" s="30" t="s">
        <v>90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10</v>
      </c>
      <c r="C94" s="30" t="s">
        <v>11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  <c r="AB94" s="3"/>
      <c r="AJ94" s="3"/>
      <c r="AK94" s="3"/>
    </row>
    <row r="95" spans="1:37" hidden="1" x14ac:dyDescent="0.25">
      <c r="A95" s="30" t="s">
        <v>9</v>
      </c>
      <c r="B95" s="30" t="s">
        <v>12</v>
      </c>
      <c r="C95" s="30" t="s">
        <v>13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19</v>
      </c>
      <c r="C96" s="30" t="s">
        <v>20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21</v>
      </c>
      <c r="C97" s="30" t="s">
        <v>22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132</v>
      </c>
      <c r="C98" s="30" t="s">
        <v>133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23</v>
      </c>
      <c r="C99" s="30" t="s">
        <v>24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</row>
    <row r="100" spans="1:37" hidden="1" x14ac:dyDescent="0.25">
      <c r="A100" s="30" t="s">
        <v>9</v>
      </c>
      <c r="B100" s="30" t="s">
        <v>91</v>
      </c>
      <c r="C100" s="30" t="s">
        <v>92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93</v>
      </c>
      <c r="C101" s="30" t="s">
        <v>94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164</v>
      </c>
      <c r="C102" s="30" t="s">
        <v>163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293</v>
      </c>
      <c r="C103" s="30" t="s">
        <v>294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248</v>
      </c>
      <c r="C104" s="30" t="s">
        <v>249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27</v>
      </c>
      <c r="B105" s="30" t="s">
        <v>95</v>
      </c>
      <c r="C105" s="30" t="s">
        <v>96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97</v>
      </c>
      <c r="C106" s="30" t="s">
        <v>98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99</v>
      </c>
      <c r="C107" s="30" t="s">
        <v>100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101</v>
      </c>
      <c r="C108" s="30" t="s">
        <v>102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103</v>
      </c>
      <c r="C109" s="30" t="s">
        <v>104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105</v>
      </c>
      <c r="C110" s="30" t="s">
        <v>106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28</v>
      </c>
      <c r="C111" s="30" t="s">
        <v>387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107</v>
      </c>
      <c r="B112" s="30" t="s">
        <v>108</v>
      </c>
      <c r="C112" s="30" t="s">
        <v>109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110</v>
      </c>
      <c r="C113" s="30" t="s">
        <v>111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  <c r="P113" t="s">
        <v>391</v>
      </c>
      <c r="Q113" t="s">
        <v>392</v>
      </c>
      <c r="R113" t="s">
        <v>582</v>
      </c>
      <c r="S113" t="s">
        <v>390</v>
      </c>
      <c r="T113" t="s">
        <v>583</v>
      </c>
      <c r="U113" t="s">
        <v>584</v>
      </c>
      <c r="V113" t="s">
        <v>585</v>
      </c>
      <c r="W113" t="s">
        <v>586</v>
      </c>
      <c r="X113" t="s">
        <v>587</v>
      </c>
      <c r="Y113" t="s">
        <v>588</v>
      </c>
      <c r="Z113" t="s">
        <v>589</v>
      </c>
      <c r="AA113" t="s">
        <v>590</v>
      </c>
      <c r="AB113" t="s">
        <v>591</v>
      </c>
      <c r="AC113" t="s">
        <v>592</v>
      </c>
      <c r="AD113" t="s">
        <v>593</v>
      </c>
      <c r="AE113" t="s">
        <v>594</v>
      </c>
      <c r="AF113" t="s">
        <v>595</v>
      </c>
    </row>
    <row r="114" spans="1:32" hidden="1" x14ac:dyDescent="0.25">
      <c r="A114" s="30" t="s">
        <v>107</v>
      </c>
      <c r="B114" s="30" t="s">
        <v>250</v>
      </c>
      <c r="C114" s="30" t="s">
        <v>251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R114" t="s">
        <v>414</v>
      </c>
      <c r="S114" t="s">
        <v>400</v>
      </c>
      <c r="T114" t="s">
        <v>597</v>
      </c>
      <c r="V114" t="s">
        <v>598</v>
      </c>
      <c r="W114" t="s">
        <v>493</v>
      </c>
      <c r="X114" t="s">
        <v>493</v>
      </c>
      <c r="Z114" t="s">
        <v>493</v>
      </c>
      <c r="AA114" t="s">
        <v>493</v>
      </c>
      <c r="AB114" t="s">
        <v>493</v>
      </c>
      <c r="AC114" t="s">
        <v>493</v>
      </c>
      <c r="AD114">
        <v>0</v>
      </c>
      <c r="AE114" s="3">
        <v>43663</v>
      </c>
      <c r="AF114">
        <v>0</v>
      </c>
    </row>
    <row r="115" spans="1:32" hidden="1" x14ac:dyDescent="0.25">
      <c r="A115" s="30" t="s">
        <v>107</v>
      </c>
      <c r="B115" s="30" t="s">
        <v>252</v>
      </c>
      <c r="C115" s="30" t="s">
        <v>253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</row>
    <row r="116" spans="1:32" hidden="1" x14ac:dyDescent="0.25">
      <c r="A116" s="30" t="s">
        <v>107</v>
      </c>
      <c r="B116" s="30" t="s">
        <v>254</v>
      </c>
      <c r="C116" s="30" t="s">
        <v>255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256</v>
      </c>
      <c r="C117" s="30" t="s">
        <v>257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33</v>
      </c>
      <c r="B118" s="30" t="s">
        <v>34</v>
      </c>
      <c r="C118" s="30" t="s">
        <v>35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258</v>
      </c>
      <c r="B119" s="30" t="s">
        <v>259</v>
      </c>
      <c r="C119" s="30" t="s">
        <v>260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261</v>
      </c>
      <c r="C120" s="30" t="s">
        <v>262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41</v>
      </c>
      <c r="B121" s="30" t="s">
        <v>42</v>
      </c>
      <c r="C121" s="30" t="s">
        <v>43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263</v>
      </c>
      <c r="B122" s="30" t="s">
        <v>264</v>
      </c>
      <c r="C122" s="30" t="s">
        <v>265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266</v>
      </c>
      <c r="C123" s="30" t="s">
        <v>267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114</v>
      </c>
      <c r="B124" s="30" t="s">
        <v>115</v>
      </c>
      <c r="C124" s="30" t="s">
        <v>116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44</v>
      </c>
      <c r="B125" s="30" t="s">
        <v>45</v>
      </c>
      <c r="C125" s="30" t="s">
        <v>46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120</v>
      </c>
      <c r="B126" s="30" t="s">
        <v>271</v>
      </c>
      <c r="C126" s="30" t="s">
        <v>272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273</v>
      </c>
      <c r="C127" s="30" t="s">
        <v>274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121</v>
      </c>
      <c r="C128" s="30" t="s">
        <v>122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275</v>
      </c>
      <c r="C129" s="30" t="s">
        <v>276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198</v>
      </c>
      <c r="C130" s="30" t="s">
        <v>199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277</v>
      </c>
      <c r="C131" s="30" t="s">
        <v>278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279</v>
      </c>
      <c r="B132" s="30" t="s">
        <v>280</v>
      </c>
      <c r="C132" s="30" t="s">
        <v>281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282</v>
      </c>
      <c r="B133" s="30" t="s">
        <v>283</v>
      </c>
      <c r="C133" s="30" t="s">
        <v>284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285</v>
      </c>
      <c r="B134" s="30" t="s">
        <v>286</v>
      </c>
      <c r="C134" s="30" t="s">
        <v>287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14</v>
      </c>
      <c r="B135" s="30" t="s">
        <v>15</v>
      </c>
      <c r="C135" s="30" t="s">
        <v>16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17</v>
      </c>
      <c r="C136" s="30" t="s">
        <v>18</v>
      </c>
      <c r="D136" s="85" t="str">
        <f t="shared" ref="D136:D166" si="2">(E136+F136+L136+G136+H136+I136+J136+K136) &amp;M136</f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201</v>
      </c>
      <c r="C137" s="30" t="s">
        <v>202</v>
      </c>
      <c r="D137" s="85" t="str">
        <f t="shared" si="2"/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203</v>
      </c>
      <c r="C138" s="30" t="s">
        <v>204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44" t="s">
        <v>36</v>
      </c>
      <c r="B139" s="44" t="s">
        <v>37</v>
      </c>
      <c r="C139" s="44" t="s">
        <v>38</v>
      </c>
      <c r="D139" s="85" t="str">
        <f t="shared" si="2"/>
        <v>0</v>
      </c>
      <c r="E139" s="76"/>
      <c r="F139" s="76"/>
      <c r="G139" s="76"/>
      <c r="H139" s="76"/>
      <c r="I139" s="76"/>
      <c r="J139" s="76"/>
      <c r="K139" s="76"/>
      <c r="L139" s="76"/>
      <c r="M139" s="76"/>
      <c r="AF139" s="3"/>
      <c r="AN139" s="3"/>
      <c r="AO139" s="3"/>
    </row>
    <row r="140" spans="1:41" hidden="1" x14ac:dyDescent="0.25">
      <c r="A140" s="30" t="s">
        <v>383</v>
      </c>
      <c r="B140" s="30" t="s">
        <v>384</v>
      </c>
      <c r="C140" s="30" t="s">
        <v>385</v>
      </c>
      <c r="D140" s="85" t="str">
        <f t="shared" si="2"/>
        <v>0</v>
      </c>
      <c r="E140" s="75"/>
      <c r="F140" s="75"/>
      <c r="G140" s="75"/>
      <c r="H140" s="75"/>
      <c r="I140" s="75"/>
      <c r="J140" s="75"/>
      <c r="K140" s="75"/>
      <c r="L140" s="75"/>
      <c r="M140" s="75"/>
      <c r="AF140" s="3"/>
      <c r="AN140" s="3"/>
      <c r="AO140" s="3"/>
    </row>
    <row r="141" spans="1:41" hidden="1" x14ac:dyDescent="0.25">
      <c r="A141" s="4" t="s">
        <v>30</v>
      </c>
      <c r="B141" s="4" t="s">
        <v>39</v>
      </c>
      <c r="C141" s="4" t="s">
        <v>40</v>
      </c>
      <c r="D141" s="85" t="str">
        <f t="shared" si="2"/>
        <v>0</v>
      </c>
      <c r="AF141" s="3"/>
      <c r="AN141" s="3"/>
      <c r="AO141" s="3"/>
    </row>
    <row r="142" spans="1:41" hidden="1" x14ac:dyDescent="0.25">
      <c r="A142" s="4" t="s">
        <v>41</v>
      </c>
      <c r="B142" s="4" t="s">
        <v>42</v>
      </c>
      <c r="C142" s="4" t="s">
        <v>43</v>
      </c>
      <c r="D142" s="85" t="str">
        <f t="shared" si="2"/>
        <v>0</v>
      </c>
    </row>
    <row r="143" spans="1:41" hidden="1" x14ac:dyDescent="0.25">
      <c r="A143" s="30" t="s">
        <v>30</v>
      </c>
      <c r="B143" s="30" t="s">
        <v>439</v>
      </c>
      <c r="C143" s="30" t="s">
        <v>438</v>
      </c>
      <c r="D143" s="85" t="str">
        <f t="shared" si="2"/>
        <v>0</v>
      </c>
      <c r="E143" s="74"/>
      <c r="F143" s="74"/>
      <c r="G143" s="74"/>
      <c r="H143" s="74"/>
      <c r="I143" s="74"/>
      <c r="J143" s="74"/>
      <c r="K143" s="74"/>
      <c r="L143" s="75"/>
      <c r="M143" s="75"/>
    </row>
    <row r="144" spans="1:41" hidden="1" x14ac:dyDescent="0.25">
      <c r="A144" s="30" t="s">
        <v>169</v>
      </c>
      <c r="B144" s="30" t="s">
        <v>485</v>
      </c>
      <c r="C144" s="30" t="s">
        <v>484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t="s">
        <v>30</v>
      </c>
      <c r="B145" t="s">
        <v>596</v>
      </c>
      <c r="C145" s="4" t="s">
        <v>599</v>
      </c>
      <c r="D145" s="85" t="str">
        <f t="shared" si="2"/>
        <v>0</v>
      </c>
    </row>
    <row r="146" spans="1:62" hidden="1" x14ac:dyDescent="0.25"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  <c r="P148" t="s">
        <v>388</v>
      </c>
      <c r="Q148" t="s">
        <v>389</v>
      </c>
      <c r="R148" t="s">
        <v>390</v>
      </c>
      <c r="S148" t="s">
        <v>391</v>
      </c>
      <c r="T148" t="s">
        <v>392</v>
      </c>
      <c r="U148" t="s">
        <v>393</v>
      </c>
      <c r="V148" t="s">
        <v>394</v>
      </c>
      <c r="W148" t="s">
        <v>395</v>
      </c>
      <c r="X148" t="s">
        <v>396</v>
      </c>
      <c r="Y148" t="s">
        <v>397</v>
      </c>
      <c r="Z148" t="s">
        <v>398</v>
      </c>
    </row>
    <row r="149" spans="1:62" hidden="1" x14ac:dyDescent="0.25">
      <c r="D149" s="85" t="str">
        <f t="shared" si="2"/>
        <v>0</v>
      </c>
      <c r="Q149" t="s">
        <v>399</v>
      </c>
      <c r="R149" t="s">
        <v>400</v>
      </c>
      <c r="V149" t="s">
        <v>401</v>
      </c>
      <c r="W149" t="s">
        <v>402</v>
      </c>
      <c r="X149" t="s">
        <v>403</v>
      </c>
      <c r="Y149" t="s">
        <v>404</v>
      </c>
      <c r="Z149" t="s">
        <v>405</v>
      </c>
      <c r="AA149" t="s">
        <v>404</v>
      </c>
    </row>
    <row r="150" spans="1:62" hidden="1" x14ac:dyDescent="0.25">
      <c r="D150" s="85" t="str">
        <f t="shared" si="2"/>
        <v>0</v>
      </c>
      <c r="Q150" t="s">
        <v>406</v>
      </c>
      <c r="R150" t="s">
        <v>407</v>
      </c>
      <c r="V150" t="s">
        <v>408</v>
      </c>
      <c r="W150" t="s">
        <v>409</v>
      </c>
      <c r="X150" t="s">
        <v>403</v>
      </c>
      <c r="Y150" t="s">
        <v>410</v>
      </c>
      <c r="Z150" t="s">
        <v>405</v>
      </c>
      <c r="AA150" t="s">
        <v>410</v>
      </c>
    </row>
    <row r="151" spans="1:62" hidden="1" x14ac:dyDescent="0.25">
      <c r="D151" s="85" t="str">
        <f t="shared" si="2"/>
        <v>0</v>
      </c>
      <c r="Q151" t="s">
        <v>411</v>
      </c>
      <c r="R151" t="s">
        <v>400</v>
      </c>
      <c r="V151" t="s">
        <v>412</v>
      </c>
      <c r="W151" t="s">
        <v>409</v>
      </c>
      <c r="X151" t="s">
        <v>403</v>
      </c>
      <c r="Y151" t="s">
        <v>413</v>
      </c>
      <c r="Z151" t="s">
        <v>405</v>
      </c>
      <c r="AA151" t="s">
        <v>413</v>
      </c>
    </row>
    <row r="152" spans="1:62" hidden="1" x14ac:dyDescent="0.25">
      <c r="D152" s="85" t="str">
        <f t="shared" si="2"/>
        <v>0</v>
      </c>
      <c r="Q152" t="s">
        <v>414</v>
      </c>
      <c r="R152" t="s">
        <v>400</v>
      </c>
      <c r="V152" t="s">
        <v>415</v>
      </c>
      <c r="W152" t="s">
        <v>409</v>
      </c>
      <c r="X152" t="s">
        <v>416</v>
      </c>
      <c r="Y152" t="s">
        <v>417</v>
      </c>
      <c r="Z152" t="s">
        <v>405</v>
      </c>
      <c r="AA152" t="s">
        <v>417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418</v>
      </c>
      <c r="W153" t="s">
        <v>409</v>
      </c>
      <c r="X153" t="s">
        <v>416</v>
      </c>
      <c r="Y153" t="s">
        <v>419</v>
      </c>
      <c r="Z153" t="s">
        <v>405</v>
      </c>
      <c r="AA153" t="s">
        <v>419</v>
      </c>
    </row>
    <row r="154" spans="1:62" hidden="1" x14ac:dyDescent="0.25">
      <c r="D154" s="85" t="str">
        <f t="shared" si="2"/>
        <v>0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  <c r="P157" t="s">
        <v>393</v>
      </c>
      <c r="Q157" t="s">
        <v>391</v>
      </c>
      <c r="R157" t="s">
        <v>392</v>
      </c>
      <c r="S157" t="s">
        <v>440</v>
      </c>
      <c r="T157" t="s">
        <v>441</v>
      </c>
      <c r="U157" t="s">
        <v>442</v>
      </c>
      <c r="V157" t="s">
        <v>443</v>
      </c>
      <c r="W157" t="s">
        <v>444</v>
      </c>
      <c r="X157" t="s">
        <v>445</v>
      </c>
      <c r="Y157" t="s">
        <v>446</v>
      </c>
      <c r="Z157" t="s">
        <v>447</v>
      </c>
      <c r="AA157" t="s">
        <v>448</v>
      </c>
      <c r="AB157" t="s">
        <v>449</v>
      </c>
      <c r="AC157" t="s">
        <v>450</v>
      </c>
      <c r="AD157" t="s">
        <v>451</v>
      </c>
      <c r="AE157" t="s">
        <v>452</v>
      </c>
      <c r="AF157" t="s">
        <v>453</v>
      </c>
      <c r="AG157" t="s">
        <v>454</v>
      </c>
      <c r="AH157" t="s">
        <v>455</v>
      </c>
      <c r="AI157" t="s">
        <v>456</v>
      </c>
      <c r="AJ157" t="s">
        <v>457</v>
      </c>
      <c r="AK157" t="s">
        <v>458</v>
      </c>
      <c r="AL157" t="s">
        <v>459</v>
      </c>
      <c r="AM157" t="s">
        <v>460</v>
      </c>
      <c r="AN157" t="s">
        <v>461</v>
      </c>
      <c r="AO157" t="s">
        <v>462</v>
      </c>
      <c r="AP157" t="s">
        <v>463</v>
      </c>
      <c r="AQ157" t="s">
        <v>464</v>
      </c>
      <c r="AR157" t="s">
        <v>465</v>
      </c>
      <c r="AS157" t="s">
        <v>466</v>
      </c>
      <c r="AT157" t="s">
        <v>467</v>
      </c>
      <c r="AU157" t="s">
        <v>468</v>
      </c>
      <c r="AV157" t="s">
        <v>469</v>
      </c>
      <c r="AW157" t="s">
        <v>470</v>
      </c>
      <c r="AX157" t="s">
        <v>471</v>
      </c>
      <c r="AY157" t="s">
        <v>472</v>
      </c>
      <c r="AZ157" t="s">
        <v>473</v>
      </c>
      <c r="BA157" t="s">
        <v>474</v>
      </c>
      <c r="BB157" t="s">
        <v>475</v>
      </c>
      <c r="BC157" t="s">
        <v>476</v>
      </c>
      <c r="BD157" t="s">
        <v>477</v>
      </c>
      <c r="BE157" t="s">
        <v>478</v>
      </c>
      <c r="BF157" t="s">
        <v>479</v>
      </c>
      <c r="BG157" t="s">
        <v>480</v>
      </c>
      <c r="BH157" t="s">
        <v>481</v>
      </c>
      <c r="BI157" t="s">
        <v>482</v>
      </c>
      <c r="BJ157" t="s">
        <v>483</v>
      </c>
    </row>
    <row r="158" spans="1:62" hidden="1" x14ac:dyDescent="0.25">
      <c r="D158" s="85" t="str">
        <f t="shared" si="2"/>
        <v>0</v>
      </c>
      <c r="Q158" t="s">
        <v>169</v>
      </c>
      <c r="S158" t="s">
        <v>486</v>
      </c>
      <c r="T158" t="str">
        <f>"0000000128209"</f>
        <v>0000000128209</v>
      </c>
      <c r="U158">
        <v>1</v>
      </c>
      <c r="V158" t="s">
        <v>400</v>
      </c>
      <c r="W158" t="s">
        <v>400</v>
      </c>
      <c r="X158" t="s">
        <v>400</v>
      </c>
      <c r="Y158" t="s">
        <v>400</v>
      </c>
      <c r="Z158" t="s">
        <v>487</v>
      </c>
      <c r="AA158" t="s">
        <v>405</v>
      </c>
      <c r="AB158" t="s">
        <v>488</v>
      </c>
      <c r="AD158" t="s">
        <v>405</v>
      </c>
      <c r="AE158" t="s">
        <v>400</v>
      </c>
      <c r="AF158">
        <v>13788</v>
      </c>
      <c r="AG158" t="s">
        <v>489</v>
      </c>
      <c r="AH158" t="s">
        <v>490</v>
      </c>
      <c r="AI158" t="s">
        <v>489</v>
      </c>
      <c r="AJ158" t="s">
        <v>490</v>
      </c>
      <c r="AK158" t="s">
        <v>405</v>
      </c>
      <c r="AL158" s="3">
        <v>43578</v>
      </c>
      <c r="AM158" t="s">
        <v>491</v>
      </c>
      <c r="AN158" t="s">
        <v>492</v>
      </c>
      <c r="AP158">
        <v>0</v>
      </c>
      <c r="AQ158" t="str">
        <f>"0000000128209"</f>
        <v>0000000128209</v>
      </c>
      <c r="AR158" t="s">
        <v>493</v>
      </c>
      <c r="AT158" s="3">
        <v>73050</v>
      </c>
      <c r="AU158" s="3">
        <v>73050</v>
      </c>
      <c r="AV158" t="s">
        <v>494</v>
      </c>
      <c r="AW158" t="s">
        <v>495</v>
      </c>
      <c r="AX158">
        <v>0</v>
      </c>
      <c r="AY158" t="s">
        <v>496</v>
      </c>
      <c r="AZ158">
        <v>0</v>
      </c>
      <c r="BA158">
        <v>0</v>
      </c>
      <c r="BB158" t="s">
        <v>497</v>
      </c>
      <c r="BC158" t="s">
        <v>496</v>
      </c>
      <c r="BD158" t="s">
        <v>405</v>
      </c>
      <c r="BE158">
        <v>0</v>
      </c>
      <c r="BF158" t="s">
        <v>405</v>
      </c>
      <c r="BH158" t="s">
        <v>498</v>
      </c>
      <c r="BI158" t="s">
        <v>499</v>
      </c>
    </row>
    <row r="159" spans="1:62" hidden="1" x14ac:dyDescent="0.25">
      <c r="D159" s="85" t="str">
        <f t="shared" si="2"/>
        <v>0</v>
      </c>
    </row>
    <row r="160" spans="1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hidden="1" x14ac:dyDescent="0.25">
      <c r="D165" s="85" t="str">
        <f t="shared" si="2"/>
        <v>0</v>
      </c>
    </row>
    <row r="166" spans="1:13" x14ac:dyDescent="0.25">
      <c r="A166" s="24" t="s">
        <v>52</v>
      </c>
      <c r="B166" s="24" t="s">
        <v>517</v>
      </c>
      <c r="C166" s="24" t="s">
        <v>604</v>
      </c>
      <c r="D166" s="85" t="str">
        <f t="shared" si="2"/>
        <v>2</v>
      </c>
      <c r="E166" s="74">
        <v>2</v>
      </c>
      <c r="F166" s="74"/>
      <c r="G166" s="74"/>
      <c r="H166" s="74"/>
      <c r="I166" s="74"/>
      <c r="J166" s="74"/>
      <c r="K166" s="74"/>
      <c r="L166" s="75"/>
      <c r="M166" s="75"/>
    </row>
  </sheetData>
  <autoFilter ref="A5:M166">
    <filterColumn colId="3">
      <filters>
        <filter val="1"/>
        <filter val="2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5" orientation="landscape" r:id="rId4"/>
  <drawing r:id="rId5"/>
  <legacyDrawing r:id="rId6"/>
  <controls>
    <mc:AlternateContent xmlns:mc="http://schemas.openxmlformats.org/markup-compatibility/2006">
      <mc:Choice Requires="x14">
        <control shapeId="243713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43713" r:id="rId7" name="CommandButton1"/>
      </mc:Fallback>
    </mc:AlternateContent>
    <mc:AlternateContent xmlns:mc="http://schemas.openxmlformats.org/markup-compatibility/2006">
      <mc:Choice Requires="x14">
        <control shapeId="243714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43714" r:id="rId9" name="CommandButton2"/>
      </mc:Fallback>
    </mc:AlternateContent>
    <mc:AlternateContent xmlns:mc="http://schemas.openxmlformats.org/markup-compatibility/2006">
      <mc:Choice Requires="x14">
        <control shapeId="243715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43715" r:id="rId11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8" filterMode="1">
    <tabColor rgb="FFFFC000"/>
    <pageSetUpPr fitToPage="1"/>
  </sheetPr>
  <dimension ref="A1:BJ165"/>
  <sheetViews>
    <sheetView zoomScale="95" zoomScaleNormal="95" workbookViewId="0">
      <selection activeCell="C4" sqref="C4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7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7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7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7" s="36" customFormat="1" ht="153" customHeight="1" x14ac:dyDescent="0.25">
      <c r="A4" s="89"/>
      <c r="B4" s="89"/>
      <c r="C4" s="90">
        <v>43662</v>
      </c>
      <c r="D4" s="89"/>
      <c r="E4" s="91" t="s">
        <v>601</v>
      </c>
      <c r="F4" s="91" t="s">
        <v>579</v>
      </c>
      <c r="G4" s="91" t="s">
        <v>580</v>
      </c>
      <c r="H4" s="91" t="s">
        <v>581</v>
      </c>
      <c r="I4" s="91" t="s">
        <v>600</v>
      </c>
      <c r="J4" s="91" t="s">
        <v>571</v>
      </c>
      <c r="K4" s="91"/>
      <c r="L4" s="91"/>
      <c r="M4" s="91"/>
      <c r="N4" s="89"/>
    </row>
    <row r="5" spans="1:17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batch50</v>
      </c>
      <c r="D5" s="84"/>
      <c r="E5" s="71" t="s">
        <v>573</v>
      </c>
      <c r="F5" s="71" t="s">
        <v>574</v>
      </c>
      <c r="G5" s="71" t="s">
        <v>575</v>
      </c>
      <c r="H5" s="71" t="s">
        <v>576</v>
      </c>
      <c r="I5" s="71" t="s">
        <v>577</v>
      </c>
      <c r="J5" s="71" t="s">
        <v>578</v>
      </c>
      <c r="K5" s="72"/>
      <c r="L5" s="73"/>
      <c r="M5" s="72" t="s">
        <v>386</v>
      </c>
    </row>
    <row r="6" spans="1:17" ht="17.25" customHeight="1" x14ac:dyDescent="0.25">
      <c r="A6" s="24" t="s">
        <v>307</v>
      </c>
      <c r="B6" s="24" t="s">
        <v>324</v>
      </c>
      <c r="C6" s="24" t="s">
        <v>323</v>
      </c>
      <c r="D6" s="85" t="str">
        <f t="shared" ref="D6:D70" si="0">(E6+F6+L6+G6+H6+I6+J6+K6) &amp;M6</f>
        <v>300.</v>
      </c>
      <c r="E6" s="74">
        <v>60</v>
      </c>
      <c r="F6" s="74">
        <v>60</v>
      </c>
      <c r="G6" s="74">
        <v>60</v>
      </c>
      <c r="H6" s="74">
        <v>60</v>
      </c>
      <c r="I6" s="74">
        <v>60</v>
      </c>
      <c r="J6" s="74">
        <v>0</v>
      </c>
      <c r="K6" s="74"/>
      <c r="L6" s="75"/>
      <c r="M6" s="83" t="s">
        <v>352</v>
      </c>
    </row>
    <row r="7" spans="1:17" ht="18" hidden="1" customHeight="1" x14ac:dyDescent="0.25">
      <c r="A7" s="24" t="s">
        <v>314</v>
      </c>
      <c r="B7" s="24" t="s">
        <v>315</v>
      </c>
      <c r="C7" s="24" t="s">
        <v>365</v>
      </c>
      <c r="D7" s="85" t="str">
        <f t="shared" si="0"/>
        <v>0</v>
      </c>
      <c r="E7" s="74"/>
      <c r="F7" s="74"/>
      <c r="G7" s="74"/>
      <c r="H7" s="74"/>
      <c r="I7" s="74"/>
      <c r="J7" s="74"/>
      <c r="K7" s="74"/>
      <c r="L7" s="75"/>
      <c r="M7" s="75"/>
    </row>
    <row r="8" spans="1:17" ht="18" hidden="1" customHeight="1" x14ac:dyDescent="0.25">
      <c r="A8" s="30" t="s">
        <v>169</v>
      </c>
      <c r="B8" s="30" t="s">
        <v>215</v>
      </c>
      <c r="C8" s="30" t="s">
        <v>216</v>
      </c>
      <c r="D8" s="85" t="str">
        <f t="shared" si="0"/>
        <v>0</v>
      </c>
      <c r="E8" s="75"/>
      <c r="F8" s="75"/>
      <c r="G8" s="75"/>
      <c r="H8" s="75"/>
      <c r="I8" s="75"/>
      <c r="J8" s="75"/>
      <c r="K8" s="75"/>
      <c r="L8" s="75"/>
      <c r="M8" s="75"/>
      <c r="Q8" t="s">
        <v>573</v>
      </c>
    </row>
    <row r="9" spans="1:17" ht="18" hidden="1" customHeight="1" x14ac:dyDescent="0.25">
      <c r="A9" s="30" t="s">
        <v>169</v>
      </c>
      <c r="B9" s="30" t="s">
        <v>170</v>
      </c>
      <c r="C9" s="30" t="s">
        <v>171</v>
      </c>
      <c r="D9" s="85" t="str">
        <f t="shared" si="0"/>
        <v>0</v>
      </c>
      <c r="E9" s="75"/>
      <c r="F9" s="75"/>
      <c r="G9" s="75"/>
      <c r="H9" s="75"/>
      <c r="I9" s="75"/>
      <c r="J9" s="75"/>
      <c r="K9" s="75"/>
      <c r="L9" s="75"/>
      <c r="M9" s="75"/>
    </row>
    <row r="10" spans="1:17" ht="18" hidden="1" customHeight="1" x14ac:dyDescent="0.25">
      <c r="A10" s="30" t="s">
        <v>169</v>
      </c>
      <c r="B10" s="30" t="s">
        <v>172</v>
      </c>
      <c r="C10" s="30" t="s">
        <v>173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  <c r="Q10" t="s">
        <v>574</v>
      </c>
    </row>
    <row r="11" spans="1:17" ht="18" hidden="1" customHeight="1" x14ac:dyDescent="0.25">
      <c r="A11" s="30" t="s">
        <v>52</v>
      </c>
      <c r="B11" s="30" t="s">
        <v>53</v>
      </c>
      <c r="C11" s="30" t="s">
        <v>54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7" ht="18" customHeight="1" x14ac:dyDescent="0.25">
      <c r="A12" s="30" t="s">
        <v>138</v>
      </c>
      <c r="B12" s="30" t="s">
        <v>160</v>
      </c>
      <c r="C12" s="30" t="s">
        <v>159</v>
      </c>
      <c r="D12" s="85" t="str">
        <f t="shared" si="0"/>
        <v>1</v>
      </c>
      <c r="E12" s="75"/>
      <c r="F12" s="75"/>
      <c r="G12" s="75">
        <v>1</v>
      </c>
      <c r="H12" s="75"/>
      <c r="I12" s="75"/>
      <c r="J12" s="75"/>
      <c r="K12" s="75"/>
      <c r="L12" s="75"/>
      <c r="M12" s="75"/>
      <c r="Q12" t="s">
        <v>575</v>
      </c>
    </row>
    <row r="13" spans="1:17" ht="18" hidden="1" customHeight="1" x14ac:dyDescent="0.25">
      <c r="A13" s="30" t="s">
        <v>138</v>
      </c>
      <c r="B13" s="30" t="s">
        <v>162</v>
      </c>
      <c r="C13" s="30" t="s">
        <v>161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7" ht="18" customHeight="1" x14ac:dyDescent="0.25">
      <c r="A14" s="30" t="s">
        <v>138</v>
      </c>
      <c r="B14" s="30" t="s">
        <v>139</v>
      </c>
      <c r="C14" s="30" t="s">
        <v>140</v>
      </c>
      <c r="D14" s="85" t="str">
        <f t="shared" si="0"/>
        <v>1</v>
      </c>
      <c r="E14" s="75"/>
      <c r="F14" s="75"/>
      <c r="G14" s="75"/>
      <c r="H14" s="75"/>
      <c r="I14" s="75">
        <v>1</v>
      </c>
      <c r="J14" s="75"/>
      <c r="K14" s="75"/>
      <c r="L14" s="75"/>
      <c r="M14" s="75"/>
      <c r="Q14" t="s">
        <v>576</v>
      </c>
    </row>
    <row r="15" spans="1:17" ht="18" hidden="1" customHeight="1" x14ac:dyDescent="0.25">
      <c r="A15" s="30" t="s">
        <v>120</v>
      </c>
      <c r="B15" s="30" t="s">
        <v>123</v>
      </c>
      <c r="C15" s="30" t="s">
        <v>124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7" ht="18" hidden="1" customHeight="1" x14ac:dyDescent="0.25">
      <c r="A16" s="30" t="s">
        <v>120</v>
      </c>
      <c r="B16" s="30" t="s">
        <v>125</v>
      </c>
      <c r="C16" s="30" t="s">
        <v>126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  <c r="Q16" t="s">
        <v>577</v>
      </c>
    </row>
    <row r="17" spans="1:17" ht="18" hidden="1" customHeight="1" x14ac:dyDescent="0.25">
      <c r="A17" s="30" t="s">
        <v>268</v>
      </c>
      <c r="B17" s="30" t="s">
        <v>337</v>
      </c>
      <c r="C17" s="30" t="s">
        <v>555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7" ht="18" hidden="1" customHeight="1" x14ac:dyDescent="0.25">
      <c r="A18" s="30" t="s">
        <v>268</v>
      </c>
      <c r="B18" s="30" t="s">
        <v>269</v>
      </c>
      <c r="C18" s="30" t="s">
        <v>336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  <c r="Q18" t="s">
        <v>578</v>
      </c>
    </row>
    <row r="19" spans="1:17" ht="18" hidden="1" customHeight="1" x14ac:dyDescent="0.25">
      <c r="A19" s="30" t="s">
        <v>117</v>
      </c>
      <c r="B19" s="30" t="s">
        <v>118</v>
      </c>
      <c r="C19" s="30" t="s">
        <v>381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7" ht="18" hidden="1" customHeight="1" x14ac:dyDescent="0.25">
      <c r="A20" s="44" t="s">
        <v>107</v>
      </c>
      <c r="B20" s="44" t="s">
        <v>112</v>
      </c>
      <c r="C20" s="44" t="s">
        <v>312</v>
      </c>
      <c r="D20" s="85" t="str">
        <f t="shared" si="0"/>
        <v>0</v>
      </c>
      <c r="E20" s="76"/>
      <c r="F20" s="76"/>
      <c r="G20" s="76"/>
      <c r="H20" s="76"/>
      <c r="I20" s="76"/>
      <c r="J20" s="76"/>
      <c r="K20" s="76"/>
      <c r="L20" s="76"/>
      <c r="M20" s="76"/>
    </row>
    <row r="21" spans="1:17" ht="18" hidden="1" customHeight="1" x14ac:dyDescent="0.25">
      <c r="A21" s="30" t="s">
        <v>9</v>
      </c>
      <c r="B21" s="30" t="s">
        <v>166</v>
      </c>
      <c r="C21" s="30" t="s">
        <v>310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7" ht="18" hidden="1" customHeight="1" x14ac:dyDescent="0.25">
      <c r="A22" s="77" t="s">
        <v>9</v>
      </c>
      <c r="B22" s="77" t="s">
        <v>168</v>
      </c>
      <c r="C22" s="77" t="s">
        <v>311</v>
      </c>
      <c r="D22" s="85" t="str">
        <f t="shared" si="0"/>
        <v>0</v>
      </c>
      <c r="E22" s="78"/>
      <c r="F22" s="78"/>
      <c r="G22" s="78"/>
      <c r="H22" s="78"/>
      <c r="I22" s="78"/>
      <c r="J22" s="78"/>
      <c r="K22" s="78"/>
      <c r="L22" s="78"/>
      <c r="M22" s="78"/>
    </row>
    <row r="23" spans="1:17" ht="18" hidden="1" customHeight="1" x14ac:dyDescent="0.25">
      <c r="A23" s="30" t="s">
        <v>9</v>
      </c>
      <c r="B23" s="30" t="s">
        <v>155</v>
      </c>
      <c r="C23" s="30" t="s">
        <v>156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7" ht="18" hidden="1" customHeight="1" x14ac:dyDescent="0.25">
      <c r="A24" s="54" t="s">
        <v>138</v>
      </c>
      <c r="B24" s="54" t="s">
        <v>149</v>
      </c>
      <c r="C24" s="54" t="s">
        <v>345</v>
      </c>
      <c r="D24" s="85" t="str">
        <f t="shared" si="0"/>
        <v>0</v>
      </c>
      <c r="E24" s="79"/>
      <c r="F24" s="79"/>
      <c r="G24" s="79"/>
      <c r="H24" s="79"/>
      <c r="I24" s="79"/>
      <c r="J24" s="79"/>
      <c r="K24" s="79"/>
      <c r="L24" s="79"/>
      <c r="M24" s="79"/>
    </row>
    <row r="25" spans="1:17" ht="18" hidden="1" customHeight="1" x14ac:dyDescent="0.25">
      <c r="A25" s="30" t="s">
        <v>352</v>
      </c>
      <c r="B25" s="30" t="s">
        <v>352</v>
      </c>
      <c r="C25" s="30" t="s">
        <v>366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7" ht="18" hidden="1" customHeight="1" x14ac:dyDescent="0.25">
      <c r="A26" s="44" t="s">
        <v>4</v>
      </c>
      <c r="B26" s="44" t="s">
        <v>188</v>
      </c>
      <c r="C26" s="44" t="s">
        <v>189</v>
      </c>
      <c r="D26" s="85" t="str">
        <f t="shared" si="0"/>
        <v>0</v>
      </c>
      <c r="E26" s="76"/>
      <c r="F26" s="76"/>
      <c r="G26" s="76"/>
      <c r="H26" s="76"/>
      <c r="I26" s="76"/>
      <c r="J26" s="76"/>
      <c r="K26" s="76"/>
      <c r="L26" s="76"/>
      <c r="M26" s="76"/>
    </row>
    <row r="27" spans="1:17" ht="18" hidden="1" customHeight="1" x14ac:dyDescent="0.25">
      <c r="A27" s="30" t="s">
        <v>129</v>
      </c>
      <c r="B27" s="30" t="s">
        <v>130</v>
      </c>
      <c r="C27" s="30" t="s">
        <v>131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7" ht="18" customHeight="1" x14ac:dyDescent="0.25">
      <c r="A28" s="30" t="s">
        <v>138</v>
      </c>
      <c r="B28" s="30" t="s">
        <v>143</v>
      </c>
      <c r="C28" s="30" t="s">
        <v>144</v>
      </c>
      <c r="D28" s="85" t="str">
        <f t="shared" si="0"/>
        <v>2</v>
      </c>
      <c r="E28" s="75"/>
      <c r="F28" s="75">
        <v>1</v>
      </c>
      <c r="G28" s="75"/>
      <c r="H28" s="75"/>
      <c r="I28" s="75">
        <v>1</v>
      </c>
      <c r="J28" s="75"/>
      <c r="K28" s="75"/>
      <c r="L28" s="75"/>
      <c r="M28" s="75"/>
    </row>
    <row r="29" spans="1:17" ht="18" hidden="1" customHeight="1" x14ac:dyDescent="0.25">
      <c r="A29" s="30" t="s">
        <v>4</v>
      </c>
      <c r="B29" s="30" t="s">
        <v>85</v>
      </c>
      <c r="C29" s="30" t="s">
        <v>86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7" ht="18" hidden="1" customHeight="1" x14ac:dyDescent="0.25">
      <c r="A30" s="54" t="s">
        <v>9</v>
      </c>
      <c r="B30" s="54" t="s">
        <v>25</v>
      </c>
      <c r="C30" s="54" t="s">
        <v>313</v>
      </c>
      <c r="D30" s="85" t="str">
        <f t="shared" si="0"/>
        <v>0</v>
      </c>
      <c r="E30" s="79"/>
      <c r="F30" s="79"/>
      <c r="G30" s="79"/>
      <c r="H30" s="79"/>
      <c r="I30" s="79"/>
      <c r="J30" s="79"/>
      <c r="K30" s="79"/>
      <c r="L30" s="79"/>
      <c r="M30" s="79"/>
    </row>
    <row r="31" spans="1:17" ht="18" hidden="1" customHeight="1" x14ac:dyDescent="0.25">
      <c r="A31" s="30" t="s">
        <v>52</v>
      </c>
      <c r="B31" s="30" t="s">
        <v>213</v>
      </c>
      <c r="C31" s="30" t="s">
        <v>564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7" ht="18" hidden="1" customHeight="1" x14ac:dyDescent="0.25">
      <c r="A32" s="30" t="s">
        <v>138</v>
      </c>
      <c r="B32" s="30" t="s">
        <v>141</v>
      </c>
      <c r="C32" s="30" t="s">
        <v>142</v>
      </c>
      <c r="D32" s="85" t="str">
        <f t="shared" si="0"/>
        <v>0</v>
      </c>
      <c r="E32" s="75"/>
      <c r="F32" s="75"/>
      <c r="G32" s="75"/>
      <c r="H32" s="75"/>
      <c r="I32" s="75"/>
      <c r="J32" s="75"/>
      <c r="K32" s="75"/>
      <c r="L32" s="75"/>
      <c r="M32" s="75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48</v>
      </c>
      <c r="C39" s="30" t="s">
        <v>49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50</v>
      </c>
      <c r="C40" s="30" t="s">
        <v>51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55</v>
      </c>
      <c r="B41" s="30" t="s">
        <v>56</v>
      </c>
      <c r="C41" s="30" t="s">
        <v>57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30</v>
      </c>
      <c r="B42" s="30" t="s">
        <v>58</v>
      </c>
      <c r="C42" s="30" t="s">
        <v>59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30</v>
      </c>
      <c r="B43" s="30" t="s">
        <v>60</v>
      </c>
      <c r="C43" s="30" t="s">
        <v>61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62</v>
      </c>
      <c r="C44" s="30" t="s">
        <v>63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31</v>
      </c>
      <c r="C45" s="30" t="s">
        <v>32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39</v>
      </c>
      <c r="C46" s="30" t="s">
        <v>40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0</v>
      </c>
      <c r="B52" s="30" t="s">
        <v>1</v>
      </c>
      <c r="C52" s="30" t="s">
        <v>2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64</v>
      </c>
      <c r="C59" s="30" t="s">
        <v>65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67</v>
      </c>
      <c r="C64" s="30" t="s">
        <v>68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69</v>
      </c>
      <c r="C68" s="30" t="s">
        <v>70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71</v>
      </c>
      <c r="C71" s="30" t="s">
        <v>72</v>
      </c>
      <c r="D71" s="85" t="str">
        <f t="shared" ref="D71:D134" si="1">(E71+F71+L71+G71+H71+I71+J71+K71) &amp;M71</f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73</v>
      </c>
      <c r="C72" s="30" t="s">
        <v>74</v>
      </c>
      <c r="D72" s="85" t="str">
        <f t="shared" si="1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4</v>
      </c>
      <c r="B73" s="30" t="s">
        <v>75</v>
      </c>
      <c r="C73" s="30" t="s">
        <v>76</v>
      </c>
      <c r="D73" s="85" t="str">
        <f t="shared" si="1"/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4</v>
      </c>
      <c r="B74" s="30" t="s">
        <v>77</v>
      </c>
      <c r="C74" s="30" t="s">
        <v>78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79</v>
      </c>
      <c r="C75" s="30" t="s">
        <v>80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81</v>
      </c>
      <c r="C77" s="30" t="s">
        <v>82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83</v>
      </c>
      <c r="C78" s="30" t="s">
        <v>84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5</v>
      </c>
      <c r="C79" s="30" t="s">
        <v>6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9</v>
      </c>
      <c r="B91" s="30" t="s">
        <v>87</v>
      </c>
      <c r="C91" s="30" t="s">
        <v>88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9</v>
      </c>
      <c r="B92" s="30" t="s">
        <v>89</v>
      </c>
      <c r="C92" s="30" t="s">
        <v>90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10</v>
      </c>
      <c r="C93" s="30" t="s">
        <v>11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</row>
    <row r="99" spans="1:37" hidden="1" x14ac:dyDescent="0.25">
      <c r="A99" s="30" t="s">
        <v>9</v>
      </c>
      <c r="B99" s="30" t="s">
        <v>91</v>
      </c>
      <c r="C99" s="30" t="s">
        <v>92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28</v>
      </c>
      <c r="C110" s="30" t="s">
        <v>387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  <c r="P112" t="s">
        <v>391</v>
      </c>
      <c r="Q112" t="s">
        <v>392</v>
      </c>
      <c r="R112" t="s">
        <v>582</v>
      </c>
      <c r="S112" t="s">
        <v>390</v>
      </c>
      <c r="T112" t="s">
        <v>583</v>
      </c>
      <c r="U112" t="s">
        <v>584</v>
      </c>
      <c r="V112" t="s">
        <v>585</v>
      </c>
      <c r="W112" t="s">
        <v>586</v>
      </c>
      <c r="X112" t="s">
        <v>587</v>
      </c>
      <c r="Y112" t="s">
        <v>588</v>
      </c>
      <c r="Z112" t="s">
        <v>589</v>
      </c>
      <c r="AA112" t="s">
        <v>590</v>
      </c>
      <c r="AB112" t="s">
        <v>591</v>
      </c>
      <c r="AC112" t="s">
        <v>592</v>
      </c>
      <c r="AD112" t="s">
        <v>593</v>
      </c>
      <c r="AE112" t="s">
        <v>594</v>
      </c>
      <c r="AF112" t="s">
        <v>595</v>
      </c>
    </row>
    <row r="113" spans="1:32" hidden="1" x14ac:dyDescent="0.25">
      <c r="A113" s="30" t="s">
        <v>107</v>
      </c>
      <c r="B113" s="30" t="s">
        <v>250</v>
      </c>
      <c r="C113" s="30" t="s">
        <v>251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  <c r="R113" t="s">
        <v>414</v>
      </c>
      <c r="S113" t="s">
        <v>400</v>
      </c>
      <c r="T113" t="s">
        <v>597</v>
      </c>
      <c r="V113" t="s">
        <v>598</v>
      </c>
      <c r="W113" t="s">
        <v>493</v>
      </c>
      <c r="X113" t="s">
        <v>493</v>
      </c>
      <c r="Z113" t="s">
        <v>493</v>
      </c>
      <c r="AA113" t="s">
        <v>493</v>
      </c>
      <c r="AB113" t="s">
        <v>493</v>
      </c>
      <c r="AC113" t="s">
        <v>493</v>
      </c>
      <c r="AD113">
        <v>0</v>
      </c>
      <c r="AE113" s="3">
        <v>43663</v>
      </c>
      <c r="AF113">
        <v>0</v>
      </c>
    </row>
    <row r="114" spans="1:32" hidden="1" x14ac:dyDescent="0.25">
      <c r="A114" s="30" t="s">
        <v>107</v>
      </c>
      <c r="B114" s="30" t="s">
        <v>252</v>
      </c>
      <c r="C114" s="30" t="s">
        <v>253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</row>
    <row r="115" spans="1:32" hidden="1" x14ac:dyDescent="0.25">
      <c r="A115" s="30" t="s">
        <v>107</v>
      </c>
      <c r="B115" s="30" t="s">
        <v>254</v>
      </c>
      <c r="C115" s="30" t="s">
        <v>255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</row>
    <row r="116" spans="1:32" hidden="1" x14ac:dyDescent="0.25">
      <c r="A116" s="30" t="s">
        <v>107</v>
      </c>
      <c r="B116" s="30" t="s">
        <v>256</v>
      </c>
      <c r="C116" s="30" t="s">
        <v>257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33</v>
      </c>
      <c r="B117" s="30" t="s">
        <v>34</v>
      </c>
      <c r="C117" s="30" t="s">
        <v>35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258</v>
      </c>
      <c r="B118" s="30" t="s">
        <v>259</v>
      </c>
      <c r="C118" s="30" t="s">
        <v>260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258</v>
      </c>
      <c r="B119" s="30" t="s">
        <v>261</v>
      </c>
      <c r="C119" s="30" t="s">
        <v>262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41</v>
      </c>
      <c r="B120" s="30" t="s">
        <v>42</v>
      </c>
      <c r="C120" s="30" t="s">
        <v>43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263</v>
      </c>
      <c r="B121" s="30" t="s">
        <v>264</v>
      </c>
      <c r="C121" s="30" t="s">
        <v>265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263</v>
      </c>
      <c r="B122" s="30" t="s">
        <v>266</v>
      </c>
      <c r="C122" s="30" t="s">
        <v>267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114</v>
      </c>
      <c r="B123" s="30" t="s">
        <v>115</v>
      </c>
      <c r="C123" s="30" t="s">
        <v>116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44</v>
      </c>
      <c r="B124" s="30" t="s">
        <v>45</v>
      </c>
      <c r="C124" s="30" t="s">
        <v>46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120</v>
      </c>
      <c r="B125" s="30" t="s">
        <v>271</v>
      </c>
      <c r="C125" s="30" t="s">
        <v>272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120</v>
      </c>
      <c r="B126" s="30" t="s">
        <v>273</v>
      </c>
      <c r="C126" s="30" t="s">
        <v>274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121</v>
      </c>
      <c r="C127" s="30" t="s">
        <v>122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275</v>
      </c>
      <c r="C128" s="30" t="s">
        <v>276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85" t="str">
        <f t="shared" ref="D135:D164" si="2">(E135+F135+L135+G135+H135+I135+J135+K135) &amp;M135</f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85" t="str">
        <f t="shared" si="2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85" t="str">
        <f t="shared" si="2"/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85" t="str">
        <f t="shared" si="2"/>
        <v>0</v>
      </c>
      <c r="E138" s="76"/>
      <c r="F138" s="76"/>
      <c r="G138" s="76"/>
      <c r="H138" s="76"/>
      <c r="I138" s="76"/>
      <c r="J138" s="76"/>
      <c r="K138" s="76"/>
      <c r="L138" s="76"/>
      <c r="M138" s="76"/>
      <c r="AF138" s="3"/>
      <c r="AN138" s="3"/>
      <c r="AO138" s="3"/>
    </row>
    <row r="139" spans="1:41" hidden="1" x14ac:dyDescent="0.25">
      <c r="A139" s="30" t="s">
        <v>383</v>
      </c>
      <c r="B139" s="30" t="s">
        <v>384</v>
      </c>
      <c r="C139" s="30" t="s">
        <v>385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  <c r="AF139" s="3"/>
      <c r="AN139" s="3"/>
      <c r="AO139" s="3"/>
    </row>
    <row r="140" spans="1:41" hidden="1" x14ac:dyDescent="0.25">
      <c r="A140" s="4" t="s">
        <v>30</v>
      </c>
      <c r="B140" s="4" t="s">
        <v>39</v>
      </c>
      <c r="C140" s="4" t="s">
        <v>40</v>
      </c>
      <c r="D140" s="85" t="str">
        <f t="shared" si="2"/>
        <v>0</v>
      </c>
      <c r="AF140" s="3"/>
      <c r="AN140" s="3"/>
      <c r="AO140" s="3"/>
    </row>
    <row r="141" spans="1:41" hidden="1" x14ac:dyDescent="0.25">
      <c r="A141" s="4" t="s">
        <v>41</v>
      </c>
      <c r="B141" s="4" t="s">
        <v>42</v>
      </c>
      <c r="C141" s="4" t="s">
        <v>43</v>
      </c>
      <c r="D141" s="85" t="str">
        <f t="shared" si="2"/>
        <v>0</v>
      </c>
    </row>
    <row r="142" spans="1:41" hidden="1" x14ac:dyDescent="0.25">
      <c r="A142" s="30" t="s">
        <v>30</v>
      </c>
      <c r="B142" s="30" t="s">
        <v>439</v>
      </c>
      <c r="C142" s="30" t="s">
        <v>438</v>
      </c>
      <c r="D142" s="85" t="str">
        <f t="shared" si="2"/>
        <v>0</v>
      </c>
      <c r="E142" s="74"/>
      <c r="F142" s="74"/>
      <c r="G142" s="74"/>
      <c r="H142" s="74"/>
      <c r="I142" s="74"/>
      <c r="J142" s="74"/>
      <c r="K142" s="74"/>
      <c r="L142" s="75"/>
      <c r="M142" s="75"/>
    </row>
    <row r="143" spans="1:41" hidden="1" x14ac:dyDescent="0.25">
      <c r="A143" s="30" t="s">
        <v>169</v>
      </c>
      <c r="B143" s="30" t="s">
        <v>485</v>
      </c>
      <c r="C143" s="30" t="s">
        <v>484</v>
      </c>
      <c r="D143" s="85" t="str">
        <f t="shared" si="2"/>
        <v>0</v>
      </c>
      <c r="E143" s="74"/>
      <c r="F143" s="74"/>
      <c r="G143" s="74"/>
      <c r="H143" s="74"/>
      <c r="I143" s="74"/>
      <c r="J143" s="74"/>
      <c r="K143" s="74"/>
      <c r="L143" s="75"/>
      <c r="M143" s="75"/>
    </row>
    <row r="144" spans="1:41" x14ac:dyDescent="0.25">
      <c r="A144" t="s">
        <v>30</v>
      </c>
      <c r="B144" t="s">
        <v>596</v>
      </c>
      <c r="C144" s="4" t="s">
        <v>599</v>
      </c>
      <c r="D144" s="85" t="str">
        <f t="shared" si="2"/>
        <v>1</v>
      </c>
      <c r="H144" s="82">
        <v>1</v>
      </c>
    </row>
    <row r="145" spans="4:62" hidden="1" x14ac:dyDescent="0.25">
      <c r="D145" s="85" t="str">
        <f t="shared" si="2"/>
        <v>0</v>
      </c>
    </row>
    <row r="146" spans="4:62" hidden="1" x14ac:dyDescent="0.25">
      <c r="D146" s="85" t="str">
        <f t="shared" si="2"/>
        <v>0</v>
      </c>
    </row>
    <row r="147" spans="4:62" hidden="1" x14ac:dyDescent="0.25">
      <c r="D147" s="8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8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8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8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8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8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85" t="str">
        <f t="shared" si="2"/>
        <v>0</v>
      </c>
    </row>
    <row r="154" spans="4:62" hidden="1" x14ac:dyDescent="0.25">
      <c r="D154" s="85" t="str">
        <f t="shared" si="2"/>
        <v>0</v>
      </c>
    </row>
    <row r="155" spans="4:62" hidden="1" x14ac:dyDescent="0.25">
      <c r="D155" s="85" t="str">
        <f t="shared" si="2"/>
        <v>0</v>
      </c>
    </row>
    <row r="156" spans="4:62" hidden="1" x14ac:dyDescent="0.25">
      <c r="D156" s="8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8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85" t="str">
        <f t="shared" si="2"/>
        <v>0</v>
      </c>
    </row>
    <row r="159" spans="4:62" hidden="1" x14ac:dyDescent="0.25">
      <c r="D159" s="85" t="str">
        <f t="shared" si="2"/>
        <v>0</v>
      </c>
    </row>
    <row r="160" spans="4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x14ac:dyDescent="0.25">
      <c r="A165" s="24"/>
      <c r="B165" s="24"/>
      <c r="C165" s="24"/>
      <c r="D165" s="85"/>
      <c r="E165" s="74"/>
      <c r="F165" s="74"/>
      <c r="G165" s="74"/>
      <c r="H165" s="74"/>
      <c r="I165" s="74"/>
      <c r="J165" s="74"/>
      <c r="K165" s="74"/>
      <c r="L165" s="75"/>
      <c r="M165" s="75"/>
    </row>
  </sheetData>
  <autoFilter ref="A5:M164">
    <filterColumn colId="3">
      <filters>
        <filter val="0."/>
        <filter val="1"/>
        <filter val="2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221187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21187" r:id="rId7" name="CommandButton3"/>
      </mc:Fallback>
    </mc:AlternateContent>
    <mc:AlternateContent xmlns:mc="http://schemas.openxmlformats.org/markup-compatibility/2006">
      <mc:Choice Requires="x14">
        <control shapeId="221186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21186" r:id="rId9" name="CommandButton2"/>
      </mc:Fallback>
    </mc:AlternateContent>
    <mc:AlternateContent xmlns:mc="http://schemas.openxmlformats.org/markup-compatibility/2006">
      <mc:Choice Requires="x14">
        <control shapeId="221185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21185" r:id="rId11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7" filterMode="1">
    <tabColor rgb="FFFFC000"/>
    <pageSetUpPr fitToPage="1"/>
  </sheetPr>
  <dimension ref="A1:BJ165"/>
  <sheetViews>
    <sheetView zoomScale="95" zoomScaleNormal="95" workbookViewId="0">
      <selection activeCell="C169" sqref="C169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2" width="6" style="22" bestFit="1" customWidth="1"/>
    <col min="13" max="13" width="8.7109375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43636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rgo190021</v>
      </c>
      <c r="D5" s="62"/>
      <c r="E5" s="63" t="s">
        <v>570</v>
      </c>
      <c r="F5" s="63" t="s">
        <v>571</v>
      </c>
      <c r="G5" s="63"/>
      <c r="H5" s="63"/>
      <c r="I5" s="63"/>
      <c r="J5" s="63"/>
      <c r="K5" s="64"/>
      <c r="L5" s="65"/>
      <c r="M5" s="64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1+brc test , lcd rij dode pixels</v>
      </c>
      <c r="E7" s="26">
        <v>1</v>
      </c>
      <c r="F7" s="26"/>
      <c r="G7" s="26"/>
      <c r="H7" s="26"/>
      <c r="I7" s="26"/>
      <c r="J7" s="26"/>
      <c r="K7" s="26"/>
      <c r="L7" s="27"/>
      <c r="M7" s="70" t="s">
        <v>572</v>
      </c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0</v>
      </c>
      <c r="E11" s="68"/>
      <c r="F11" s="68"/>
      <c r="G11" s="68"/>
      <c r="H11" s="68"/>
      <c r="I11" s="68"/>
      <c r="J11" s="68"/>
      <c r="K11" s="68"/>
      <c r="L11" s="68"/>
      <c r="M11" s="68"/>
    </row>
    <row r="12" spans="1:14" ht="18" hidden="1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0</v>
      </c>
      <c r="E12" s="68"/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hidden="1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0</v>
      </c>
      <c r="E28" s="68"/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564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>
        <v>0</v>
      </c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99681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14</xdr:col>
                <xdr:colOff>571500</xdr:colOff>
                <xdr:row>3</xdr:row>
                <xdr:rowOff>428625</xdr:rowOff>
              </to>
            </anchor>
          </controlPr>
        </control>
      </mc:Choice>
      <mc:Fallback>
        <control shapeId="199681" r:id="rId7" name="CommandButton1"/>
      </mc:Fallback>
    </mc:AlternateContent>
    <mc:AlternateContent xmlns:mc="http://schemas.openxmlformats.org/markup-compatibility/2006">
      <mc:Choice Requires="x14">
        <control shapeId="199682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99682" r:id="rId9" name="CommandButton2"/>
      </mc:Fallback>
    </mc:AlternateContent>
    <mc:AlternateContent xmlns:mc="http://schemas.openxmlformats.org/markup-compatibility/2006">
      <mc:Choice Requires="x14">
        <control shapeId="199683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99683" r:id="rId11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6" filterMode="1">
    <tabColor rgb="FFFFC000"/>
    <pageSetUpPr fitToPage="1"/>
  </sheetPr>
  <dimension ref="A1:BJ165"/>
  <sheetViews>
    <sheetView zoomScale="95" zoomScaleNormal="95" workbookViewId="0">
      <selection activeCell="D1" sqref="D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43636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rgo190023</v>
      </c>
      <c r="D5" s="62"/>
      <c r="E5" s="63">
        <v>1036</v>
      </c>
      <c r="F5" s="63"/>
      <c r="G5" s="63"/>
      <c r="H5" s="63"/>
      <c r="I5" s="63"/>
      <c r="J5" s="63"/>
      <c r="K5" s="64"/>
      <c r="L5" s="65"/>
      <c r="M5" s="64" t="s">
        <v>386</v>
      </c>
    </row>
    <row r="6" spans="1:14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30</v>
      </c>
      <c r="E6" s="26">
        <v>30</v>
      </c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</v>
      </c>
      <c r="E7" s="26">
        <v>1</v>
      </c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1</v>
      </c>
      <c r="E11" s="68">
        <v>1</v>
      </c>
      <c r="F11" s="68"/>
      <c r="G11" s="68"/>
      <c r="H11" s="68"/>
      <c r="I11" s="68"/>
      <c r="J11" s="68"/>
      <c r="K11" s="68"/>
      <c r="L11" s="68"/>
      <c r="M11" s="68"/>
    </row>
    <row r="12" spans="1:14" ht="18" hidden="1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0</v>
      </c>
      <c r="E12" s="68"/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hidden="1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0</v>
      </c>
      <c r="E28" s="68"/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564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1</v>
      </c>
      <c r="E112" s="27">
        <v>1</v>
      </c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>
        <v>0</v>
      </c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79203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79203" r:id="rId7" name="CommandButton3"/>
      </mc:Fallback>
    </mc:AlternateContent>
    <mc:AlternateContent xmlns:mc="http://schemas.openxmlformats.org/markup-compatibility/2006">
      <mc:Choice Requires="x14">
        <control shapeId="179202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79202" r:id="rId9" name="CommandButton2"/>
      </mc:Fallback>
    </mc:AlternateContent>
    <mc:AlternateContent xmlns:mc="http://schemas.openxmlformats.org/markup-compatibility/2006">
      <mc:Choice Requires="x14">
        <control shapeId="179201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79201" r:id="rId11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5" filterMode="1">
    <tabColor rgb="FFFFC000"/>
    <pageSetUpPr fitToPage="1"/>
  </sheetPr>
  <dimension ref="A1:BJ165"/>
  <sheetViews>
    <sheetView zoomScale="95" zoomScaleNormal="95" workbookViewId="0">
      <selection activeCell="O12" sqref="O12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153" customHeight="1" x14ac:dyDescent="0.25">
      <c r="C4" s="40">
        <v>43633</v>
      </c>
      <c r="E4" s="39" t="s">
        <v>425</v>
      </c>
      <c r="F4" s="39" t="s">
        <v>559</v>
      </c>
      <c r="G4" s="39" t="s">
        <v>565</v>
      </c>
      <c r="H4" s="39" t="s">
        <v>560</v>
      </c>
      <c r="I4" s="39" t="s">
        <v>562</v>
      </c>
      <c r="J4" s="39" t="s">
        <v>563</v>
      </c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batch49</v>
      </c>
      <c r="D5" s="62"/>
      <c r="E5" s="63" t="s">
        <v>558</v>
      </c>
      <c r="F5" s="63" t="s">
        <v>566</v>
      </c>
      <c r="G5" s="63" t="s">
        <v>567</v>
      </c>
      <c r="H5" s="63" t="s">
        <v>568</v>
      </c>
      <c r="I5" s="63" t="s">
        <v>561</v>
      </c>
      <c r="J5" s="63" t="s">
        <v>569</v>
      </c>
      <c r="K5" s="64"/>
      <c r="L5" s="65"/>
      <c r="M5" s="64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69" t="s">
        <v>314</v>
      </c>
      <c r="B7" s="69" t="s">
        <v>315</v>
      </c>
      <c r="C7" s="69" t="s">
        <v>365</v>
      </c>
      <c r="D7" s="67" t="str">
        <f t="shared" ref="D7:D70" si="0">(E7+F7+L7+G7+H7+I7+J7+K7) &amp;M7</f>
        <v>1</v>
      </c>
      <c r="E7" s="67">
        <v>1</v>
      </c>
      <c r="F7" s="67"/>
      <c r="G7" s="67"/>
      <c r="H7" s="67"/>
      <c r="I7" s="67"/>
      <c r="J7" s="67"/>
      <c r="K7" s="67"/>
      <c r="L7" s="68"/>
      <c r="M7" s="68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0</v>
      </c>
      <c r="E11" s="68"/>
      <c r="F11" s="68"/>
      <c r="G11" s="68"/>
      <c r="H11" s="68"/>
      <c r="I11" s="68"/>
      <c r="J11" s="68"/>
      <c r="K11" s="68"/>
      <c r="L11" s="68"/>
      <c r="M11" s="68"/>
    </row>
    <row r="12" spans="1:14" ht="18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1</v>
      </c>
      <c r="E12" s="68"/>
      <c r="F12" s="68"/>
      <c r="G12" s="68">
        <v>1</v>
      </c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customHeight="1" x14ac:dyDescent="0.25">
      <c r="A18" s="66" t="s">
        <v>268</v>
      </c>
      <c r="B18" s="66" t="s">
        <v>269</v>
      </c>
      <c r="C18" s="66" t="s">
        <v>336</v>
      </c>
      <c r="D18" s="67" t="str">
        <f t="shared" si="0"/>
        <v>1</v>
      </c>
      <c r="E18" s="68"/>
      <c r="F18" s="68"/>
      <c r="G18" s="68"/>
      <c r="H18" s="68"/>
      <c r="I18" s="68"/>
      <c r="J18" s="68">
        <v>1</v>
      </c>
      <c r="K18" s="68"/>
      <c r="L18" s="68"/>
      <c r="M18" s="68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customHeight="1" x14ac:dyDescent="0.25">
      <c r="A23" s="66" t="s">
        <v>9</v>
      </c>
      <c r="B23" s="66" t="s">
        <v>155</v>
      </c>
      <c r="C23" s="66" t="s">
        <v>156</v>
      </c>
      <c r="D23" s="67" t="str">
        <f t="shared" si="0"/>
        <v>1</v>
      </c>
      <c r="E23" s="68">
        <v>1</v>
      </c>
      <c r="F23" s="68"/>
      <c r="G23" s="68"/>
      <c r="H23" s="68"/>
      <c r="I23" s="68"/>
      <c r="J23" s="68"/>
      <c r="K23" s="68"/>
      <c r="L23" s="68"/>
      <c r="M23" s="68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2</v>
      </c>
      <c r="E28" s="68">
        <v>2</v>
      </c>
      <c r="F28" s="68"/>
      <c r="G28" s="68"/>
      <c r="H28" s="68"/>
      <c r="I28" s="68"/>
      <c r="J28" s="68"/>
      <c r="K28" s="68"/>
      <c r="L28" s="68"/>
      <c r="M28" s="68"/>
    </row>
    <row r="29" spans="1:13" ht="18" customHeight="1" x14ac:dyDescent="0.25">
      <c r="A29" s="66" t="s">
        <v>4</v>
      </c>
      <c r="B29" s="66" t="s">
        <v>85</v>
      </c>
      <c r="C29" s="66" t="s">
        <v>86</v>
      </c>
      <c r="D29" s="67" t="str">
        <f t="shared" si="0"/>
        <v>3</v>
      </c>
      <c r="E29" s="68">
        <v>3</v>
      </c>
      <c r="F29" s="68"/>
      <c r="G29" s="68"/>
      <c r="H29" s="68"/>
      <c r="I29" s="68"/>
      <c r="J29" s="68"/>
      <c r="K29" s="68"/>
      <c r="L29" s="68"/>
      <c r="M29" s="68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customHeight="1" x14ac:dyDescent="0.25">
      <c r="A31" s="66" t="s">
        <v>52</v>
      </c>
      <c r="B31" s="66" t="s">
        <v>213</v>
      </c>
      <c r="C31" s="66" t="s">
        <v>564</v>
      </c>
      <c r="D31" s="67" t="str">
        <f t="shared" si="0"/>
        <v>3</v>
      </c>
      <c r="E31" s="68"/>
      <c r="F31" s="68"/>
      <c r="G31" s="68"/>
      <c r="H31" s="68"/>
      <c r="I31" s="68"/>
      <c r="J31" s="68">
        <v>3</v>
      </c>
      <c r="K31" s="68"/>
      <c r="L31" s="68"/>
      <c r="M31" s="68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x14ac:dyDescent="0.25">
      <c r="A143" s="66" t="s">
        <v>169</v>
      </c>
      <c r="B143" s="66" t="s">
        <v>485</v>
      </c>
      <c r="C143" s="66" t="s">
        <v>484</v>
      </c>
      <c r="D143" s="67" t="str">
        <f t="shared" si="2"/>
        <v>1</v>
      </c>
      <c r="E143" s="67"/>
      <c r="F143" s="67">
        <v>1</v>
      </c>
      <c r="G143" s="67"/>
      <c r="H143" s="67"/>
      <c r="I143" s="67"/>
      <c r="J143" s="67"/>
      <c r="K143" s="67"/>
      <c r="L143" s="68"/>
      <c r="M143" s="68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2"/>
        <filter val="3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57699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57699" r:id="rId7" name="CommandButton3"/>
      </mc:Fallback>
    </mc:AlternateContent>
    <mc:AlternateContent xmlns:mc="http://schemas.openxmlformats.org/markup-compatibility/2006">
      <mc:Choice Requires="x14">
        <control shapeId="157698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57698" r:id="rId9" name="CommandButton2"/>
      </mc:Fallback>
    </mc:AlternateContent>
    <mc:AlternateContent xmlns:mc="http://schemas.openxmlformats.org/markup-compatibility/2006">
      <mc:Choice Requires="x14">
        <control shapeId="157697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57697" r:id="rId11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4" filterMode="1">
    <tabColor rgb="FFFFC000"/>
    <pageSetUpPr fitToPage="1"/>
  </sheetPr>
  <dimension ref="A1:BJ165"/>
  <sheetViews>
    <sheetView zoomScale="95" zoomScaleNormal="95" workbookViewId="0">
      <selection activeCell="E5" sqref="E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43628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mst rijschoolkortrijk</v>
      </c>
      <c r="D5" s="62"/>
      <c r="E5" s="63" t="s">
        <v>556</v>
      </c>
      <c r="F5" s="63"/>
      <c r="G5" s="63"/>
      <c r="H5" s="63"/>
      <c r="I5" s="63"/>
      <c r="J5" s="63"/>
      <c r="K5" s="64"/>
      <c r="L5" s="65"/>
      <c r="M5" s="64" t="s">
        <v>386</v>
      </c>
    </row>
    <row r="6" spans="1:14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60</v>
      </c>
      <c r="E6" s="26">
        <v>60</v>
      </c>
      <c r="F6" s="26"/>
      <c r="G6" s="26"/>
      <c r="H6" s="26"/>
      <c r="I6" s="26"/>
      <c r="J6" s="26"/>
      <c r="K6" s="26"/>
      <c r="L6" s="27"/>
      <c r="M6" s="27"/>
    </row>
    <row r="7" spans="1:14" ht="18" hidden="1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1slechte cel erin</v>
      </c>
      <c r="E11" s="68">
        <v>1</v>
      </c>
      <c r="F11" s="68"/>
      <c r="G11" s="68"/>
      <c r="H11" s="68"/>
      <c r="I11" s="68"/>
      <c r="J11" s="68"/>
      <c r="K11" s="68"/>
      <c r="L11" s="68"/>
      <c r="M11" s="68" t="s">
        <v>557</v>
      </c>
    </row>
    <row r="12" spans="1:14" ht="18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1</v>
      </c>
      <c r="E12" s="68">
        <v>1</v>
      </c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2</v>
      </c>
      <c r="E28" s="68">
        <v>2</v>
      </c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1slechte cel erin"/>
        <filter val="2"/>
        <filter val="6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3" orientation="landscape" r:id="rId4"/>
  <drawing r:id="rId5"/>
  <legacyDrawing r:id="rId6"/>
  <controls>
    <mc:AlternateContent xmlns:mc="http://schemas.openxmlformats.org/markup-compatibility/2006">
      <mc:Choice Requires="x14">
        <control shapeId="139267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39267" r:id="rId7" name="CommandButton3"/>
      </mc:Fallback>
    </mc:AlternateContent>
    <mc:AlternateContent xmlns:mc="http://schemas.openxmlformats.org/markup-compatibility/2006">
      <mc:Choice Requires="x14">
        <control shapeId="139266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39266" r:id="rId9" name="CommandButton2"/>
      </mc:Fallback>
    </mc:AlternateContent>
    <mc:AlternateContent xmlns:mc="http://schemas.openxmlformats.org/markup-compatibility/2006">
      <mc:Choice Requires="x14">
        <control shapeId="139265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39265" r:id="rId11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3" filterMode="1">
    <tabColor rgb="FFFFC000"/>
    <pageSetUpPr fitToPage="1"/>
  </sheetPr>
  <dimension ref="A1:BJ165"/>
  <sheetViews>
    <sheetView zoomScale="95" zoomScaleNormal="95" workbookViewId="0">
      <selection activeCell="D1" sqref="D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43622</v>
      </c>
      <c r="E4" s="39"/>
      <c r="F4" s="39" t="s">
        <v>550</v>
      </c>
      <c r="G4" s="39" t="s">
        <v>551</v>
      </c>
      <c r="H4" s="39" t="s">
        <v>552</v>
      </c>
      <c r="I4" s="39" t="s">
        <v>553</v>
      </c>
      <c r="J4" s="39" t="s">
        <v>554</v>
      </c>
      <c r="K4" s="39"/>
      <c r="L4" s="39"/>
      <c r="M4" s="39"/>
    </row>
    <row r="5" spans="1:14" s="36" customFormat="1" ht="190.5" customHeight="1" x14ac:dyDescent="0.25">
      <c r="A5" s="33"/>
      <c r="B5" s="33" t="s">
        <v>325</v>
      </c>
      <c r="C5" s="33" t="str">
        <f ca="1">MID(CELL("filename",A5),FIND("]",CELL("filename",A5))+1,256)</f>
        <v>batch48</v>
      </c>
      <c r="D5" s="34" t="s">
        <v>382</v>
      </c>
      <c r="E5" s="37" t="s">
        <v>544</v>
      </c>
      <c r="F5" s="37" t="s">
        <v>545</v>
      </c>
      <c r="G5" s="37" t="s">
        <v>546</v>
      </c>
      <c r="H5" s="37" t="s">
        <v>547</v>
      </c>
      <c r="I5" s="37" t="s">
        <v>548</v>
      </c>
      <c r="J5" s="37" t="s">
        <v>549</v>
      </c>
      <c r="K5" s="38"/>
      <c r="L5" s="35"/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>
        <v>0</v>
      </c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</v>
      </c>
      <c r="E7" s="26">
        <v>1</v>
      </c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1</v>
      </c>
      <c r="E14" s="27"/>
      <c r="F14" s="27">
        <v>1</v>
      </c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42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46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49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42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51" t="s">
        <v>138</v>
      </c>
      <c r="B28" s="51" t="s">
        <v>143</v>
      </c>
      <c r="C28" s="51" t="s">
        <v>144</v>
      </c>
      <c r="D28" s="25" t="str">
        <f t="shared" si="0"/>
        <v>1</v>
      </c>
      <c r="E28" s="27">
        <v>1</v>
      </c>
      <c r="F28" s="27"/>
      <c r="G28" s="27"/>
      <c r="H28" s="27"/>
      <c r="I28" s="27"/>
      <c r="J28" s="27"/>
      <c r="K28" s="27"/>
      <c r="L28" s="27"/>
      <c r="M28" s="27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49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42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49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42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1</v>
      </c>
      <c r="E143" s="26"/>
      <c r="F143" s="26"/>
      <c r="G143" s="26"/>
      <c r="H143" s="26">
        <v>1</v>
      </c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49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42" t="str">
        <f t="shared" si="2"/>
        <v>0</v>
      </c>
    </row>
    <row r="165" spans="1:13" x14ac:dyDescent="0.25">
      <c r="A165" s="52"/>
      <c r="B165" s="52"/>
      <c r="C165" s="52"/>
      <c r="D165" s="25"/>
      <c r="E165" s="26"/>
      <c r="F165" s="26"/>
      <c r="G165" s="26"/>
      <c r="H165" s="26"/>
      <c r="I165" s="26"/>
      <c r="J165" s="26"/>
      <c r="K165" s="26"/>
      <c r="L165" s="27"/>
      <c r="M165" s="27"/>
    </row>
  </sheetData>
  <autoFilter ref="A5:M164">
    <filterColumn colId="3">
      <filters>
        <filter val="1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7" orientation="landscape" r:id="rId4"/>
  <drawing r:id="rId5"/>
  <legacyDrawing r:id="rId6"/>
  <controls>
    <mc:AlternateContent xmlns:mc="http://schemas.openxmlformats.org/markup-compatibility/2006">
      <mc:Choice Requires="x14">
        <control shapeId="121857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21857" r:id="rId7" name="CommandButton1"/>
      </mc:Fallback>
    </mc:AlternateContent>
    <mc:AlternateContent xmlns:mc="http://schemas.openxmlformats.org/markup-compatibility/2006">
      <mc:Choice Requires="x14">
        <control shapeId="121858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21858" r:id="rId9" name="CommandButton2"/>
      </mc:Fallback>
    </mc:AlternateContent>
    <mc:AlternateContent xmlns:mc="http://schemas.openxmlformats.org/markup-compatibility/2006">
      <mc:Choice Requires="x14">
        <control shapeId="121859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21859" r:id="rId11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2" filterMode="1">
    <tabColor rgb="FFFFC000"/>
  </sheetPr>
  <dimension ref="A1:BK165"/>
  <sheetViews>
    <sheetView topLeftCell="B1" zoomScale="87" zoomScaleNormal="87" zoomScaleSheetLayoutView="70" workbookViewId="0">
      <selection activeCell="D173" sqref="D173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63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6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51" x14ac:dyDescent="0.25">
      <c r="C4" s="40">
        <v>43592</v>
      </c>
      <c r="E4" s="39"/>
      <c r="F4" s="39"/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 x14ac:dyDescent="0.25">
      <c r="A5" s="55"/>
      <c r="B5" s="55" t="s">
        <v>325</v>
      </c>
      <c r="C5" s="56" t="str">
        <f ca="1">MID(CELL("filename",A5),FIND("]",CELL("filename",A5))+1,256)</f>
        <v>rgo190016</v>
      </c>
      <c r="D5" s="57" t="s">
        <v>382</v>
      </c>
      <c r="E5" s="37"/>
      <c r="F5" s="37"/>
      <c r="G5" s="37">
        <v>1158</v>
      </c>
      <c r="H5" s="37"/>
      <c r="I5" s="37"/>
      <c r="J5" s="37"/>
      <c r="K5" s="38"/>
      <c r="L5" s="35"/>
      <c r="M5" s="38" t="s">
        <v>386</v>
      </c>
    </row>
    <row r="6" spans="1:63" ht="17.25" customHeight="1" x14ac:dyDescent="0.25">
      <c r="A6" s="58" t="s">
        <v>307</v>
      </c>
      <c r="B6" s="58" t="s">
        <v>324</v>
      </c>
      <c r="C6" s="58" t="s">
        <v>323</v>
      </c>
      <c r="D6" s="53" t="str">
        <f t="shared" ref="D6:D37" si="0">(E6+F6+L6+G6+H6+I6+J6+K6) &amp;M6</f>
        <v>0</v>
      </c>
      <c r="E6" s="53"/>
      <c r="F6" s="53"/>
      <c r="G6" s="53"/>
      <c r="H6" s="53"/>
      <c r="I6" s="53"/>
      <c r="J6" s="53"/>
      <c r="K6" s="53"/>
      <c r="L6" s="43"/>
      <c r="M6" s="43"/>
    </row>
    <row r="7" spans="1:63" ht="17.25" customHeight="1" x14ac:dyDescent="0.25">
      <c r="A7" s="59" t="s">
        <v>534</v>
      </c>
      <c r="B7" s="59" t="s">
        <v>532</v>
      </c>
      <c r="C7" s="59" t="s">
        <v>533</v>
      </c>
      <c r="D7" s="53" t="str">
        <f t="shared" si="0"/>
        <v>1</v>
      </c>
      <c r="E7" s="53"/>
      <c r="F7" s="53"/>
      <c r="G7" s="53">
        <v>1</v>
      </c>
      <c r="H7" s="53"/>
      <c r="I7" s="53"/>
      <c r="J7" s="53"/>
      <c r="K7" s="53"/>
      <c r="L7" s="43"/>
      <c r="M7" s="43"/>
    </row>
    <row r="8" spans="1:63" ht="19.5" customHeight="1" x14ac:dyDescent="0.25">
      <c r="A8" s="59" t="s">
        <v>534</v>
      </c>
      <c r="B8" s="59" t="s">
        <v>436</v>
      </c>
      <c r="C8" s="59" t="s">
        <v>535</v>
      </c>
      <c r="D8" s="53" t="str">
        <f t="shared" si="0"/>
        <v>0</v>
      </c>
      <c r="E8" s="53"/>
      <c r="F8" s="53"/>
      <c r="G8" s="53"/>
      <c r="H8" s="53"/>
      <c r="I8" s="53"/>
      <c r="J8" s="53"/>
      <c r="K8" s="53"/>
      <c r="L8" s="43"/>
      <c r="M8" s="43"/>
    </row>
    <row r="9" spans="1:63" ht="18" customHeight="1" x14ac:dyDescent="0.25">
      <c r="A9" s="59" t="s">
        <v>314</v>
      </c>
      <c r="B9" s="59" t="s">
        <v>315</v>
      </c>
      <c r="C9" s="59" t="s">
        <v>365</v>
      </c>
      <c r="D9" s="26" t="str">
        <f t="shared" si="0"/>
        <v>0</v>
      </c>
      <c r="E9" s="26"/>
      <c r="F9" s="26"/>
      <c r="G9" s="26"/>
      <c r="H9" s="26"/>
      <c r="I9" s="26"/>
      <c r="J9" s="26"/>
      <c r="K9" s="26"/>
      <c r="L9" s="27"/>
      <c r="M9" s="27"/>
    </row>
    <row r="10" spans="1:63" ht="18" hidden="1" customHeight="1" x14ac:dyDescent="0.25">
      <c r="A10" s="48" t="s">
        <v>169</v>
      </c>
      <c r="B10" s="48" t="s">
        <v>215</v>
      </c>
      <c r="C10" s="48" t="s">
        <v>216</v>
      </c>
      <c r="D10" s="49" t="str">
        <f t="shared" si="0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 x14ac:dyDescent="0.25">
      <c r="A11" s="29" t="s">
        <v>169</v>
      </c>
      <c r="B11" s="29" t="s">
        <v>170</v>
      </c>
      <c r="C11" s="29" t="s">
        <v>171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 x14ac:dyDescent="0.25">
      <c r="A12" s="41" t="s">
        <v>169</v>
      </c>
      <c r="B12" s="41" t="s">
        <v>172</v>
      </c>
      <c r="C12" s="41" t="s">
        <v>173</v>
      </c>
      <c r="D12" s="42" t="str">
        <f t="shared" si="0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 x14ac:dyDescent="0.25">
      <c r="A13" s="60" t="s">
        <v>52</v>
      </c>
      <c r="B13" s="60" t="s">
        <v>53</v>
      </c>
      <c r="C13" s="60" t="s">
        <v>54</v>
      </c>
      <c r="D13" s="26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 x14ac:dyDescent="0.25">
      <c r="A14" s="48" t="s">
        <v>138</v>
      </c>
      <c r="B14" s="48" t="s">
        <v>160</v>
      </c>
      <c r="C14" s="48" t="s">
        <v>159</v>
      </c>
      <c r="D14" s="49" t="str">
        <f t="shared" si="0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 x14ac:dyDescent="0.25">
      <c r="A15" s="29" t="s">
        <v>138</v>
      </c>
      <c r="B15" s="29" t="s">
        <v>162</v>
      </c>
      <c r="C15" s="29" t="s">
        <v>161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 x14ac:dyDescent="0.25">
      <c r="A16" s="29" t="s">
        <v>138</v>
      </c>
      <c r="B16" s="29" t="s">
        <v>139</v>
      </c>
      <c r="C16" s="29" t="s">
        <v>140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 x14ac:dyDescent="0.25">
      <c r="A17" s="29" t="s">
        <v>120</v>
      </c>
      <c r="B17" s="29" t="s">
        <v>123</v>
      </c>
      <c r="C17" s="29" t="s">
        <v>124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 x14ac:dyDescent="0.25">
      <c r="A18" s="29" t="s">
        <v>120</v>
      </c>
      <c r="B18" s="29" t="s">
        <v>125</v>
      </c>
      <c r="C18" s="29" t="s">
        <v>126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 x14ac:dyDescent="0.25">
      <c r="A19" s="29" t="s">
        <v>268</v>
      </c>
      <c r="B19" s="29" t="s">
        <v>337</v>
      </c>
      <c r="C19" s="29" t="s">
        <v>338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 x14ac:dyDescent="0.25">
      <c r="A20" s="29" t="s">
        <v>268</v>
      </c>
      <c r="B20" s="29" t="s">
        <v>269</v>
      </c>
      <c r="C20" s="29" t="s">
        <v>336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 x14ac:dyDescent="0.25">
      <c r="A21" s="29" t="s">
        <v>117</v>
      </c>
      <c r="B21" s="29" t="s">
        <v>118</v>
      </c>
      <c r="C21" s="29" t="s">
        <v>381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 x14ac:dyDescent="0.25">
      <c r="A22" s="29" t="s">
        <v>107</v>
      </c>
      <c r="B22" s="29" t="s">
        <v>112</v>
      </c>
      <c r="C22" s="29" t="s">
        <v>312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 x14ac:dyDescent="0.25">
      <c r="A23" s="29" t="s">
        <v>9</v>
      </c>
      <c r="B23" s="29" t="s">
        <v>166</v>
      </c>
      <c r="C23" s="29" t="s">
        <v>310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 x14ac:dyDescent="0.25">
      <c r="A24" s="29" t="s">
        <v>9</v>
      </c>
      <c r="B24" s="29" t="s">
        <v>168</v>
      </c>
      <c r="C24" s="29" t="s">
        <v>311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 x14ac:dyDescent="0.25">
      <c r="A25" s="29" t="s">
        <v>9</v>
      </c>
      <c r="B25" s="29" t="s">
        <v>155</v>
      </c>
      <c r="C25" s="29" t="s">
        <v>156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 x14ac:dyDescent="0.25">
      <c r="A26" s="29" t="s">
        <v>138</v>
      </c>
      <c r="B26" s="29" t="s">
        <v>149</v>
      </c>
      <c r="C26" s="29" t="s">
        <v>345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 x14ac:dyDescent="0.25">
      <c r="A27" s="29" t="s">
        <v>352</v>
      </c>
      <c r="B27" s="29" t="s">
        <v>352</v>
      </c>
      <c r="C27" s="29" t="s">
        <v>366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 x14ac:dyDescent="0.25">
      <c r="A28" s="29" t="s">
        <v>4</v>
      </c>
      <c r="B28" s="29" t="s">
        <v>188</v>
      </c>
      <c r="C28" s="29" t="s">
        <v>189</v>
      </c>
      <c r="D28" s="25" t="str">
        <f t="shared" si="0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 x14ac:dyDescent="0.25">
      <c r="A29" s="41" t="s">
        <v>129</v>
      </c>
      <c r="B29" s="41" t="s">
        <v>130</v>
      </c>
      <c r="C29" s="41" t="s">
        <v>131</v>
      </c>
      <c r="D29" s="42" t="str">
        <f t="shared" si="0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 x14ac:dyDescent="0.25">
      <c r="A30" s="60" t="s">
        <v>138</v>
      </c>
      <c r="B30" s="60" t="s">
        <v>143</v>
      </c>
      <c r="C30" s="60" t="s">
        <v>144</v>
      </c>
      <c r="D30" s="26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 x14ac:dyDescent="0.25">
      <c r="A31" s="48" t="s">
        <v>4</v>
      </c>
      <c r="B31" s="48" t="s">
        <v>85</v>
      </c>
      <c r="C31" s="48" t="s">
        <v>86</v>
      </c>
      <c r="D31" s="49" t="str">
        <f t="shared" si="0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hidden="1" customHeight="1" x14ac:dyDescent="0.25">
      <c r="A32" s="29" t="s">
        <v>9</v>
      </c>
      <c r="B32" s="29" t="s">
        <v>25</v>
      </c>
      <c r="C32" s="29" t="s">
        <v>313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52</v>
      </c>
      <c r="B33" s="30" t="s">
        <v>213</v>
      </c>
      <c r="C33" s="30" t="s">
        <v>214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25" t="str">
        <f t="shared" ref="D38:D69" si="1">(E38+F38+L38+G38+H38+I38+J38+K38) &amp;M38</f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69</v>
      </c>
      <c r="C70" s="30" t="s">
        <v>70</v>
      </c>
      <c r="D70" s="25" t="str">
        <f t="shared" ref="D70:D101" si="2">(E70+F70+L70+G70+H70+I70+J70+K70) &amp;M70</f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25" t="str">
        <f t="shared" si="2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25" t="str">
        <f t="shared" si="2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66</v>
      </c>
      <c r="B73" s="30" t="s">
        <v>71</v>
      </c>
      <c r="C73" s="30" t="s">
        <v>72</v>
      </c>
      <c r="D73" s="25" t="str">
        <f t="shared" si="2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 x14ac:dyDescent="0.25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 x14ac:dyDescent="0.25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25" t="str">
        <f t="shared" ref="D102:D133" si="3">(E102+F102+L102+G102+H102+I102+J102+K102) &amp;M102</f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25" t="str">
        <f t="shared" si="3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25" t="str">
        <f t="shared" si="3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25" t="str">
        <f t="shared" si="3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25" t="str">
        <f t="shared" si="3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25" t="str">
        <f t="shared" si="3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25" t="str">
        <f t="shared" si="3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25" t="str">
        <f t="shared" si="3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25" t="str">
        <f t="shared" si="3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44" t="s">
        <v>27</v>
      </c>
      <c r="B111" s="44" t="s">
        <v>105</v>
      </c>
      <c r="C111" s="44" t="s">
        <v>106</v>
      </c>
      <c r="D111" s="42" t="str">
        <f t="shared" si="3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 x14ac:dyDescent="0.25">
      <c r="A112" s="60" t="s">
        <v>27</v>
      </c>
      <c r="B112" s="60" t="s">
        <v>28</v>
      </c>
      <c r="C112" s="60" t="s">
        <v>387</v>
      </c>
      <c r="D112" s="26" t="str">
        <f t="shared" si="3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54" t="s">
        <v>107</v>
      </c>
      <c r="B113" s="54" t="s">
        <v>108</v>
      </c>
      <c r="C113" s="54" t="s">
        <v>109</v>
      </c>
      <c r="D113" s="49" t="str">
        <f t="shared" si="3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 x14ac:dyDescent="0.25">
      <c r="A114" s="30" t="s">
        <v>107</v>
      </c>
      <c r="B114" s="30" t="s">
        <v>110</v>
      </c>
      <c r="C114" s="30" t="s">
        <v>111</v>
      </c>
      <c r="D114" s="25" t="str">
        <f t="shared" si="3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250</v>
      </c>
      <c r="C115" s="30" t="s">
        <v>251</v>
      </c>
      <c r="D115" s="25" t="str">
        <f t="shared" si="3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252</v>
      </c>
      <c r="C116" s="30" t="s">
        <v>253</v>
      </c>
      <c r="D116" s="25" t="str">
        <f t="shared" si="3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107</v>
      </c>
      <c r="B117" s="30" t="s">
        <v>254</v>
      </c>
      <c r="C117" s="30" t="s">
        <v>255</v>
      </c>
      <c r="D117" s="25" t="str">
        <f t="shared" si="3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107</v>
      </c>
      <c r="B118" s="30" t="s">
        <v>256</v>
      </c>
      <c r="C118" s="30" t="s">
        <v>257</v>
      </c>
      <c r="D118" s="25" t="str">
        <f t="shared" si="3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33</v>
      </c>
      <c r="B119" s="30" t="s">
        <v>34</v>
      </c>
      <c r="C119" s="30" t="s">
        <v>35</v>
      </c>
      <c r="D119" s="25" t="str">
        <f t="shared" si="3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258</v>
      </c>
      <c r="B120" s="30" t="s">
        <v>259</v>
      </c>
      <c r="C120" s="30" t="s">
        <v>260</v>
      </c>
      <c r="D120" s="25" t="str">
        <f t="shared" si="3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258</v>
      </c>
      <c r="B121" s="30" t="s">
        <v>261</v>
      </c>
      <c r="C121" s="30" t="s">
        <v>262</v>
      </c>
      <c r="D121" s="25" t="str">
        <f t="shared" si="3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41</v>
      </c>
      <c r="B122" s="30" t="s">
        <v>42</v>
      </c>
      <c r="C122" s="30" t="s">
        <v>43</v>
      </c>
      <c r="D122" s="25" t="str">
        <f t="shared" si="3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263</v>
      </c>
      <c r="B123" s="30" t="s">
        <v>264</v>
      </c>
      <c r="C123" s="30" t="s">
        <v>265</v>
      </c>
      <c r="D123" s="25" t="str">
        <f t="shared" si="3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263</v>
      </c>
      <c r="B124" s="30" t="s">
        <v>266</v>
      </c>
      <c r="C124" s="30" t="s">
        <v>267</v>
      </c>
      <c r="D124" s="25" t="str">
        <f t="shared" si="3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114</v>
      </c>
      <c r="B125" s="30" t="s">
        <v>115</v>
      </c>
      <c r="C125" s="30" t="s">
        <v>116</v>
      </c>
      <c r="D125" s="25" t="str">
        <f t="shared" si="3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44</v>
      </c>
      <c r="B126" s="30" t="s">
        <v>45</v>
      </c>
      <c r="C126" s="30" t="s">
        <v>46</v>
      </c>
      <c r="D126" s="25" t="str">
        <f t="shared" si="3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271</v>
      </c>
      <c r="C127" s="30" t="s">
        <v>272</v>
      </c>
      <c r="D127" s="25" t="str">
        <f t="shared" si="3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273</v>
      </c>
      <c r="C128" s="30" t="s">
        <v>274</v>
      </c>
      <c r="D128" s="25" t="str">
        <f t="shared" si="3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 x14ac:dyDescent="0.25">
      <c r="A129" s="30" t="s">
        <v>120</v>
      </c>
      <c r="B129" s="30" t="s">
        <v>121</v>
      </c>
      <c r="C129" s="30" t="s">
        <v>122</v>
      </c>
      <c r="D129" s="25" t="str">
        <f t="shared" si="3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 x14ac:dyDescent="0.25">
      <c r="A130" s="30" t="s">
        <v>120</v>
      </c>
      <c r="B130" s="30" t="s">
        <v>275</v>
      </c>
      <c r="C130" s="30" t="s">
        <v>276</v>
      </c>
      <c r="D130" s="25" t="str">
        <f t="shared" si="3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 x14ac:dyDescent="0.25">
      <c r="A131" s="30" t="s">
        <v>120</v>
      </c>
      <c r="B131" s="30" t="s">
        <v>198</v>
      </c>
      <c r="C131" s="30" t="s">
        <v>199</v>
      </c>
      <c r="D131" s="25" t="str">
        <f t="shared" si="3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 x14ac:dyDescent="0.25">
      <c r="A132" s="30" t="s">
        <v>120</v>
      </c>
      <c r="B132" s="30" t="s">
        <v>277</v>
      </c>
      <c r="C132" s="30" t="s">
        <v>278</v>
      </c>
      <c r="D132" s="25" t="str">
        <f t="shared" si="3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 x14ac:dyDescent="0.25">
      <c r="A133" s="30" t="s">
        <v>279</v>
      </c>
      <c r="B133" s="30" t="s">
        <v>280</v>
      </c>
      <c r="C133" s="30" t="s">
        <v>281</v>
      </c>
      <c r="D133" s="25" t="str">
        <f t="shared" si="3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 x14ac:dyDescent="0.25">
      <c r="A134" s="30" t="s">
        <v>282</v>
      </c>
      <c r="B134" s="30" t="s">
        <v>283</v>
      </c>
      <c r="C134" s="30" t="s">
        <v>284</v>
      </c>
      <c r="D134" s="25" t="str">
        <f t="shared" ref="D134:D165" si="4">(E134+F134+L134+G134+H134+I134+J134+K134) &amp;M134</f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 x14ac:dyDescent="0.25">
      <c r="A135" s="30" t="s">
        <v>285</v>
      </c>
      <c r="B135" s="30" t="s">
        <v>286</v>
      </c>
      <c r="C135" s="30" t="s">
        <v>287</v>
      </c>
      <c r="D135" s="25" t="str">
        <f t="shared" si="4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 x14ac:dyDescent="0.25">
      <c r="A136" s="30" t="s">
        <v>14</v>
      </c>
      <c r="B136" s="30" t="s">
        <v>15</v>
      </c>
      <c r="C136" s="30" t="s">
        <v>16</v>
      </c>
      <c r="D136" s="25" t="str">
        <f t="shared" si="4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 x14ac:dyDescent="0.25">
      <c r="A137" s="30" t="s">
        <v>14</v>
      </c>
      <c r="B137" s="30" t="s">
        <v>17</v>
      </c>
      <c r="C137" s="30" t="s">
        <v>18</v>
      </c>
      <c r="D137" s="25" t="str">
        <f t="shared" si="4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 x14ac:dyDescent="0.25">
      <c r="A138" s="30" t="s">
        <v>14</v>
      </c>
      <c r="B138" s="30" t="s">
        <v>201</v>
      </c>
      <c r="C138" s="30" t="s">
        <v>202</v>
      </c>
      <c r="D138" s="25" t="str">
        <f t="shared" si="4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 x14ac:dyDescent="0.25">
      <c r="A139" s="30" t="s">
        <v>14</v>
      </c>
      <c r="B139" s="30" t="s">
        <v>203</v>
      </c>
      <c r="C139" s="30" t="s">
        <v>204</v>
      </c>
      <c r="D139" s="25" t="str">
        <f t="shared" si="4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 x14ac:dyDescent="0.25">
      <c r="A140" s="30" t="s">
        <v>36</v>
      </c>
      <c r="B140" s="30" t="s">
        <v>37</v>
      </c>
      <c r="C140" s="30" t="s">
        <v>38</v>
      </c>
      <c r="D140" s="25" t="str">
        <f t="shared" si="4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 x14ac:dyDescent="0.25">
      <c r="A141" s="30" t="s">
        <v>383</v>
      </c>
      <c r="B141" s="30" t="s">
        <v>384</v>
      </c>
      <c r="C141" s="30" t="s">
        <v>385</v>
      </c>
      <c r="D141" s="25" t="str">
        <f t="shared" si="4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 x14ac:dyDescent="0.25">
      <c r="A142" t="s">
        <v>30</v>
      </c>
      <c r="B142" t="s">
        <v>39</v>
      </c>
      <c r="C142" t="s">
        <v>40</v>
      </c>
      <c r="D142" s="25" t="str">
        <f t="shared" si="4"/>
        <v>0</v>
      </c>
      <c r="AF142" s="3"/>
      <c r="AN142" s="3"/>
      <c r="AO142" s="3"/>
    </row>
    <row r="143" spans="1:63" hidden="1" x14ac:dyDescent="0.25">
      <c r="A143" t="s">
        <v>41</v>
      </c>
      <c r="B143" t="s">
        <v>42</v>
      </c>
      <c r="C143" t="s">
        <v>43</v>
      </c>
      <c r="D143" s="25" t="str">
        <f t="shared" si="4"/>
        <v>0</v>
      </c>
    </row>
    <row r="144" spans="1:63" hidden="1" x14ac:dyDescent="0.25">
      <c r="A144" t="s">
        <v>52</v>
      </c>
      <c r="B144" t="s">
        <v>509</v>
      </c>
      <c r="C144" t="s">
        <v>508</v>
      </c>
      <c r="D144" s="42" t="str">
        <f t="shared" si="4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 x14ac:dyDescent="0.25">
      <c r="A145" s="60" t="s">
        <v>52</v>
      </c>
      <c r="B145" s="60" t="s">
        <v>517</v>
      </c>
      <c r="C145" s="60" t="s">
        <v>516</v>
      </c>
      <c r="D145" s="26" t="str">
        <f t="shared" si="4"/>
        <v>0</v>
      </c>
      <c r="E145" s="26"/>
      <c r="F145" s="26"/>
      <c r="G145" s="26"/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 x14ac:dyDescent="0.25">
      <c r="A146" s="60" t="s">
        <v>27</v>
      </c>
      <c r="B146" s="60" t="s">
        <v>527</v>
      </c>
      <c r="C146" s="60" t="s">
        <v>526</v>
      </c>
      <c r="D146" s="26" t="str">
        <f t="shared" si="4"/>
        <v>0</v>
      </c>
      <c r="E146" s="26"/>
      <c r="F146" s="26"/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 x14ac:dyDescent="0.25">
      <c r="D147" s="49" t="str">
        <f t="shared" si="4"/>
        <v>0</v>
      </c>
    </row>
    <row r="148" spans="1:62" hidden="1" x14ac:dyDescent="0.25">
      <c r="D148" s="25" t="str">
        <f t="shared" si="4"/>
        <v>0</v>
      </c>
    </row>
    <row r="149" spans="1:62" hidden="1" x14ac:dyDescent="0.25">
      <c r="D149" s="25" t="str">
        <f t="shared" si="4"/>
        <v>0</v>
      </c>
    </row>
    <row r="150" spans="1:62" hidden="1" x14ac:dyDescent="0.25">
      <c r="D150" s="25" t="str">
        <f t="shared" si="4"/>
        <v>0</v>
      </c>
    </row>
    <row r="151" spans="1:62" hidden="1" x14ac:dyDescent="0.25">
      <c r="D151" s="25" t="str">
        <f t="shared" si="4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 x14ac:dyDescent="0.25">
      <c r="D152" s="25" t="str">
        <f t="shared" si="4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 x14ac:dyDescent="0.25">
      <c r="D153" s="25" t="str">
        <f t="shared" si="4"/>
        <v>0</v>
      </c>
    </row>
    <row r="154" spans="1:62" hidden="1" x14ac:dyDescent="0.25">
      <c r="D154" s="25" t="str">
        <f t="shared" si="4"/>
        <v>0</v>
      </c>
    </row>
    <row r="155" spans="1:62" hidden="1" x14ac:dyDescent="0.25">
      <c r="D155" s="25" t="str">
        <f t="shared" si="4"/>
        <v>0</v>
      </c>
    </row>
    <row r="156" spans="1:62" hidden="1" x14ac:dyDescent="0.25">
      <c r="D156" s="25" t="str">
        <f t="shared" si="4"/>
        <v>0</v>
      </c>
    </row>
    <row r="157" spans="1:62" hidden="1" x14ac:dyDescent="0.25">
      <c r="D157" s="25" t="str">
        <f t="shared" si="4"/>
        <v>0</v>
      </c>
    </row>
    <row r="158" spans="1:62" hidden="1" x14ac:dyDescent="0.25">
      <c r="D158" s="25" t="str">
        <f t="shared" si="4"/>
        <v>0</v>
      </c>
    </row>
    <row r="159" spans="1:62" hidden="1" x14ac:dyDescent="0.25">
      <c r="D159" s="25" t="str">
        <f t="shared" si="4"/>
        <v>0</v>
      </c>
    </row>
    <row r="160" spans="1:62" hidden="1" x14ac:dyDescent="0.25">
      <c r="D160" s="25" t="str">
        <f t="shared" si="4"/>
        <v>0</v>
      </c>
    </row>
    <row r="161" spans="4:4" hidden="1" x14ac:dyDescent="0.25">
      <c r="D161" s="25" t="str">
        <f t="shared" si="4"/>
        <v>0</v>
      </c>
    </row>
    <row r="162" spans="4:4" hidden="1" x14ac:dyDescent="0.25">
      <c r="D162" s="25" t="str">
        <f t="shared" si="4"/>
        <v>0</v>
      </c>
    </row>
    <row r="163" spans="4:4" hidden="1" x14ac:dyDescent="0.25">
      <c r="D163" s="25" t="str">
        <f t="shared" si="4"/>
        <v>0</v>
      </c>
    </row>
    <row r="164" spans="4:4" hidden="1" x14ac:dyDescent="0.25">
      <c r="D164" s="25" t="str">
        <f t="shared" si="4"/>
        <v>0</v>
      </c>
    </row>
    <row r="165" spans="4:4" hidden="1" x14ac:dyDescent="0.25">
      <c r="D165" s="25" t="str">
        <f t="shared" si="4"/>
        <v>0</v>
      </c>
    </row>
  </sheetData>
  <autoFilter ref="A5:M165">
    <filterColumn colId="3">
      <filters>
        <filter val="1"/>
        <filter val="1calib+cert"/>
        <filter val="1optie ( ligt nog bij de klant ? )"/>
        <filter val="1toestel is nog geldig , wat is advies van geert &amp; valerie in kader van hier een hercalibratie te doen ?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6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105473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105473" r:id="rId7" name="CommandButton1"/>
      </mc:Fallback>
    </mc:AlternateContent>
    <mc:AlternateContent xmlns:mc="http://schemas.openxmlformats.org/markup-compatibility/2006">
      <mc:Choice Requires="x14">
        <control shapeId="105474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105474" r:id="rId9" name="CommandButton2"/>
      </mc:Fallback>
    </mc:AlternateContent>
    <mc:AlternateContent xmlns:mc="http://schemas.openxmlformats.org/markup-compatibility/2006">
      <mc:Choice Requires="x14">
        <control shapeId="105475" r:id="rId11" name="CommandButton3">
          <controlPr autoLine="0" autoPict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5475" r:id="rId11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1" filterMode="1">
    <tabColor rgb="FFFFC000"/>
  </sheetPr>
  <dimension ref="A1:BK167"/>
  <sheetViews>
    <sheetView zoomScale="87" zoomScaleNormal="87" workbookViewId="0">
      <selection activeCell="D1" sqref="D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.140625" style="21" bestFit="1" customWidth="1"/>
    <col min="6" max="6" width="6.140625" style="20" bestFit="1" customWidth="1"/>
    <col min="7" max="7" width="6.85546875" style="32" bestFit="1" customWidth="1"/>
    <col min="8" max="11" width="6" style="32" bestFit="1" customWidth="1"/>
    <col min="12" max="13" width="6" style="22" bestFit="1" customWidth="1"/>
    <col min="21" max="22" width="9.28515625" bestFit="1" customWidth="1"/>
    <col min="32" max="33" width="9.28515625" bestFit="1" customWidth="1"/>
    <col min="38" max="39" width="12" bestFit="1" customWidth="1"/>
    <col min="42" max="43" width="9.28515625" bestFit="1" customWidth="1"/>
  </cols>
  <sheetData>
    <row r="1" spans="1:63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6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100.5" x14ac:dyDescent="0.25">
      <c r="C4" s="40">
        <v>43592</v>
      </c>
      <c r="E4" s="39" t="s">
        <v>504</v>
      </c>
      <c r="F4" s="39" t="s">
        <v>505</v>
      </c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 x14ac:dyDescent="0.25">
      <c r="A5" s="55"/>
      <c r="B5" s="55" t="s">
        <v>325</v>
      </c>
      <c r="C5" s="56" t="str">
        <f ca="1">MID(CELL("filename",A5),FIND("]",CELL("filename",A5))+1,256)</f>
        <v>rgo190015</v>
      </c>
      <c r="D5" s="57" t="s">
        <v>382</v>
      </c>
      <c r="E5" s="37" t="s">
        <v>506</v>
      </c>
      <c r="F5" s="37" t="s">
        <v>507</v>
      </c>
      <c r="G5" s="37">
        <v>1156</v>
      </c>
      <c r="H5" s="37"/>
      <c r="I5" s="37"/>
      <c r="J5" s="37"/>
      <c r="K5" s="38"/>
      <c r="L5" s="35"/>
      <c r="M5" s="38" t="s">
        <v>386</v>
      </c>
    </row>
    <row r="6" spans="1:63" ht="17.25" customHeight="1" x14ac:dyDescent="0.25">
      <c r="A6" s="58" t="s">
        <v>307</v>
      </c>
      <c r="B6" s="58" t="s">
        <v>324</v>
      </c>
      <c r="C6" s="58" t="s">
        <v>323</v>
      </c>
      <c r="D6" s="53" t="str">
        <f>(E6+F6+L6+G6+H6+I6+J6+K6) &amp;M6</f>
        <v>30</v>
      </c>
      <c r="E6" s="53"/>
      <c r="F6" s="53">
        <v>30</v>
      </c>
      <c r="G6" s="53"/>
      <c r="H6" s="53"/>
      <c r="I6" s="53"/>
      <c r="J6" s="53"/>
      <c r="K6" s="53"/>
      <c r="L6" s="43"/>
      <c r="M6" s="43"/>
    </row>
    <row r="7" spans="1:63" ht="17.25" customHeight="1" x14ac:dyDescent="0.25">
      <c r="A7" s="59" t="s">
        <v>534</v>
      </c>
      <c r="B7" s="59" t="s">
        <v>532</v>
      </c>
      <c r="C7" s="59" t="s">
        <v>533</v>
      </c>
      <c r="D7" s="53" t="str">
        <f t="shared" ref="D7" si="0">(E7+F7+L7+G7+H7+I7+J7+K7) &amp;M7</f>
        <v>1calib+cert</v>
      </c>
      <c r="E7" s="53"/>
      <c r="F7" s="53"/>
      <c r="G7" s="53">
        <v>1</v>
      </c>
      <c r="H7" s="53"/>
      <c r="I7" s="53"/>
      <c r="J7" s="53"/>
      <c r="K7" s="53"/>
      <c r="L7" s="43"/>
      <c r="M7" s="43" t="s">
        <v>536</v>
      </c>
    </row>
    <row r="8" spans="1:63" ht="19.5" customHeight="1" x14ac:dyDescent="0.25">
      <c r="A8" s="59" t="s">
        <v>534</v>
      </c>
      <c r="B8" s="59" t="s">
        <v>436</v>
      </c>
      <c r="C8" s="59" t="s">
        <v>535</v>
      </c>
      <c r="D8" s="53" t="str">
        <f>(E8+F8+L8+G8+H8+I8+J8+K8) &amp;M8</f>
        <v>1calib+cert</v>
      </c>
      <c r="E8" s="53"/>
      <c r="F8" s="53">
        <v>1</v>
      </c>
      <c r="G8" s="53"/>
      <c r="H8" s="53"/>
      <c r="I8" s="53"/>
      <c r="J8" s="53"/>
      <c r="K8" s="53"/>
      <c r="L8" s="43"/>
      <c r="M8" s="43" t="s">
        <v>536</v>
      </c>
    </row>
    <row r="9" spans="1:63" ht="18" customHeight="1" x14ac:dyDescent="0.25">
      <c r="A9" s="59" t="s">
        <v>314</v>
      </c>
      <c r="B9" s="59" t="s">
        <v>315</v>
      </c>
      <c r="C9" s="59" t="s">
        <v>365</v>
      </c>
      <c r="D9" s="26" t="str">
        <f t="shared" ref="D9:D72" si="1">(E9+F9+L9+G9+H9+I9+J9+K9) &amp;M9</f>
        <v>1calib forfait</v>
      </c>
      <c r="E9" s="26">
        <v>1</v>
      </c>
      <c r="F9" s="26"/>
      <c r="G9" s="26"/>
      <c r="H9" s="26"/>
      <c r="I9" s="26"/>
      <c r="J9" s="26"/>
      <c r="K9" s="26"/>
      <c r="L9" s="27"/>
      <c r="M9" s="27" t="s">
        <v>537</v>
      </c>
    </row>
    <row r="10" spans="1:63" ht="18" hidden="1" customHeight="1" x14ac:dyDescent="0.25">
      <c r="A10" s="48" t="s">
        <v>169</v>
      </c>
      <c r="B10" s="48" t="s">
        <v>215</v>
      </c>
      <c r="C10" s="48" t="s">
        <v>216</v>
      </c>
      <c r="D10" s="49" t="str">
        <f t="shared" si="1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 x14ac:dyDescent="0.25">
      <c r="A11" s="29" t="s">
        <v>169</v>
      </c>
      <c r="B11" s="29" t="s">
        <v>170</v>
      </c>
      <c r="C11" s="29" t="s">
        <v>171</v>
      </c>
      <c r="D11" s="25" t="str">
        <f t="shared" si="1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 x14ac:dyDescent="0.25">
      <c r="A12" s="41" t="s">
        <v>169</v>
      </c>
      <c r="B12" s="41" t="s">
        <v>172</v>
      </c>
      <c r="C12" s="41" t="s">
        <v>173</v>
      </c>
      <c r="D12" s="42" t="str">
        <f t="shared" si="1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 x14ac:dyDescent="0.25">
      <c r="A13" s="60" t="s">
        <v>52</v>
      </c>
      <c r="B13" s="60" t="s">
        <v>53</v>
      </c>
      <c r="C13" s="60" t="s">
        <v>54</v>
      </c>
      <c r="D13" s="26" t="str">
        <f t="shared" si="1"/>
        <v>1</v>
      </c>
      <c r="E13" s="27">
        <v>1</v>
      </c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 x14ac:dyDescent="0.25">
      <c r="A14" s="48" t="s">
        <v>138</v>
      </c>
      <c r="B14" s="48" t="s">
        <v>160</v>
      </c>
      <c r="C14" s="48" t="s">
        <v>159</v>
      </c>
      <c r="D14" s="49" t="str">
        <f t="shared" si="1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 x14ac:dyDescent="0.25">
      <c r="A15" s="29" t="s">
        <v>138</v>
      </c>
      <c r="B15" s="29" t="s">
        <v>162</v>
      </c>
      <c r="C15" s="29" t="s">
        <v>161</v>
      </c>
      <c r="D15" s="25" t="str">
        <f t="shared" si="1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 x14ac:dyDescent="0.25">
      <c r="A16" s="29" t="s">
        <v>138</v>
      </c>
      <c r="B16" s="29" t="s">
        <v>139</v>
      </c>
      <c r="C16" s="29" t="s">
        <v>140</v>
      </c>
      <c r="D16" s="25" t="str">
        <f t="shared" si="1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 x14ac:dyDescent="0.25">
      <c r="A17" s="29" t="s">
        <v>120</v>
      </c>
      <c r="B17" s="29" t="s">
        <v>123</v>
      </c>
      <c r="C17" s="29" t="s">
        <v>124</v>
      </c>
      <c r="D17" s="25" t="str">
        <f t="shared" si="1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 x14ac:dyDescent="0.25">
      <c r="A18" s="29" t="s">
        <v>120</v>
      </c>
      <c r="B18" s="29" t="s">
        <v>125</v>
      </c>
      <c r="C18" s="29" t="s">
        <v>126</v>
      </c>
      <c r="D18" s="25" t="str">
        <f t="shared" si="1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 x14ac:dyDescent="0.25">
      <c r="A19" s="29" t="s">
        <v>268</v>
      </c>
      <c r="B19" s="29" t="s">
        <v>337</v>
      </c>
      <c r="C19" s="29" t="s">
        <v>338</v>
      </c>
      <c r="D19" s="25" t="str">
        <f t="shared" si="1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 x14ac:dyDescent="0.25">
      <c r="A20" s="29" t="s">
        <v>268</v>
      </c>
      <c r="B20" s="29" t="s">
        <v>269</v>
      </c>
      <c r="C20" s="29" t="s">
        <v>336</v>
      </c>
      <c r="D20" s="25" t="str">
        <f t="shared" si="1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 x14ac:dyDescent="0.25">
      <c r="A21" s="29" t="s">
        <v>117</v>
      </c>
      <c r="B21" s="29" t="s">
        <v>118</v>
      </c>
      <c r="C21" s="29" t="s">
        <v>381</v>
      </c>
      <c r="D21" s="25" t="str">
        <f t="shared" si="1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 x14ac:dyDescent="0.25">
      <c r="A22" s="29" t="s">
        <v>107</v>
      </c>
      <c r="B22" s="29" t="s">
        <v>112</v>
      </c>
      <c r="C22" s="29" t="s">
        <v>312</v>
      </c>
      <c r="D22" s="25" t="str">
        <f t="shared" si="1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 x14ac:dyDescent="0.25">
      <c r="A23" s="29" t="s">
        <v>9</v>
      </c>
      <c r="B23" s="29" t="s">
        <v>166</v>
      </c>
      <c r="C23" s="29" t="s">
        <v>310</v>
      </c>
      <c r="D23" s="25" t="str">
        <f t="shared" si="1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 x14ac:dyDescent="0.25">
      <c r="A24" s="29" t="s">
        <v>9</v>
      </c>
      <c r="B24" s="29" t="s">
        <v>168</v>
      </c>
      <c r="C24" s="29" t="s">
        <v>311</v>
      </c>
      <c r="D24" s="25" t="str">
        <f t="shared" si="1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 x14ac:dyDescent="0.25">
      <c r="A25" s="29" t="s">
        <v>9</v>
      </c>
      <c r="B25" s="29" t="s">
        <v>155</v>
      </c>
      <c r="C25" s="29" t="s">
        <v>156</v>
      </c>
      <c r="D25" s="25" t="str">
        <f t="shared" si="1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 x14ac:dyDescent="0.25">
      <c r="A26" s="29" t="s">
        <v>138</v>
      </c>
      <c r="B26" s="29" t="s">
        <v>149</v>
      </c>
      <c r="C26" s="29" t="s">
        <v>345</v>
      </c>
      <c r="D26" s="25" t="str">
        <f t="shared" si="1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 x14ac:dyDescent="0.25">
      <c r="A27" s="29" t="s">
        <v>352</v>
      </c>
      <c r="B27" s="29" t="s">
        <v>352</v>
      </c>
      <c r="C27" s="29" t="s">
        <v>366</v>
      </c>
      <c r="D27" s="25" t="str">
        <f t="shared" si="1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 x14ac:dyDescent="0.25">
      <c r="A28" s="29" t="s">
        <v>4</v>
      </c>
      <c r="B28" s="29" t="s">
        <v>188</v>
      </c>
      <c r="C28" s="29" t="s">
        <v>189</v>
      </c>
      <c r="D28" s="25" t="str">
        <f t="shared" si="1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 x14ac:dyDescent="0.25">
      <c r="A29" s="41" t="s">
        <v>129</v>
      </c>
      <c r="B29" s="41" t="s">
        <v>130</v>
      </c>
      <c r="C29" s="41" t="s">
        <v>131</v>
      </c>
      <c r="D29" s="42" t="str">
        <f t="shared" si="1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 x14ac:dyDescent="0.25">
      <c r="A30" s="60" t="s">
        <v>138</v>
      </c>
      <c r="B30" s="60" t="s">
        <v>143</v>
      </c>
      <c r="C30" s="60" t="s">
        <v>144</v>
      </c>
      <c r="D30" s="26" t="str">
        <f t="shared" si="1"/>
        <v>2</v>
      </c>
      <c r="E30" s="27">
        <v>2</v>
      </c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 x14ac:dyDescent="0.25">
      <c r="A31" s="48" t="s">
        <v>4</v>
      </c>
      <c r="B31" s="48" t="s">
        <v>85</v>
      </c>
      <c r="C31" s="48" t="s">
        <v>86</v>
      </c>
      <c r="D31" s="49" t="str">
        <f t="shared" si="1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customHeight="1" x14ac:dyDescent="0.25">
      <c r="A32" s="29" t="s">
        <v>9</v>
      </c>
      <c r="B32" s="29" t="s">
        <v>25</v>
      </c>
      <c r="C32" s="29" t="s">
        <v>313</v>
      </c>
      <c r="D32" s="25" t="str">
        <f t="shared" si="1"/>
        <v>1aanraag v klant</v>
      </c>
      <c r="E32" s="27">
        <v>1</v>
      </c>
      <c r="F32" s="27"/>
      <c r="G32" s="27"/>
      <c r="H32" s="27"/>
      <c r="I32" s="27"/>
      <c r="J32" s="27"/>
      <c r="K32" s="27"/>
      <c r="L32" s="27"/>
      <c r="M32" s="27" t="s">
        <v>539</v>
      </c>
    </row>
    <row r="33" spans="1:13" ht="18" hidden="1" customHeight="1" x14ac:dyDescent="0.25">
      <c r="A33" s="30" t="s">
        <v>52</v>
      </c>
      <c r="B33" s="30" t="s">
        <v>213</v>
      </c>
      <c r="C33" s="30" t="s">
        <v>214</v>
      </c>
      <c r="D33" s="25" t="str">
        <f t="shared" si="1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25" t="str">
        <f t="shared" si="1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25" t="str">
        <f t="shared" si="1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25" t="str">
        <f t="shared" si="1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25" t="str">
        <f t="shared" si="1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25" t="str">
        <f t="shared" si="1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69</v>
      </c>
      <c r="C70" s="30" t="s">
        <v>70</v>
      </c>
      <c r="D70" s="25" t="str">
        <f t="shared" si="1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25" t="str">
        <f t="shared" si="1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66</v>
      </c>
      <c r="B73" s="30" t="s">
        <v>71</v>
      </c>
      <c r="C73" s="30" t="s">
        <v>72</v>
      </c>
      <c r="D73" s="25" t="str">
        <f t="shared" ref="D73:D136" si="2">(E73+F73+L73+G73+H73+I73+J73+K73) &amp;M73</f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 x14ac:dyDescent="0.25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 x14ac:dyDescent="0.25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25" t="str">
        <f t="shared" si="2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25" t="str">
        <f t="shared" si="2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25" t="str">
        <f t="shared" si="2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25" t="str">
        <f t="shared" si="2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25" t="str">
        <f t="shared" si="2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25" t="str">
        <f t="shared" si="2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25" t="str">
        <f t="shared" si="2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25" t="str">
        <f t="shared" si="2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25" t="str">
        <f t="shared" si="2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44" t="s">
        <v>27</v>
      </c>
      <c r="B111" s="44" t="s">
        <v>105</v>
      </c>
      <c r="C111" s="44" t="s">
        <v>106</v>
      </c>
      <c r="D111" s="42" t="str">
        <f t="shared" si="2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 x14ac:dyDescent="0.25">
      <c r="A112" s="60" t="s">
        <v>27</v>
      </c>
      <c r="B112" s="60" t="s">
        <v>28</v>
      </c>
      <c r="C112" s="60" t="s">
        <v>387</v>
      </c>
      <c r="D112" s="26" t="str">
        <f t="shared" si="2"/>
        <v>0kabel ligt nog bij klant</v>
      </c>
      <c r="E112" s="27">
        <v>0</v>
      </c>
      <c r="F112" s="27"/>
      <c r="G112" s="27"/>
      <c r="H112" s="27"/>
      <c r="I112" s="27"/>
      <c r="J112" s="27"/>
      <c r="K112" s="27"/>
      <c r="L112" s="27"/>
      <c r="M112" s="27" t="s">
        <v>538</v>
      </c>
    </row>
    <row r="113" spans="1:13" hidden="1" x14ac:dyDescent="0.25">
      <c r="A113" s="54" t="s">
        <v>107</v>
      </c>
      <c r="B113" s="54" t="s">
        <v>108</v>
      </c>
      <c r="C113" s="54" t="s">
        <v>109</v>
      </c>
      <c r="D113" s="49" t="str">
        <f t="shared" si="2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 x14ac:dyDescent="0.25">
      <c r="A114" s="30" t="s">
        <v>107</v>
      </c>
      <c r="B114" s="30" t="s">
        <v>110</v>
      </c>
      <c r="C114" s="30" t="s">
        <v>111</v>
      </c>
      <c r="D114" s="25" t="str">
        <f t="shared" si="2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250</v>
      </c>
      <c r="C115" s="30" t="s">
        <v>251</v>
      </c>
      <c r="D115" s="25" t="str">
        <f t="shared" si="2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252</v>
      </c>
      <c r="C116" s="30" t="s">
        <v>253</v>
      </c>
      <c r="D116" s="25" t="str">
        <f t="shared" si="2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107</v>
      </c>
      <c r="B117" s="30" t="s">
        <v>254</v>
      </c>
      <c r="C117" s="30" t="s">
        <v>255</v>
      </c>
      <c r="D117" s="25" t="str">
        <f t="shared" si="2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107</v>
      </c>
      <c r="B118" s="30" t="s">
        <v>256</v>
      </c>
      <c r="C118" s="30" t="s">
        <v>257</v>
      </c>
      <c r="D118" s="25" t="str">
        <f t="shared" si="2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33</v>
      </c>
      <c r="B119" s="30" t="s">
        <v>34</v>
      </c>
      <c r="C119" s="30" t="s">
        <v>35</v>
      </c>
      <c r="D119" s="25" t="str">
        <f t="shared" si="2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258</v>
      </c>
      <c r="B120" s="30" t="s">
        <v>259</v>
      </c>
      <c r="C120" s="30" t="s">
        <v>260</v>
      </c>
      <c r="D120" s="25" t="str">
        <f t="shared" si="2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258</v>
      </c>
      <c r="B121" s="30" t="s">
        <v>261</v>
      </c>
      <c r="C121" s="30" t="s">
        <v>262</v>
      </c>
      <c r="D121" s="25" t="str">
        <f t="shared" si="2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41</v>
      </c>
      <c r="B122" s="30" t="s">
        <v>42</v>
      </c>
      <c r="C122" s="30" t="s">
        <v>43</v>
      </c>
      <c r="D122" s="25" t="str">
        <f t="shared" si="2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263</v>
      </c>
      <c r="B123" s="30" t="s">
        <v>264</v>
      </c>
      <c r="C123" s="30" t="s">
        <v>265</v>
      </c>
      <c r="D123" s="25" t="str">
        <f t="shared" si="2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263</v>
      </c>
      <c r="B124" s="30" t="s">
        <v>266</v>
      </c>
      <c r="C124" s="30" t="s">
        <v>267</v>
      </c>
      <c r="D124" s="25" t="str">
        <f t="shared" si="2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114</v>
      </c>
      <c r="B125" s="30" t="s">
        <v>115</v>
      </c>
      <c r="C125" s="30" t="s">
        <v>116</v>
      </c>
      <c r="D125" s="25" t="str">
        <f t="shared" si="2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44</v>
      </c>
      <c r="B126" s="30" t="s">
        <v>45</v>
      </c>
      <c r="C126" s="30" t="s">
        <v>46</v>
      </c>
      <c r="D126" s="25" t="str">
        <f t="shared" si="2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271</v>
      </c>
      <c r="C127" s="30" t="s">
        <v>272</v>
      </c>
      <c r="D127" s="25" t="str">
        <f t="shared" si="2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273</v>
      </c>
      <c r="C128" s="30" t="s">
        <v>274</v>
      </c>
      <c r="D128" s="25" t="str">
        <f t="shared" si="2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 x14ac:dyDescent="0.25">
      <c r="A129" s="30" t="s">
        <v>120</v>
      </c>
      <c r="B129" s="30" t="s">
        <v>121</v>
      </c>
      <c r="C129" s="30" t="s">
        <v>122</v>
      </c>
      <c r="D129" s="25" t="str">
        <f t="shared" si="2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 x14ac:dyDescent="0.25">
      <c r="A130" s="30" t="s">
        <v>120</v>
      </c>
      <c r="B130" s="30" t="s">
        <v>275</v>
      </c>
      <c r="C130" s="30" t="s">
        <v>276</v>
      </c>
      <c r="D130" s="25" t="str">
        <f t="shared" si="2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 x14ac:dyDescent="0.25">
      <c r="A131" s="30" t="s">
        <v>120</v>
      </c>
      <c r="B131" s="30" t="s">
        <v>198</v>
      </c>
      <c r="C131" s="30" t="s">
        <v>199</v>
      </c>
      <c r="D131" s="25" t="str">
        <f t="shared" si="2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 x14ac:dyDescent="0.25">
      <c r="A132" s="30" t="s">
        <v>120</v>
      </c>
      <c r="B132" s="30" t="s">
        <v>277</v>
      </c>
      <c r="C132" s="30" t="s">
        <v>278</v>
      </c>
      <c r="D132" s="25" t="str">
        <f t="shared" si="2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 x14ac:dyDescent="0.25">
      <c r="A133" s="30" t="s">
        <v>279</v>
      </c>
      <c r="B133" s="30" t="s">
        <v>280</v>
      </c>
      <c r="C133" s="30" t="s">
        <v>281</v>
      </c>
      <c r="D133" s="25" t="str">
        <f t="shared" si="2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 x14ac:dyDescent="0.25">
      <c r="A134" s="30" t="s">
        <v>282</v>
      </c>
      <c r="B134" s="30" t="s">
        <v>283</v>
      </c>
      <c r="C134" s="30" t="s">
        <v>284</v>
      </c>
      <c r="D134" s="25" t="str">
        <f t="shared" si="2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 x14ac:dyDescent="0.25">
      <c r="A135" s="30" t="s">
        <v>285</v>
      </c>
      <c r="B135" s="30" t="s">
        <v>286</v>
      </c>
      <c r="C135" s="30" t="s">
        <v>287</v>
      </c>
      <c r="D135" s="25" t="str">
        <f t="shared" si="2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 x14ac:dyDescent="0.25">
      <c r="A136" s="30" t="s">
        <v>14</v>
      </c>
      <c r="B136" s="30" t="s">
        <v>15</v>
      </c>
      <c r="C136" s="30" t="s">
        <v>16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 x14ac:dyDescent="0.25">
      <c r="A137" s="30" t="s">
        <v>14</v>
      </c>
      <c r="B137" s="30" t="s">
        <v>17</v>
      </c>
      <c r="C137" s="30" t="s">
        <v>18</v>
      </c>
      <c r="D137" s="25" t="str">
        <f t="shared" ref="D137:D167" si="3">(E137+F137+L137+G137+H137+I137+J137+K137) &amp;M137</f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 x14ac:dyDescent="0.25">
      <c r="A138" s="30" t="s">
        <v>14</v>
      </c>
      <c r="B138" s="30" t="s">
        <v>201</v>
      </c>
      <c r="C138" s="30" t="s">
        <v>202</v>
      </c>
      <c r="D138" s="25" t="str">
        <f t="shared" si="3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 x14ac:dyDescent="0.25">
      <c r="A139" s="30" t="s">
        <v>14</v>
      </c>
      <c r="B139" s="30" t="s">
        <v>203</v>
      </c>
      <c r="C139" s="30" t="s">
        <v>204</v>
      </c>
      <c r="D139" s="25" t="str">
        <f t="shared" si="3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 x14ac:dyDescent="0.25">
      <c r="A140" s="30" t="s">
        <v>36</v>
      </c>
      <c r="B140" s="30" t="s">
        <v>37</v>
      </c>
      <c r="C140" s="30" t="s">
        <v>38</v>
      </c>
      <c r="D140" s="25" t="str">
        <f t="shared" si="3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 x14ac:dyDescent="0.25">
      <c r="A141" s="30" t="s">
        <v>383</v>
      </c>
      <c r="B141" s="30" t="s">
        <v>384</v>
      </c>
      <c r="C141" s="30" t="s">
        <v>385</v>
      </c>
      <c r="D141" s="25" t="str">
        <f t="shared" si="3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 x14ac:dyDescent="0.25">
      <c r="A142" t="s">
        <v>30</v>
      </c>
      <c r="B142" t="s">
        <v>39</v>
      </c>
      <c r="C142" t="s">
        <v>40</v>
      </c>
      <c r="D142" s="25" t="str">
        <f t="shared" si="3"/>
        <v>0</v>
      </c>
      <c r="AF142" s="3"/>
      <c r="AN142" s="3"/>
      <c r="AO142" s="3"/>
    </row>
    <row r="143" spans="1:63" hidden="1" x14ac:dyDescent="0.25">
      <c r="A143" t="s">
        <v>41</v>
      </c>
      <c r="B143" t="s">
        <v>42</v>
      </c>
      <c r="C143" t="s">
        <v>43</v>
      </c>
      <c r="D143" s="25" t="str">
        <f t="shared" si="3"/>
        <v>0</v>
      </c>
    </row>
    <row r="144" spans="1:63" hidden="1" x14ac:dyDescent="0.25">
      <c r="A144" t="s">
        <v>52</v>
      </c>
      <c r="B144" t="s">
        <v>509</v>
      </c>
      <c r="C144" t="s">
        <v>508</v>
      </c>
      <c r="D144" s="42" t="str">
        <f t="shared" si="3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 x14ac:dyDescent="0.25">
      <c r="A145" s="60" t="s">
        <v>52</v>
      </c>
      <c r="B145" s="60" t="s">
        <v>517</v>
      </c>
      <c r="C145" s="60" t="s">
        <v>516</v>
      </c>
      <c r="D145" s="26" t="str">
        <f t="shared" si="3"/>
        <v>2</v>
      </c>
      <c r="E145" s="26"/>
      <c r="F145" s="26"/>
      <c r="G145" s="26">
        <v>2</v>
      </c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 x14ac:dyDescent="0.25">
      <c r="A146" s="60" t="s">
        <v>27</v>
      </c>
      <c r="B146" s="60" t="s">
        <v>527</v>
      </c>
      <c r="C146" s="60" t="s">
        <v>526</v>
      </c>
      <c r="D146" s="26" t="str">
        <f t="shared" si="3"/>
        <v>1</v>
      </c>
      <c r="E146" s="26"/>
      <c r="F146" s="26">
        <v>1</v>
      </c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 x14ac:dyDescent="0.25">
      <c r="D147" s="49" t="str">
        <f t="shared" si="3"/>
        <v>0</v>
      </c>
    </row>
    <row r="148" spans="1:62" hidden="1" x14ac:dyDescent="0.25">
      <c r="D148" s="25" t="str">
        <f t="shared" si="3"/>
        <v>0</v>
      </c>
    </row>
    <row r="149" spans="1:62" hidden="1" x14ac:dyDescent="0.25">
      <c r="D149" s="25" t="str">
        <f t="shared" si="3"/>
        <v>0</v>
      </c>
    </row>
    <row r="150" spans="1:62" hidden="1" x14ac:dyDescent="0.25">
      <c r="D150" s="25" t="str">
        <f t="shared" si="3"/>
        <v>0</v>
      </c>
    </row>
    <row r="151" spans="1:62" hidden="1" x14ac:dyDescent="0.25">
      <c r="D151" s="25" t="str">
        <f t="shared" si="3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 x14ac:dyDescent="0.25">
      <c r="D152" s="25" t="str">
        <f t="shared" si="3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 x14ac:dyDescent="0.25">
      <c r="D153" s="25" t="str">
        <f t="shared" si="3"/>
        <v>0</v>
      </c>
    </row>
    <row r="154" spans="1:62" hidden="1" x14ac:dyDescent="0.25">
      <c r="D154" s="25" t="str">
        <f t="shared" si="3"/>
        <v>0</v>
      </c>
    </row>
    <row r="155" spans="1:62" hidden="1" x14ac:dyDescent="0.25">
      <c r="D155" s="25" t="str">
        <f t="shared" si="3"/>
        <v>0</v>
      </c>
    </row>
    <row r="156" spans="1:62" hidden="1" x14ac:dyDescent="0.25">
      <c r="D156" s="25" t="str">
        <f t="shared" si="3"/>
        <v>0</v>
      </c>
    </row>
    <row r="157" spans="1:62" hidden="1" x14ac:dyDescent="0.25">
      <c r="D157" s="25" t="str">
        <f t="shared" si="3"/>
        <v>0</v>
      </c>
    </row>
    <row r="158" spans="1:62" hidden="1" x14ac:dyDescent="0.25">
      <c r="D158" s="25" t="str">
        <f t="shared" si="3"/>
        <v>0</v>
      </c>
    </row>
    <row r="159" spans="1:62" hidden="1" x14ac:dyDescent="0.25">
      <c r="D159" s="25" t="str">
        <f t="shared" si="3"/>
        <v>0</v>
      </c>
    </row>
    <row r="160" spans="1:62" hidden="1" x14ac:dyDescent="0.25">
      <c r="D160" s="25" t="str">
        <f t="shared" si="3"/>
        <v>0</v>
      </c>
    </row>
    <row r="161" spans="2:13" hidden="1" x14ac:dyDescent="0.25">
      <c r="D161" s="25" t="str">
        <f t="shared" si="3"/>
        <v>0</v>
      </c>
    </row>
    <row r="162" spans="2:13" hidden="1" x14ac:dyDescent="0.25">
      <c r="D162" s="25" t="str">
        <f t="shared" si="3"/>
        <v>0</v>
      </c>
    </row>
    <row r="163" spans="2:13" hidden="1" x14ac:dyDescent="0.25">
      <c r="D163" s="25" t="str">
        <f t="shared" si="3"/>
        <v>0</v>
      </c>
    </row>
    <row r="164" spans="2:13" hidden="1" x14ac:dyDescent="0.25">
      <c r="D164" s="25" t="str">
        <f t="shared" si="3"/>
        <v>0</v>
      </c>
    </row>
    <row r="165" spans="2:13" hidden="1" x14ac:dyDescent="0.25">
      <c r="D165" s="25" t="str">
        <f t="shared" si="3"/>
        <v>0</v>
      </c>
    </row>
    <row r="166" spans="2:13" x14ac:dyDescent="0.25">
      <c r="B166" s="7" t="s">
        <v>541</v>
      </c>
      <c r="C166" s="7" t="s">
        <v>542</v>
      </c>
      <c r="D166" s="26" t="str">
        <f t="shared" si="3"/>
        <v>1laser635nm</v>
      </c>
      <c r="G166" s="32">
        <v>1</v>
      </c>
      <c r="M166" s="22" t="s">
        <v>540</v>
      </c>
    </row>
    <row r="167" spans="2:13" x14ac:dyDescent="0.25">
      <c r="D167" s="26" t="str">
        <f t="shared" si="3"/>
        <v>1statief ?</v>
      </c>
      <c r="G167" s="32">
        <v>1</v>
      </c>
      <c r="M167" s="22" t="s">
        <v>543</v>
      </c>
    </row>
  </sheetData>
  <autoFilter ref="A5:M165">
    <filterColumn colId="3">
      <filters>
        <filter val="0kabel ligt nog bij klant"/>
        <filter val="1"/>
        <filter val="1aanraag v klant"/>
        <filter val="1calib forfait"/>
        <filter val="1calib+cert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5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88065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88065" r:id="rId7" name="CommandButton1"/>
      </mc:Fallback>
    </mc:AlternateContent>
    <mc:AlternateContent xmlns:mc="http://schemas.openxmlformats.org/markup-compatibility/2006">
      <mc:Choice Requires="x14">
        <control shapeId="88066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88066" r:id="rId9" name="CommandButton2"/>
      </mc:Fallback>
    </mc:AlternateContent>
    <mc:AlternateContent xmlns:mc="http://schemas.openxmlformats.org/markup-compatibility/2006">
      <mc:Choice Requires="x14">
        <control shapeId="88067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7</xdr:col>
                <xdr:colOff>342900</xdr:colOff>
                <xdr:row>2</xdr:row>
                <xdr:rowOff>19050</xdr:rowOff>
              </to>
            </anchor>
          </controlPr>
        </control>
      </mc:Choice>
      <mc:Fallback>
        <control shapeId="88067" r:id="rId11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0">
    <tabColor rgb="FFFFC000"/>
    <pageSetUpPr fitToPage="1"/>
  </sheetPr>
  <dimension ref="A1:BJ165"/>
  <sheetViews>
    <sheetView zoomScale="95" zoomScaleNormal="95" workbookViewId="0">
      <selection activeCell="B19" sqref="B19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190.5" x14ac:dyDescent="0.25">
      <c r="C4" s="36" t="s">
        <v>435</v>
      </c>
      <c r="E4" s="39" t="s">
        <v>428</v>
      </c>
      <c r="F4" s="39" t="s">
        <v>428</v>
      </c>
      <c r="G4" s="39" t="s">
        <v>433</v>
      </c>
      <c r="H4" s="39" t="s">
        <v>434</v>
      </c>
      <c r="I4" s="39"/>
      <c r="J4" s="39"/>
      <c r="K4" s="39"/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batch47</v>
      </c>
      <c r="D5" s="34" t="s">
        <v>382</v>
      </c>
      <c r="E5" s="37" t="s">
        <v>429</v>
      </c>
      <c r="F5" s="37" t="s">
        <v>430</v>
      </c>
      <c r="G5" s="37" t="s">
        <v>431</v>
      </c>
      <c r="H5" s="37" t="s">
        <v>432</v>
      </c>
      <c r="I5" s="37"/>
      <c r="J5" s="37"/>
      <c r="K5" s="38"/>
      <c r="L5" s="35"/>
      <c r="M5" s="38" t="s">
        <v>386</v>
      </c>
    </row>
    <row r="6" spans="1:14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customHeight="1" x14ac:dyDescent="0.25">
      <c r="A20" s="41" t="s">
        <v>107</v>
      </c>
      <c r="B20" s="41" t="s">
        <v>112</v>
      </c>
      <c r="C20" s="41" t="s">
        <v>312</v>
      </c>
      <c r="D20" s="42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customHeight="1" x14ac:dyDescent="0.25">
      <c r="A22" s="45" t="s">
        <v>9</v>
      </c>
      <c r="B22" s="45" t="s">
        <v>168</v>
      </c>
      <c r="C22" s="45" t="s">
        <v>311</v>
      </c>
      <c r="D22" s="46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2</v>
      </c>
      <c r="E23" s="27">
        <v>1</v>
      </c>
      <c r="F23" s="27">
        <v>1</v>
      </c>
      <c r="G23" s="27"/>
      <c r="H23" s="27"/>
      <c r="I23" s="27"/>
      <c r="J23" s="27"/>
      <c r="K23" s="27"/>
      <c r="L23" s="27"/>
      <c r="M23" s="27"/>
    </row>
    <row r="24" spans="1:13" ht="18" customHeight="1" x14ac:dyDescent="0.25">
      <c r="A24" s="48" t="s">
        <v>138</v>
      </c>
      <c r="B24" s="48" t="s">
        <v>149</v>
      </c>
      <c r="C24" s="48" t="s">
        <v>345</v>
      </c>
      <c r="D24" s="49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customHeight="1" x14ac:dyDescent="0.25">
      <c r="A26" s="41" t="s">
        <v>4</v>
      </c>
      <c r="B26" s="41" t="s">
        <v>188</v>
      </c>
      <c r="C26" s="41" t="s">
        <v>189</v>
      </c>
      <c r="D26" s="42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3</v>
      </c>
      <c r="E27" s="27">
        <v>2</v>
      </c>
      <c r="F27" s="27">
        <v>1</v>
      </c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51" t="s">
        <v>138</v>
      </c>
      <c r="B28" s="51" t="s">
        <v>143</v>
      </c>
      <c r="C28" s="51" t="s">
        <v>144</v>
      </c>
      <c r="D28" s="25" t="str">
        <f t="shared" si="0"/>
        <v>3</v>
      </c>
      <c r="E28" s="27">
        <v>1</v>
      </c>
      <c r="F28" s="27">
        <v>1</v>
      </c>
      <c r="G28" s="27">
        <v>1</v>
      </c>
      <c r="H28" s="27"/>
      <c r="I28" s="27"/>
      <c r="J28" s="27"/>
      <c r="K28" s="27"/>
      <c r="L28" s="27"/>
      <c r="M28" s="27"/>
    </row>
    <row r="29" spans="1:13" ht="18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6</v>
      </c>
      <c r="E29" s="27">
        <v>3</v>
      </c>
      <c r="F29" s="27">
        <v>3</v>
      </c>
      <c r="G29" s="27"/>
      <c r="H29" s="27"/>
      <c r="I29" s="27"/>
      <c r="J29" s="27"/>
      <c r="K29" s="27"/>
      <c r="L29" s="27"/>
      <c r="M29" s="27"/>
    </row>
    <row r="30" spans="1:13" ht="18" customHeight="1" x14ac:dyDescent="0.25">
      <c r="A30" s="48" t="s">
        <v>9</v>
      </c>
      <c r="B30" s="48" t="s">
        <v>25</v>
      </c>
      <c r="C30" s="48" t="s">
        <v>313</v>
      </c>
      <c r="D30" s="49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x14ac:dyDescent="0.25">
      <c r="A138" s="44" t="s">
        <v>36</v>
      </c>
      <c r="B138" s="44" t="s">
        <v>37</v>
      </c>
      <c r="C138" s="44" t="s">
        <v>38</v>
      </c>
      <c r="D138" s="42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1</v>
      </c>
      <c r="E139" s="27"/>
      <c r="F139" s="27"/>
      <c r="G139" s="27"/>
      <c r="H139" s="27">
        <v>1</v>
      </c>
      <c r="I139" s="27"/>
      <c r="J139" s="27"/>
      <c r="K139" s="27"/>
      <c r="L139" s="27"/>
      <c r="M139" s="27"/>
      <c r="AF139" s="3"/>
      <c r="AN139" s="3"/>
      <c r="AO139" s="3"/>
    </row>
    <row r="140" spans="1:41" x14ac:dyDescent="0.25">
      <c r="A140" t="s">
        <v>30</v>
      </c>
      <c r="B140" t="s">
        <v>39</v>
      </c>
      <c r="C140" t="s">
        <v>40</v>
      </c>
      <c r="D140" s="49" t="str">
        <f t="shared" si="2"/>
        <v>0</v>
      </c>
      <c r="AF140" s="3"/>
      <c r="AN140" s="3"/>
      <c r="AO140" s="3"/>
    </row>
    <row r="141" spans="1:41" x14ac:dyDescent="0.25">
      <c r="A141" t="s">
        <v>41</v>
      </c>
      <c r="B141" t="s">
        <v>42</v>
      </c>
      <c r="C141" t="s">
        <v>43</v>
      </c>
      <c r="D141" s="42" t="str">
        <f t="shared" si="2"/>
        <v>0</v>
      </c>
    </row>
    <row r="142" spans="1:4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1</v>
      </c>
      <c r="E142" s="26"/>
      <c r="F142" s="26">
        <v>1</v>
      </c>
      <c r="G142" s="26"/>
      <c r="H142" s="26"/>
      <c r="I142" s="26"/>
      <c r="J142" s="26"/>
      <c r="K142" s="26"/>
      <c r="L142" s="27"/>
      <c r="M142" s="27"/>
    </row>
    <row r="143" spans="1:4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1</v>
      </c>
      <c r="E143" s="26"/>
      <c r="F143" s="26"/>
      <c r="G143" s="26">
        <v>1</v>
      </c>
      <c r="H143" s="26"/>
      <c r="I143" s="26"/>
      <c r="J143" s="26"/>
      <c r="K143" s="26"/>
      <c r="L143" s="27"/>
      <c r="M143" s="27"/>
    </row>
    <row r="144" spans="1:41" x14ac:dyDescent="0.25">
      <c r="A144"/>
      <c r="B144"/>
      <c r="C144"/>
      <c r="D144" s="49" t="str">
        <f t="shared" si="2"/>
        <v>0</v>
      </c>
    </row>
    <row r="145" spans="4:62" x14ac:dyDescent="0.25">
      <c r="D145" s="25" t="str">
        <f t="shared" si="2"/>
        <v>0</v>
      </c>
    </row>
    <row r="146" spans="4:62" x14ac:dyDescent="0.25">
      <c r="D146" s="25" t="str">
        <f t="shared" si="2"/>
        <v>0</v>
      </c>
    </row>
    <row r="147" spans="4:62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x14ac:dyDescent="0.25">
      <c r="D153" s="25" t="str">
        <f t="shared" si="2"/>
        <v>0</v>
      </c>
    </row>
    <row r="154" spans="4:62" x14ac:dyDescent="0.25">
      <c r="D154" s="25" t="str">
        <f t="shared" si="2"/>
        <v>0</v>
      </c>
    </row>
    <row r="155" spans="4:62" x14ac:dyDescent="0.25">
      <c r="D155" s="25" t="str">
        <f t="shared" si="2"/>
        <v>0</v>
      </c>
    </row>
    <row r="156" spans="4:62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x14ac:dyDescent="0.25">
      <c r="D158" s="25" t="str">
        <f t="shared" si="2"/>
        <v>0</v>
      </c>
    </row>
    <row r="159" spans="4:62" x14ac:dyDescent="0.25">
      <c r="D159" s="25" t="str">
        <f t="shared" si="2"/>
        <v>0</v>
      </c>
    </row>
    <row r="160" spans="4:62" x14ac:dyDescent="0.25">
      <c r="D160" s="25" t="str">
        <f t="shared" si="2"/>
        <v>0</v>
      </c>
    </row>
    <row r="161" spans="1:13" x14ac:dyDescent="0.25">
      <c r="D161" s="25" t="str">
        <f t="shared" si="2"/>
        <v>0</v>
      </c>
    </row>
    <row r="162" spans="1:13" x14ac:dyDescent="0.25">
      <c r="D162" s="25" t="str">
        <f t="shared" si="2"/>
        <v>0</v>
      </c>
    </row>
    <row r="163" spans="1:13" x14ac:dyDescent="0.25">
      <c r="D163" s="25" t="str">
        <f t="shared" si="2"/>
        <v>0</v>
      </c>
    </row>
    <row r="164" spans="1:13" x14ac:dyDescent="0.25">
      <c r="D164" s="42" t="str">
        <f t="shared" si="2"/>
        <v>0</v>
      </c>
    </row>
    <row r="165" spans="1:13" x14ac:dyDescent="0.25">
      <c r="A165" s="52"/>
      <c r="B165" s="52"/>
      <c r="C165" s="52"/>
      <c r="D165" s="25"/>
      <c r="E165" s="26" t="s">
        <v>500</v>
      </c>
      <c r="F165" s="26" t="s">
        <v>501</v>
      </c>
      <c r="G165" s="26" t="s">
        <v>502</v>
      </c>
      <c r="H165" s="26" t="s">
        <v>503</v>
      </c>
      <c r="I165" s="26"/>
      <c r="J165" s="26"/>
      <c r="K165" s="26"/>
      <c r="L165" s="27"/>
      <c r="M165" s="27"/>
    </row>
  </sheetData>
  <autoFilter ref="A5:M164"/>
  <hyperlinks>
    <hyperlink ref="A1" r:id="rId1"/>
    <hyperlink ref="N1" r:id="rId2"/>
    <hyperlink ref="D1" r:id="rId3"/>
  </hyperlinks>
  <pageMargins left="0.25" right="0.25" top="0.75" bottom="0.75" header="0.3" footer="0.3"/>
  <pageSetup paperSize="8" scale="64" orientation="landscape" r:id="rId4"/>
  <drawing r:id="rId5"/>
  <legacyDrawing r:id="rId6"/>
  <controls>
    <mc:AlternateContent xmlns:mc="http://schemas.openxmlformats.org/markup-compatibility/2006">
      <mc:Choice Requires="x14">
        <control shapeId="73731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73731" r:id="rId7" name="CommandButton3"/>
      </mc:Fallback>
    </mc:AlternateContent>
    <mc:AlternateContent xmlns:mc="http://schemas.openxmlformats.org/markup-compatibility/2006">
      <mc:Choice Requires="x14">
        <control shapeId="73730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73730" r:id="rId9" name="CommandButton2"/>
      </mc:Fallback>
    </mc:AlternateContent>
    <mc:AlternateContent xmlns:mc="http://schemas.openxmlformats.org/markup-compatibility/2006">
      <mc:Choice Requires="x14">
        <control shapeId="73729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73729" r:id="rId11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8" filterMode="1">
    <tabColor rgb="FFFFC000"/>
    <pageSetUpPr fitToPage="1"/>
  </sheetPr>
  <dimension ref="A1:AO165"/>
  <sheetViews>
    <sheetView zoomScaleNormal="100" workbookViewId="0">
      <selection activeCell="N1" sqref="N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93.75" x14ac:dyDescent="0.25">
      <c r="E4" s="39" t="s">
        <v>422</v>
      </c>
      <c r="F4" s="39" t="s">
        <v>423</v>
      </c>
      <c r="G4" s="39" t="s">
        <v>424</v>
      </c>
      <c r="H4" s="39" t="s">
        <v>426</v>
      </c>
      <c r="I4" s="39" t="s">
        <v>425</v>
      </c>
      <c r="J4" s="39" t="s">
        <v>427</v>
      </c>
      <c r="K4" s="39" t="s">
        <v>424</v>
      </c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batch46</v>
      </c>
      <c r="D5" s="34" t="s">
        <v>382</v>
      </c>
      <c r="E5" s="37">
        <v>70097.005000000005</v>
      </c>
      <c r="F5" s="37">
        <v>80082.017000000007</v>
      </c>
      <c r="G5" s="37">
        <v>70087.010999999999</v>
      </c>
      <c r="H5" s="37">
        <v>70087.005000000005</v>
      </c>
      <c r="I5" s="37">
        <v>80056.019</v>
      </c>
      <c r="J5" s="37">
        <v>80082.002999999997</v>
      </c>
      <c r="K5" s="38">
        <v>80049.004000000001</v>
      </c>
      <c r="L5" s="35" t="s">
        <v>421</v>
      </c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2</v>
      </c>
      <c r="E7" s="26">
        <v>1</v>
      </c>
      <c r="F7" s="26"/>
      <c r="G7" s="26"/>
      <c r="H7" s="26"/>
      <c r="I7" s="26">
        <v>1</v>
      </c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1</v>
      </c>
      <c r="E13" s="27"/>
      <c r="F13" s="27">
        <v>1</v>
      </c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2</v>
      </c>
      <c r="E17" s="27"/>
      <c r="F17" s="27">
        <v>1</v>
      </c>
      <c r="G17" s="27"/>
      <c r="H17" s="27"/>
      <c r="I17" s="27"/>
      <c r="J17" s="27"/>
      <c r="K17" s="27">
        <v>1</v>
      </c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8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1</v>
      </c>
      <c r="E23" s="27"/>
      <c r="F23" s="27"/>
      <c r="G23" s="27"/>
      <c r="H23" s="27"/>
      <c r="I23" s="27">
        <v>1</v>
      </c>
      <c r="J23" s="27"/>
      <c r="K23" s="27"/>
      <c r="L23" s="27"/>
      <c r="M23" s="27"/>
    </row>
    <row r="24" spans="1:13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8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3</v>
      </c>
      <c r="E27" s="27">
        <v>1</v>
      </c>
      <c r="F27" s="27">
        <v>1</v>
      </c>
      <c r="G27" s="27">
        <v>1</v>
      </c>
      <c r="H27" s="27"/>
      <c r="I27" s="27"/>
      <c r="J27" s="27"/>
      <c r="K27" s="27"/>
      <c r="L27" s="27"/>
      <c r="M27" s="27"/>
    </row>
    <row r="28" spans="1:13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/>
      <c r="F28" s="27"/>
      <c r="G28" s="27">
        <v>1</v>
      </c>
      <c r="H28" s="27"/>
      <c r="I28" s="27">
        <v>1</v>
      </c>
      <c r="J28" s="27">
        <v>1</v>
      </c>
      <c r="K28" s="27">
        <v>1</v>
      </c>
      <c r="L28" s="27"/>
      <c r="M28" s="27"/>
    </row>
    <row r="29" spans="1:13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13" ht="18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9</v>
      </c>
      <c r="E31" s="27"/>
      <c r="F31" s="27"/>
      <c r="G31" s="27"/>
      <c r="H31" s="27"/>
      <c r="I31" s="27"/>
      <c r="J31" s="27"/>
      <c r="K31" s="27"/>
      <c r="L31" s="27">
        <v>9</v>
      </c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I138" s="27"/>
      <c r="J138" s="27"/>
      <c r="K138" s="27"/>
      <c r="L138" s="27"/>
      <c r="M138" s="27"/>
      <c r="AF138" s="3"/>
      <c r="AN138" s="3"/>
      <c r="AO138" s="3"/>
    </row>
    <row r="139" spans="1:41" hidden="1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/>
      <c r="B142"/>
      <c r="C142"/>
      <c r="D142" s="25" t="str">
        <f t="shared" si="2"/>
        <v>0</v>
      </c>
    </row>
    <row r="143" spans="1:41" hidden="1" x14ac:dyDescent="0.25">
      <c r="A143"/>
      <c r="B143"/>
      <c r="C143"/>
      <c r="D143" s="25" t="str">
        <f t="shared" si="2"/>
        <v>0</v>
      </c>
    </row>
    <row r="144" spans="1:41" hidden="1" x14ac:dyDescent="0.25">
      <c r="A144"/>
      <c r="B144"/>
      <c r="C144"/>
      <c r="D144" s="25" t="str">
        <f t="shared" si="2"/>
        <v>0</v>
      </c>
    </row>
    <row r="145" spans="4:27" hidden="1" x14ac:dyDescent="0.25">
      <c r="D145" s="25" t="str">
        <f t="shared" si="2"/>
        <v>0</v>
      </c>
    </row>
    <row r="146" spans="4:27" hidden="1" x14ac:dyDescent="0.25">
      <c r="D146" s="25" t="str">
        <f t="shared" si="2"/>
        <v>0</v>
      </c>
    </row>
    <row r="147" spans="4:27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27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27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27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27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27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27" hidden="1" x14ac:dyDescent="0.25">
      <c r="D153" s="25" t="str">
        <f t="shared" si="2"/>
        <v>0</v>
      </c>
    </row>
    <row r="154" spans="4:27" hidden="1" x14ac:dyDescent="0.25">
      <c r="D154" s="25" t="str">
        <f t="shared" si="2"/>
        <v>0</v>
      </c>
    </row>
    <row r="155" spans="4:27" hidden="1" x14ac:dyDescent="0.25">
      <c r="D155" s="25" t="str">
        <f t="shared" si="2"/>
        <v>0</v>
      </c>
    </row>
    <row r="156" spans="4:27" hidden="1" x14ac:dyDescent="0.25">
      <c r="D156" s="25" t="str">
        <f t="shared" si="2"/>
        <v>0</v>
      </c>
    </row>
    <row r="157" spans="4:27" hidden="1" x14ac:dyDescent="0.25">
      <c r="D157" s="25" t="str">
        <f t="shared" si="2"/>
        <v>0</v>
      </c>
    </row>
    <row r="158" spans="4:27" hidden="1" x14ac:dyDescent="0.25">
      <c r="D158" s="25" t="str">
        <f t="shared" si="2"/>
        <v>0</v>
      </c>
    </row>
    <row r="159" spans="4:27" hidden="1" x14ac:dyDescent="0.25">
      <c r="D159" s="25" t="str">
        <f t="shared" si="2"/>
        <v>0</v>
      </c>
    </row>
    <row r="160" spans="4:27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  <row r="165" spans="4:4" x14ac:dyDescent="0.25">
      <c r="D165" s="25"/>
    </row>
  </sheetData>
  <autoFilter ref="A5:M164">
    <filterColumn colId="3">
      <filters>
        <filter val="1"/>
        <filter val="2"/>
        <filter val="3"/>
        <filter val="4"/>
        <filter val="9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60419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60419" r:id="rId7" name="CommandButton3"/>
      </mc:Fallback>
    </mc:AlternateContent>
    <mc:AlternateContent xmlns:mc="http://schemas.openxmlformats.org/markup-compatibility/2006">
      <mc:Choice Requires="x14">
        <control shapeId="60418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60418" r:id="rId9" name="CommandButton2"/>
      </mc:Fallback>
    </mc:AlternateContent>
    <mc:AlternateContent xmlns:mc="http://schemas.openxmlformats.org/markup-compatibility/2006">
      <mc:Choice Requires="x14">
        <control shapeId="60417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60417" r:id="rId11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9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 ca="1">MID(CELL("filename",A1),FIND("]",CELL("filename",A1))+1,256)</f>
        <v>mst (template)save-as (6)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customHeight="1" x14ac:dyDescent="0.25">
      <c r="A15" s="10" t="s">
        <v>117</v>
      </c>
      <c r="B15" s="10" t="s">
        <v>118</v>
      </c>
      <c r="C15" s="10" t="s">
        <v>376</v>
      </c>
      <c r="J15" s="6"/>
    </row>
    <row r="16" spans="1:15" ht="18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customHeight="1" x14ac:dyDescent="0.25">
      <c r="A21" s="10"/>
      <c r="B21" s="10"/>
      <c r="C21" s="10" t="s">
        <v>366</v>
      </c>
      <c r="J21" s="6"/>
    </row>
    <row r="22" spans="1:10" ht="18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x14ac:dyDescent="0.25">
      <c r="A31" s="4" t="s">
        <v>47</v>
      </c>
      <c r="B31" s="4" t="s">
        <v>205</v>
      </c>
      <c r="C31" s="4" t="s">
        <v>206</v>
      </c>
    </row>
    <row r="32" spans="1:10" x14ac:dyDescent="0.25">
      <c r="A32" s="4" t="s">
        <v>47</v>
      </c>
      <c r="B32" s="4" t="s">
        <v>207</v>
      </c>
      <c r="C32" s="4" t="s">
        <v>208</v>
      </c>
      <c r="J32" s="6"/>
    </row>
    <row r="33" spans="1:3" x14ac:dyDescent="0.25">
      <c r="A33" s="4" t="s">
        <v>47</v>
      </c>
      <c r="B33" s="4" t="s">
        <v>209</v>
      </c>
      <c r="C33" s="4" t="s">
        <v>210</v>
      </c>
    </row>
    <row r="34" spans="1:3" x14ac:dyDescent="0.25">
      <c r="A34" s="4" t="s">
        <v>47</v>
      </c>
      <c r="B34" s="4" t="s">
        <v>211</v>
      </c>
      <c r="C34" s="4" t="s">
        <v>212</v>
      </c>
    </row>
    <row r="35" spans="1:3" x14ac:dyDescent="0.25">
      <c r="A35" s="4" t="s">
        <v>47</v>
      </c>
      <c r="B35" s="4" t="s">
        <v>48</v>
      </c>
      <c r="C35" s="4" t="s">
        <v>49</v>
      </c>
    </row>
    <row r="36" spans="1:3" x14ac:dyDescent="0.25">
      <c r="A36" s="4" t="s">
        <v>47</v>
      </c>
      <c r="B36" s="4" t="s">
        <v>50</v>
      </c>
      <c r="C36" s="4" t="s">
        <v>51</v>
      </c>
    </row>
    <row r="37" spans="1:3" x14ac:dyDescent="0.25">
      <c r="A37" s="4" t="s">
        <v>55</v>
      </c>
      <c r="B37" s="4" t="s">
        <v>56</v>
      </c>
      <c r="C37" s="4" t="s">
        <v>57</v>
      </c>
    </row>
    <row r="38" spans="1:3" x14ac:dyDescent="0.25">
      <c r="A38" s="4" t="s">
        <v>30</v>
      </c>
      <c r="B38" s="4" t="s">
        <v>58</v>
      </c>
      <c r="C38" s="4" t="s">
        <v>59</v>
      </c>
    </row>
    <row r="39" spans="1:3" x14ac:dyDescent="0.25">
      <c r="A39" s="4" t="s">
        <v>30</v>
      </c>
      <c r="B39" s="4" t="s">
        <v>60</v>
      </c>
      <c r="C39" s="4" t="s">
        <v>61</v>
      </c>
    </row>
    <row r="40" spans="1:3" x14ac:dyDescent="0.25">
      <c r="A40" s="4" t="s">
        <v>30</v>
      </c>
      <c r="B40" s="4" t="s">
        <v>62</v>
      </c>
      <c r="C40" s="4" t="s">
        <v>63</v>
      </c>
    </row>
    <row r="41" spans="1:3" x14ac:dyDescent="0.25">
      <c r="A41" s="4" t="s">
        <v>30</v>
      </c>
      <c r="B41" s="4" t="s">
        <v>31</v>
      </c>
      <c r="C41" s="4" t="s">
        <v>32</v>
      </c>
    </row>
    <row r="42" spans="1:3" x14ac:dyDescent="0.25">
      <c r="A42" s="4" t="s">
        <v>30</v>
      </c>
      <c r="B42" s="4" t="s">
        <v>39</v>
      </c>
      <c r="C42" s="4" t="s">
        <v>40</v>
      </c>
    </row>
    <row r="43" spans="1:3" x14ac:dyDescent="0.25">
      <c r="A43" s="4" t="s">
        <v>30</v>
      </c>
      <c r="B43" s="4" t="s">
        <v>217</v>
      </c>
      <c r="C43" s="4" t="s">
        <v>218</v>
      </c>
    </row>
    <row r="44" spans="1:3" x14ac:dyDescent="0.25">
      <c r="A44" s="4" t="s">
        <v>30</v>
      </c>
      <c r="B44" s="4" t="s">
        <v>219</v>
      </c>
      <c r="C44" s="4" t="s">
        <v>220</v>
      </c>
    </row>
    <row r="45" spans="1:3" x14ac:dyDescent="0.25">
      <c r="A45" s="4" t="s">
        <v>200</v>
      </c>
      <c r="B45" s="4" t="s">
        <v>221</v>
      </c>
      <c r="C45" s="4" t="s">
        <v>222</v>
      </c>
    </row>
    <row r="46" spans="1:3" x14ac:dyDescent="0.25">
      <c r="A46" s="4" t="s">
        <v>223</v>
      </c>
      <c r="B46" s="4" t="s">
        <v>224</v>
      </c>
      <c r="C46" s="4" t="s">
        <v>225</v>
      </c>
    </row>
    <row r="47" spans="1:3" x14ac:dyDescent="0.25">
      <c r="A47" s="4" t="s">
        <v>0</v>
      </c>
      <c r="B47" s="4" t="s">
        <v>134</v>
      </c>
      <c r="C47" s="4" t="s">
        <v>135</v>
      </c>
    </row>
    <row r="48" spans="1:3" x14ac:dyDescent="0.25">
      <c r="A48" s="4" t="s">
        <v>0</v>
      </c>
      <c r="B48" s="4" t="s">
        <v>1</v>
      </c>
      <c r="C48" s="4" t="s">
        <v>2</v>
      </c>
    </row>
    <row r="49" spans="1:3" x14ac:dyDescent="0.25">
      <c r="A49" s="4" t="s">
        <v>0</v>
      </c>
      <c r="B49" s="4" t="s">
        <v>174</v>
      </c>
      <c r="C49" s="4" t="s">
        <v>175</v>
      </c>
    </row>
    <row r="50" spans="1:3" x14ac:dyDescent="0.25">
      <c r="A50" s="4" t="s">
        <v>0</v>
      </c>
      <c r="B50" s="4" t="s">
        <v>176</v>
      </c>
      <c r="C50" s="4" t="s">
        <v>177</v>
      </c>
    </row>
    <row r="51" spans="1:3" x14ac:dyDescent="0.25">
      <c r="A51" s="4" t="s">
        <v>0</v>
      </c>
      <c r="B51" s="4" t="s">
        <v>226</v>
      </c>
      <c r="C51" s="4" t="s">
        <v>227</v>
      </c>
    </row>
    <row r="52" spans="1:3" x14ac:dyDescent="0.25">
      <c r="A52" s="4" t="s">
        <v>3</v>
      </c>
      <c r="B52" s="4" t="s">
        <v>228</v>
      </c>
      <c r="C52" s="4" t="s">
        <v>229</v>
      </c>
    </row>
    <row r="53" spans="1:3" x14ac:dyDescent="0.25">
      <c r="A53" s="4" t="s">
        <v>3</v>
      </c>
      <c r="B53" s="4" t="s">
        <v>178</v>
      </c>
      <c r="C53" s="4" t="s">
        <v>179</v>
      </c>
    </row>
    <row r="54" spans="1:3" x14ac:dyDescent="0.25">
      <c r="A54" s="4" t="s">
        <v>3</v>
      </c>
      <c r="B54" s="4" t="s">
        <v>289</v>
      </c>
      <c r="C54" s="4" t="s">
        <v>290</v>
      </c>
    </row>
    <row r="55" spans="1:3" x14ac:dyDescent="0.25">
      <c r="A55" s="4" t="s">
        <v>3</v>
      </c>
      <c r="B55" s="4" t="s">
        <v>64</v>
      </c>
      <c r="C55" s="4" t="s">
        <v>65</v>
      </c>
    </row>
    <row r="56" spans="1:3" x14ac:dyDescent="0.25">
      <c r="A56" s="4" t="s">
        <v>3</v>
      </c>
      <c r="B56" s="4" t="s">
        <v>180</v>
      </c>
      <c r="C56" s="4" t="s">
        <v>181</v>
      </c>
    </row>
    <row r="57" spans="1:3" x14ac:dyDescent="0.25">
      <c r="A57" s="4" t="s">
        <v>3</v>
      </c>
      <c r="B57" s="4" t="s">
        <v>230</v>
      </c>
      <c r="C57" s="4" t="s">
        <v>231</v>
      </c>
    </row>
    <row r="58" spans="1:3" x14ac:dyDescent="0.25">
      <c r="A58" s="4" t="s">
        <v>66</v>
      </c>
      <c r="B58" s="4" t="s">
        <v>232</v>
      </c>
      <c r="C58" s="4" t="s">
        <v>233</v>
      </c>
    </row>
    <row r="59" spans="1:3" x14ac:dyDescent="0.25">
      <c r="A59" s="4" t="s">
        <v>66</v>
      </c>
      <c r="B59" s="4" t="s">
        <v>234</v>
      </c>
      <c r="C59" s="4" t="s">
        <v>235</v>
      </c>
    </row>
    <row r="60" spans="1:3" x14ac:dyDescent="0.25">
      <c r="A60" s="4" t="s">
        <v>66</v>
      </c>
      <c r="B60" s="4" t="s">
        <v>67</v>
      </c>
      <c r="C60" s="4" t="s">
        <v>68</v>
      </c>
    </row>
    <row r="61" spans="1:3" x14ac:dyDescent="0.25">
      <c r="A61" s="4" t="s">
        <v>66</v>
      </c>
      <c r="B61" s="4" t="s">
        <v>236</v>
      </c>
      <c r="C61" s="4" t="s">
        <v>237</v>
      </c>
    </row>
    <row r="62" spans="1:3" x14ac:dyDescent="0.25">
      <c r="A62" s="4" t="s">
        <v>66</v>
      </c>
      <c r="B62" s="4" t="s">
        <v>238</v>
      </c>
      <c r="C62" s="4" t="s">
        <v>239</v>
      </c>
    </row>
    <row r="63" spans="1:3" x14ac:dyDescent="0.25">
      <c r="A63" s="4" t="s">
        <v>66</v>
      </c>
      <c r="B63" s="4" t="s">
        <v>182</v>
      </c>
      <c r="C63" s="4" t="s">
        <v>183</v>
      </c>
    </row>
    <row r="64" spans="1:3" x14ac:dyDescent="0.25">
      <c r="A64" s="4" t="s">
        <v>66</v>
      </c>
      <c r="B64" s="4" t="s">
        <v>69</v>
      </c>
      <c r="C64" s="4" t="s">
        <v>70</v>
      </c>
    </row>
    <row r="65" spans="1:3" x14ac:dyDescent="0.25">
      <c r="A65" s="4" t="s">
        <v>66</v>
      </c>
      <c r="B65" s="4" t="s">
        <v>240</v>
      </c>
      <c r="C65" s="4" t="s">
        <v>241</v>
      </c>
    </row>
    <row r="66" spans="1:3" x14ac:dyDescent="0.25">
      <c r="A66" s="4" t="s">
        <v>66</v>
      </c>
      <c r="B66" s="4" t="s">
        <v>242</v>
      </c>
      <c r="C66" s="4" t="s">
        <v>243</v>
      </c>
    </row>
    <row r="67" spans="1:3" x14ac:dyDescent="0.25">
      <c r="A67" s="4" t="s">
        <v>66</v>
      </c>
      <c r="B67" s="4" t="s">
        <v>71</v>
      </c>
      <c r="C67" s="4" t="s">
        <v>72</v>
      </c>
    </row>
    <row r="68" spans="1:3" x14ac:dyDescent="0.25">
      <c r="A68" s="4" t="s">
        <v>66</v>
      </c>
      <c r="B68" s="4" t="s">
        <v>73</v>
      </c>
      <c r="C68" s="4" t="s">
        <v>74</v>
      </c>
    </row>
    <row r="69" spans="1:3" x14ac:dyDescent="0.25">
      <c r="A69" s="4" t="s">
        <v>4</v>
      </c>
      <c r="B69" s="4" t="s">
        <v>75</v>
      </c>
      <c r="C69" s="4" t="s">
        <v>76</v>
      </c>
    </row>
    <row r="70" spans="1:3" x14ac:dyDescent="0.25">
      <c r="A70" s="4" t="s">
        <v>4</v>
      </c>
      <c r="B70" s="4" t="s">
        <v>77</v>
      </c>
      <c r="C70" s="4" t="s">
        <v>78</v>
      </c>
    </row>
    <row r="71" spans="1:3" x14ac:dyDescent="0.25">
      <c r="A71" s="4" t="s">
        <v>4</v>
      </c>
      <c r="B71" s="4" t="s">
        <v>79</v>
      </c>
      <c r="C71" s="4" t="s">
        <v>80</v>
      </c>
    </row>
    <row r="72" spans="1:3" x14ac:dyDescent="0.25">
      <c r="A72" s="4" t="s">
        <v>4</v>
      </c>
      <c r="B72" s="4" t="s">
        <v>136</v>
      </c>
      <c r="C72" s="4" t="s">
        <v>137</v>
      </c>
    </row>
    <row r="73" spans="1:3" x14ac:dyDescent="0.25">
      <c r="A73" s="4" t="s">
        <v>4</v>
      </c>
      <c r="B73" s="4" t="s">
        <v>81</v>
      </c>
      <c r="C73" s="4" t="s">
        <v>82</v>
      </c>
    </row>
    <row r="74" spans="1:3" x14ac:dyDescent="0.25">
      <c r="A74" s="4" t="s">
        <v>4</v>
      </c>
      <c r="B74" s="4" t="s">
        <v>83</v>
      </c>
      <c r="C74" s="4" t="s">
        <v>84</v>
      </c>
    </row>
    <row r="75" spans="1:3" x14ac:dyDescent="0.25">
      <c r="A75" s="4" t="s">
        <v>4</v>
      </c>
      <c r="B75" s="4" t="s">
        <v>5</v>
      </c>
      <c r="C75" s="4" t="s">
        <v>6</v>
      </c>
    </row>
    <row r="76" spans="1:3" x14ac:dyDescent="0.25">
      <c r="A76" s="4" t="s">
        <v>4</v>
      </c>
      <c r="B76" s="4" t="s">
        <v>127</v>
      </c>
      <c r="C76" s="4" t="s">
        <v>128</v>
      </c>
    </row>
    <row r="77" spans="1:3" x14ac:dyDescent="0.25">
      <c r="A77" s="4" t="s">
        <v>4</v>
      </c>
      <c r="B77" s="4" t="s">
        <v>184</v>
      </c>
      <c r="C77" s="4" t="s">
        <v>185</v>
      </c>
    </row>
    <row r="78" spans="1:3" x14ac:dyDescent="0.25">
      <c r="A78" s="4" t="s">
        <v>4</v>
      </c>
      <c r="B78" s="4" t="s">
        <v>186</v>
      </c>
      <c r="C78" s="4" t="s">
        <v>187</v>
      </c>
    </row>
    <row r="79" spans="1:3" x14ac:dyDescent="0.25">
      <c r="A79" s="4" t="s">
        <v>4</v>
      </c>
      <c r="B79" s="4" t="s">
        <v>190</v>
      </c>
      <c r="C79" s="4" t="s">
        <v>191</v>
      </c>
    </row>
    <row r="80" spans="1:3" x14ac:dyDescent="0.25">
      <c r="A80" s="4" t="s">
        <v>4</v>
      </c>
      <c r="B80" s="4" t="s">
        <v>192</v>
      </c>
      <c r="C80" s="4" t="s">
        <v>193</v>
      </c>
    </row>
    <row r="81" spans="1:35" x14ac:dyDescent="0.25">
      <c r="A81" s="4" t="s">
        <v>4</v>
      </c>
      <c r="B81" s="4" t="s">
        <v>194</v>
      </c>
      <c r="C81" s="4" t="s">
        <v>195</v>
      </c>
    </row>
    <row r="82" spans="1:35" x14ac:dyDescent="0.25">
      <c r="A82" s="4" t="s">
        <v>4</v>
      </c>
      <c r="B82" s="4" t="s">
        <v>291</v>
      </c>
      <c r="C82" s="4" t="s">
        <v>292</v>
      </c>
    </row>
    <row r="83" spans="1:35" x14ac:dyDescent="0.25">
      <c r="A83" s="4" t="s">
        <v>4</v>
      </c>
      <c r="B83" s="4" t="s">
        <v>244</v>
      </c>
      <c r="C83" s="4" t="s">
        <v>245</v>
      </c>
    </row>
    <row r="84" spans="1:35" x14ac:dyDescent="0.25">
      <c r="A84" s="4" t="s">
        <v>4</v>
      </c>
      <c r="B84" s="4" t="s">
        <v>246</v>
      </c>
      <c r="C84" s="4" t="s">
        <v>247</v>
      </c>
    </row>
    <row r="85" spans="1:35" x14ac:dyDescent="0.25">
      <c r="A85" s="4" t="s">
        <v>138</v>
      </c>
      <c r="B85" s="4" t="s">
        <v>158</v>
      </c>
      <c r="C85" s="4" t="s">
        <v>157</v>
      </c>
    </row>
    <row r="86" spans="1:35" x14ac:dyDescent="0.25">
      <c r="A86" s="4" t="s">
        <v>145</v>
      </c>
      <c r="B86" s="4" t="s">
        <v>146</v>
      </c>
      <c r="C86" s="4" t="s">
        <v>147</v>
      </c>
    </row>
    <row r="87" spans="1:35" x14ac:dyDescent="0.25">
      <c r="A87" s="4" t="s">
        <v>9</v>
      </c>
      <c r="B87" s="4" t="s">
        <v>87</v>
      </c>
      <c r="C87" s="4" t="s">
        <v>88</v>
      </c>
    </row>
    <row r="88" spans="1:35" x14ac:dyDescent="0.25">
      <c r="A88" s="4" t="s">
        <v>9</v>
      </c>
      <c r="B88" s="4" t="s">
        <v>89</v>
      </c>
      <c r="C88" s="4" t="s">
        <v>90</v>
      </c>
    </row>
    <row r="89" spans="1:35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x14ac:dyDescent="0.25">
      <c r="A94" s="4" t="s">
        <v>9</v>
      </c>
      <c r="B94" s="4" t="s">
        <v>23</v>
      </c>
      <c r="C94" s="4" t="s">
        <v>24</v>
      </c>
    </row>
    <row r="95" spans="1:35" x14ac:dyDescent="0.25">
      <c r="A95" s="4" t="s">
        <v>9</v>
      </c>
      <c r="B95" s="4" t="s">
        <v>91</v>
      </c>
      <c r="C95" s="4" t="s">
        <v>92</v>
      </c>
    </row>
    <row r="96" spans="1:35" x14ac:dyDescent="0.25">
      <c r="A96" s="4" t="s">
        <v>9</v>
      </c>
      <c r="B96" s="4" t="s">
        <v>93</v>
      </c>
      <c r="C96" s="4" t="s">
        <v>94</v>
      </c>
    </row>
    <row r="97" spans="1:3" x14ac:dyDescent="0.25">
      <c r="A97" s="4" t="s">
        <v>9</v>
      </c>
      <c r="B97" s="4" t="s">
        <v>164</v>
      </c>
      <c r="C97" s="4" t="s">
        <v>163</v>
      </c>
    </row>
    <row r="98" spans="1:3" x14ac:dyDescent="0.25">
      <c r="A98" s="4" t="s">
        <v>9</v>
      </c>
      <c r="B98" s="4" t="s">
        <v>293</v>
      </c>
      <c r="C98" s="4" t="s">
        <v>294</v>
      </c>
    </row>
    <row r="99" spans="1:3" x14ac:dyDescent="0.25">
      <c r="A99" s="4" t="s">
        <v>9</v>
      </c>
      <c r="B99" s="4" t="s">
        <v>248</v>
      </c>
      <c r="C99" s="4" t="s">
        <v>249</v>
      </c>
    </row>
    <row r="100" spans="1:3" x14ac:dyDescent="0.25">
      <c r="A100" s="4" t="s">
        <v>27</v>
      </c>
      <c r="B100" s="4" t="s">
        <v>95</v>
      </c>
      <c r="C100" s="4" t="s">
        <v>96</v>
      </c>
    </row>
    <row r="101" spans="1:3" x14ac:dyDescent="0.25">
      <c r="A101" s="4" t="s">
        <v>27</v>
      </c>
      <c r="B101" s="4" t="s">
        <v>97</v>
      </c>
      <c r="C101" s="4" t="s">
        <v>98</v>
      </c>
    </row>
    <row r="102" spans="1:3" x14ac:dyDescent="0.25">
      <c r="A102" s="4" t="s">
        <v>27</v>
      </c>
      <c r="B102" s="4" t="s">
        <v>99</v>
      </c>
      <c r="C102" s="4" t="s">
        <v>100</v>
      </c>
    </row>
    <row r="103" spans="1:3" x14ac:dyDescent="0.25">
      <c r="A103" s="4" t="s">
        <v>27</v>
      </c>
      <c r="B103" s="4" t="s">
        <v>101</v>
      </c>
      <c r="C103" s="4" t="s">
        <v>102</v>
      </c>
    </row>
    <row r="104" spans="1:3" x14ac:dyDescent="0.25">
      <c r="A104" s="4" t="s">
        <v>27</v>
      </c>
      <c r="B104" s="4" t="s">
        <v>103</v>
      </c>
      <c r="C104" s="4" t="s">
        <v>104</v>
      </c>
    </row>
    <row r="105" spans="1:3" x14ac:dyDescent="0.25">
      <c r="A105" s="4" t="s">
        <v>27</v>
      </c>
      <c r="B105" s="4" t="s">
        <v>105</v>
      </c>
      <c r="C105" s="4" t="s">
        <v>106</v>
      </c>
    </row>
    <row r="106" spans="1:3" x14ac:dyDescent="0.25">
      <c r="A106" s="4" t="s">
        <v>27</v>
      </c>
      <c r="B106" s="4" t="s">
        <v>28</v>
      </c>
      <c r="C106" s="4" t="s">
        <v>29</v>
      </c>
    </row>
    <row r="107" spans="1:3" x14ac:dyDescent="0.25">
      <c r="A107" s="4" t="s">
        <v>107</v>
      </c>
      <c r="B107" s="4" t="s">
        <v>108</v>
      </c>
      <c r="C107" s="4" t="s">
        <v>109</v>
      </c>
    </row>
    <row r="108" spans="1:3" x14ac:dyDescent="0.25">
      <c r="A108" s="4" t="s">
        <v>107</v>
      </c>
      <c r="B108" s="4" t="s">
        <v>110</v>
      </c>
      <c r="C108" s="4" t="s">
        <v>111</v>
      </c>
    </row>
    <row r="109" spans="1:3" x14ac:dyDescent="0.25">
      <c r="A109" s="4" t="s">
        <v>107</v>
      </c>
      <c r="B109" s="4" t="s">
        <v>250</v>
      </c>
      <c r="C109" s="4" t="s">
        <v>251</v>
      </c>
    </row>
    <row r="110" spans="1:3" x14ac:dyDescent="0.25">
      <c r="A110" s="4" t="s">
        <v>107</v>
      </c>
      <c r="B110" s="4" t="s">
        <v>252</v>
      </c>
      <c r="C110" s="4" t="s">
        <v>253</v>
      </c>
    </row>
    <row r="111" spans="1:3" x14ac:dyDescent="0.25">
      <c r="A111" s="4" t="s">
        <v>107</v>
      </c>
      <c r="B111" s="4" t="s">
        <v>254</v>
      </c>
      <c r="C111" s="4" t="s">
        <v>255</v>
      </c>
    </row>
    <row r="112" spans="1:3" x14ac:dyDescent="0.25">
      <c r="A112" s="4" t="s">
        <v>107</v>
      </c>
      <c r="B112" s="4" t="s">
        <v>256</v>
      </c>
      <c r="C112" s="4" t="s">
        <v>257</v>
      </c>
    </row>
    <row r="113" spans="1:3" x14ac:dyDescent="0.25">
      <c r="A113" s="4" t="s">
        <v>33</v>
      </c>
      <c r="B113" s="4" t="s">
        <v>34</v>
      </c>
      <c r="C113" s="4" t="s">
        <v>35</v>
      </c>
    </row>
    <row r="114" spans="1:3" x14ac:dyDescent="0.25">
      <c r="A114" s="4" t="s">
        <v>258</v>
      </c>
      <c r="B114" s="4" t="s">
        <v>259</v>
      </c>
      <c r="C114" s="4" t="s">
        <v>260</v>
      </c>
    </row>
    <row r="115" spans="1:3" x14ac:dyDescent="0.25">
      <c r="A115" s="4" t="s">
        <v>258</v>
      </c>
      <c r="B115" s="4" t="s">
        <v>261</v>
      </c>
      <c r="C115" s="4" t="s">
        <v>262</v>
      </c>
    </row>
    <row r="116" spans="1:3" x14ac:dyDescent="0.25">
      <c r="A116" s="4" t="s">
        <v>41</v>
      </c>
      <c r="B116" s="4" t="s">
        <v>42</v>
      </c>
      <c r="C116" s="4" t="s">
        <v>43</v>
      </c>
    </row>
    <row r="117" spans="1:3" x14ac:dyDescent="0.25">
      <c r="A117" s="4" t="s">
        <v>263</v>
      </c>
      <c r="B117" s="4" t="s">
        <v>264</v>
      </c>
      <c r="C117" s="4" t="s">
        <v>265</v>
      </c>
    </row>
    <row r="118" spans="1:3" x14ac:dyDescent="0.25">
      <c r="A118" s="4" t="s">
        <v>263</v>
      </c>
      <c r="B118" s="4" t="s">
        <v>266</v>
      </c>
      <c r="C118" s="4" t="s">
        <v>267</v>
      </c>
    </row>
    <row r="119" spans="1:3" x14ac:dyDescent="0.25">
      <c r="A119" s="4" t="s">
        <v>114</v>
      </c>
      <c r="B119" s="4" t="s">
        <v>115</v>
      </c>
      <c r="C119" s="4" t="s">
        <v>116</v>
      </c>
    </row>
    <row r="120" spans="1:3" x14ac:dyDescent="0.25">
      <c r="A120" s="4" t="s">
        <v>44</v>
      </c>
      <c r="B120" s="4" t="s">
        <v>45</v>
      </c>
      <c r="C120" s="4" t="s">
        <v>46</v>
      </c>
    </row>
    <row r="121" spans="1:3" x14ac:dyDescent="0.25">
      <c r="A121" s="4" t="s">
        <v>120</v>
      </c>
      <c r="B121" s="4" t="s">
        <v>271</v>
      </c>
      <c r="C121" s="4" t="s">
        <v>272</v>
      </c>
    </row>
    <row r="122" spans="1:3" x14ac:dyDescent="0.25">
      <c r="A122" s="4" t="s">
        <v>120</v>
      </c>
      <c r="B122" s="4" t="s">
        <v>273</v>
      </c>
      <c r="C122" s="4" t="s">
        <v>274</v>
      </c>
    </row>
    <row r="123" spans="1:3" x14ac:dyDescent="0.25">
      <c r="A123" s="4" t="s">
        <v>120</v>
      </c>
      <c r="B123" s="4" t="s">
        <v>121</v>
      </c>
      <c r="C123" s="4" t="s">
        <v>122</v>
      </c>
    </row>
    <row r="124" spans="1:3" x14ac:dyDescent="0.25">
      <c r="A124" s="4" t="s">
        <v>120</v>
      </c>
      <c r="B124" s="4" t="s">
        <v>275</v>
      </c>
      <c r="C124" s="4" t="s">
        <v>276</v>
      </c>
    </row>
    <row r="125" spans="1:3" x14ac:dyDescent="0.25">
      <c r="A125" s="4" t="s">
        <v>120</v>
      </c>
      <c r="B125" s="4" t="s">
        <v>198</v>
      </c>
      <c r="C125" s="4" t="s">
        <v>199</v>
      </c>
    </row>
    <row r="126" spans="1:3" x14ac:dyDescent="0.25">
      <c r="A126" s="4" t="s">
        <v>120</v>
      </c>
      <c r="B126" s="4" t="s">
        <v>277</v>
      </c>
      <c r="C126" s="4" t="s">
        <v>278</v>
      </c>
    </row>
    <row r="127" spans="1:3" x14ac:dyDescent="0.25">
      <c r="A127" s="4" t="s">
        <v>279</v>
      </c>
      <c r="B127" s="4" t="s">
        <v>280</v>
      </c>
      <c r="C127" s="4" t="s">
        <v>281</v>
      </c>
    </row>
    <row r="128" spans="1:3" x14ac:dyDescent="0.25">
      <c r="A128" s="4" t="s">
        <v>282</v>
      </c>
      <c r="B128" s="4" t="s">
        <v>283</v>
      </c>
      <c r="C128" s="4" t="s">
        <v>284</v>
      </c>
    </row>
    <row r="129" spans="1:39" x14ac:dyDescent="0.25">
      <c r="A129" s="4" t="s">
        <v>285</v>
      </c>
      <c r="B129" s="4" t="s">
        <v>286</v>
      </c>
      <c r="C129" s="4" t="s">
        <v>287</v>
      </c>
    </row>
    <row r="130" spans="1:39" x14ac:dyDescent="0.25">
      <c r="A130" s="4" t="s">
        <v>14</v>
      </c>
      <c r="B130" s="4" t="s">
        <v>15</v>
      </c>
      <c r="C130" s="4" t="s">
        <v>16</v>
      </c>
    </row>
    <row r="131" spans="1:39" x14ac:dyDescent="0.25">
      <c r="A131" s="4" t="s">
        <v>14</v>
      </c>
      <c r="B131" s="4" t="s">
        <v>17</v>
      </c>
      <c r="C131" s="4" t="s">
        <v>18</v>
      </c>
    </row>
    <row r="132" spans="1:39" x14ac:dyDescent="0.25">
      <c r="A132" s="4" t="s">
        <v>14</v>
      </c>
      <c r="B132" s="4" t="s">
        <v>201</v>
      </c>
      <c r="C132" s="4" t="s">
        <v>202</v>
      </c>
    </row>
    <row r="133" spans="1:39" x14ac:dyDescent="0.25">
      <c r="A133" s="4" t="s">
        <v>14</v>
      </c>
      <c r="B133" s="4" t="s">
        <v>203</v>
      </c>
      <c r="C133" s="4" t="s">
        <v>204</v>
      </c>
    </row>
    <row r="134" spans="1:39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</sheetData>
  <autoFilter ref="A1:D1"/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57347" r:id="rId7" name="CommandButton3">
          <controlPr autoLine="0" r:id="rId8">
            <anchor moveWithCells="1">
              <from>
                <xdr:col>4</xdr:col>
                <xdr:colOff>323850</xdr:colOff>
                <xdr:row>2</xdr:row>
                <xdr:rowOff>200025</xdr:rowOff>
              </from>
              <to>
                <xdr:col>6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57347" r:id="rId7" name="CommandButton3"/>
      </mc:Fallback>
    </mc:AlternateContent>
    <mc:AlternateContent xmlns:mc="http://schemas.openxmlformats.org/markup-compatibility/2006">
      <mc:Choice Requires="x14">
        <control shapeId="57346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7346" r:id="rId9" name="CommandButton2"/>
      </mc:Fallback>
    </mc:AlternateContent>
    <mc:AlternateContent xmlns:mc="http://schemas.openxmlformats.org/markup-compatibility/2006">
      <mc:Choice Requires="x14">
        <control shapeId="57345" r:id="rId11" name="CommandButton1">
          <controlPr autoLine="0" r:id="rId12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7345" r:id="rId11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7" filterMode="1">
    <tabColor rgb="FFFFC000"/>
    <pageSetUpPr fitToPage="1"/>
  </sheetPr>
  <dimension ref="A1:AJ164"/>
  <sheetViews>
    <sheetView zoomScaleNormal="100" workbookViewId="0">
      <selection activeCell="D179" sqref="D179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13.28515625" style="21" customWidth="1"/>
    <col min="6" max="6" width="16.28515625" style="20" customWidth="1"/>
    <col min="7" max="8" width="16.28515625" style="22" customWidth="1"/>
  </cols>
  <sheetData>
    <row r="1" spans="1:9" x14ac:dyDescent="0.25">
      <c r="A1" s="6" t="s">
        <v>288</v>
      </c>
      <c r="B1"/>
      <c r="C1" s="3">
        <v>43522</v>
      </c>
      <c r="D1" s="6" t="s">
        <v>339</v>
      </c>
      <c r="E1"/>
      <c r="F1"/>
      <c r="G1"/>
      <c r="H1"/>
      <c r="I1" s="6" t="s">
        <v>295</v>
      </c>
    </row>
    <row r="2" spans="1:9" x14ac:dyDescent="0.25">
      <c r="A2"/>
      <c r="B2"/>
      <c r="C2"/>
      <c r="D2"/>
      <c r="E2"/>
      <c r="F2"/>
      <c r="G2"/>
      <c r="H2"/>
    </row>
    <row r="3" spans="1:9" x14ac:dyDescent="0.25">
      <c r="A3"/>
      <c r="B3"/>
      <c r="C3"/>
      <c r="D3"/>
      <c r="E3"/>
      <c r="F3"/>
      <c r="G3"/>
      <c r="H3"/>
    </row>
    <row r="4" spans="1:9" x14ac:dyDescent="0.25">
      <c r="A4"/>
      <c r="B4"/>
      <c r="C4"/>
      <c r="D4"/>
      <c r="E4"/>
      <c r="F4"/>
      <c r="G4" t="s">
        <v>377</v>
      </c>
      <c r="H4"/>
    </row>
    <row r="5" spans="1:9" ht="17.25" customHeight="1" x14ac:dyDescent="0.25">
      <c r="A5" s="24"/>
      <c r="B5" s="24" t="s">
        <v>325</v>
      </c>
      <c r="C5" s="24" t="str">
        <f ca="1">MID(CELL("filename",A5),FIND("]",CELL("filename",A5))+1,256)</f>
        <v>rgo190011</v>
      </c>
      <c r="D5" s="25" t="s">
        <v>382</v>
      </c>
      <c r="E5" s="26" t="s">
        <v>379</v>
      </c>
      <c r="F5" s="26" t="s">
        <v>380</v>
      </c>
      <c r="G5" s="27" t="s">
        <v>378</v>
      </c>
      <c r="H5" s="27" t="s">
        <v>386</v>
      </c>
    </row>
    <row r="6" spans="1:9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(E6+F6+G6) &amp;H6</f>
        <v>60</v>
      </c>
      <c r="E6" s="26"/>
      <c r="F6" s="26"/>
      <c r="G6" s="27">
        <v>60</v>
      </c>
      <c r="H6" s="27"/>
    </row>
    <row r="7" spans="1:9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(E7+F7+G7) &amp;H7</f>
        <v>2</v>
      </c>
      <c r="E7" s="26">
        <v>1</v>
      </c>
      <c r="F7" s="26">
        <v>1</v>
      </c>
      <c r="G7" s="27"/>
      <c r="H7" s="27"/>
    </row>
    <row r="8" spans="1:9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</row>
    <row r="9" spans="1:9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</row>
    <row r="10" spans="1:9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</row>
    <row r="11" spans="1:9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2</v>
      </c>
      <c r="E11" s="27">
        <v>1</v>
      </c>
      <c r="F11" s="27">
        <v>1</v>
      </c>
      <c r="G11" s="27"/>
      <c r="H11" s="27"/>
    </row>
    <row r="12" spans="1:9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</row>
    <row r="13" spans="1:9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</row>
    <row r="14" spans="1:9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2</v>
      </c>
      <c r="E14" s="27">
        <v>1</v>
      </c>
      <c r="F14" s="27">
        <v>1</v>
      </c>
      <c r="G14" s="27"/>
      <c r="H14" s="27"/>
    </row>
    <row r="15" spans="1:9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</row>
    <row r="16" spans="1:9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</row>
    <row r="17" spans="1:8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</row>
    <row r="18" spans="1:8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</row>
    <row r="19" spans="1:8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</row>
    <row r="20" spans="1:8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</row>
    <row r="21" spans="1:8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</row>
    <row r="22" spans="1:8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</row>
    <row r="23" spans="1:8" ht="18" hidden="1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0</v>
      </c>
      <c r="E23" s="27"/>
      <c r="F23" s="27"/>
      <c r="G23" s="27"/>
      <c r="H23" s="27"/>
    </row>
    <row r="24" spans="1:8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</row>
    <row r="25" spans="1:8" ht="18" hidden="1" customHeight="1" x14ac:dyDescent="0.25">
      <c r="A25" s="29"/>
      <c r="B25" s="29"/>
      <c r="C25" s="29" t="s">
        <v>366</v>
      </c>
      <c r="D25" s="25" t="str">
        <f t="shared" si="0"/>
        <v>0</v>
      </c>
      <c r="E25" s="27"/>
      <c r="F25" s="27"/>
      <c r="G25" s="27"/>
      <c r="H25" s="27"/>
    </row>
    <row r="26" spans="1:8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</row>
    <row r="27" spans="1:8" ht="18" hidden="1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0</v>
      </c>
      <c r="E27" s="27"/>
      <c r="F27" s="27"/>
      <c r="G27" s="27"/>
      <c r="H27" s="27"/>
    </row>
    <row r="28" spans="1:8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>
        <v>2</v>
      </c>
      <c r="F28" s="27">
        <v>2</v>
      </c>
      <c r="G28" s="27"/>
      <c r="H28" s="27"/>
    </row>
    <row r="29" spans="1:8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</row>
    <row r="30" spans="1:8" ht="18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1optie klant wil geen</v>
      </c>
      <c r="E30" s="27"/>
      <c r="F30" s="27"/>
      <c r="G30" s="27">
        <v>1</v>
      </c>
      <c r="H30" s="27" t="s">
        <v>420</v>
      </c>
    </row>
    <row r="31" spans="1:8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</row>
    <row r="32" spans="1:8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</row>
    <row r="33" spans="1:8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</row>
    <row r="34" spans="1:8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</row>
    <row r="35" spans="1:8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</row>
    <row r="36" spans="1:8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</row>
    <row r="37" spans="1:8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</row>
    <row r="38" spans="1:8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</row>
    <row r="39" spans="1:8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</row>
    <row r="40" spans="1:8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</row>
    <row r="41" spans="1:8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</row>
    <row r="42" spans="1:8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</row>
    <row r="43" spans="1:8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</row>
    <row r="44" spans="1:8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</row>
    <row r="45" spans="1:8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</row>
    <row r="46" spans="1:8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</row>
    <row r="47" spans="1:8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</row>
    <row r="48" spans="1:8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</row>
    <row r="49" spans="1:8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</row>
    <row r="50" spans="1:8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</row>
    <row r="51" spans="1:8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</row>
    <row r="52" spans="1:8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</row>
    <row r="53" spans="1:8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</row>
    <row r="54" spans="1:8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</row>
    <row r="55" spans="1:8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</row>
    <row r="56" spans="1:8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</row>
    <row r="57" spans="1:8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</row>
    <row r="58" spans="1:8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</row>
    <row r="59" spans="1:8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</row>
    <row r="60" spans="1:8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</row>
    <row r="61" spans="1:8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</row>
    <row r="62" spans="1:8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</row>
    <row r="63" spans="1:8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</row>
    <row r="64" spans="1:8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</row>
    <row r="65" spans="1:8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</row>
    <row r="66" spans="1:8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</row>
    <row r="67" spans="1:8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</row>
    <row r="68" spans="1:8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</row>
    <row r="69" spans="1:8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</row>
    <row r="70" spans="1:8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</row>
    <row r="71" spans="1:8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(E71+F71+G71) &amp;H71</f>
        <v>0</v>
      </c>
      <c r="E71" s="27"/>
      <c r="F71" s="27"/>
      <c r="G71" s="27"/>
      <c r="H71" s="27"/>
    </row>
    <row r="72" spans="1:8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</row>
    <row r="73" spans="1:8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</row>
    <row r="74" spans="1:8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</row>
    <row r="75" spans="1:8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</row>
    <row r="76" spans="1:8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</row>
    <row r="77" spans="1:8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</row>
    <row r="78" spans="1:8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</row>
    <row r="79" spans="1:8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</row>
    <row r="80" spans="1:8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</row>
    <row r="81" spans="1:32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</row>
    <row r="82" spans="1:32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</row>
    <row r="83" spans="1:32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</row>
    <row r="84" spans="1:32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</row>
    <row r="85" spans="1:32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</row>
    <row r="86" spans="1:32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</row>
    <row r="87" spans="1:32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</row>
    <row r="88" spans="1:32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</row>
    <row r="89" spans="1:32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</row>
    <row r="90" spans="1:32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</row>
    <row r="91" spans="1:32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</row>
    <row r="92" spans="1:32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</row>
    <row r="93" spans="1:32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W93" s="3"/>
      <c r="AE93" s="3"/>
      <c r="AF93" s="3"/>
    </row>
    <row r="94" spans="1:32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W94" s="3"/>
      <c r="AE94" s="3"/>
      <c r="AF94" s="3"/>
    </row>
    <row r="95" spans="1:32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W95" s="3"/>
      <c r="AE95" s="3"/>
      <c r="AF95" s="3"/>
    </row>
    <row r="96" spans="1:32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W96" s="3"/>
      <c r="AE96" s="3"/>
      <c r="AF96" s="3"/>
    </row>
    <row r="97" spans="1:32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W97" s="3"/>
      <c r="AE97" s="3"/>
      <c r="AF97" s="3"/>
    </row>
    <row r="98" spans="1:32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</row>
    <row r="99" spans="1:32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</row>
    <row r="100" spans="1:32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</row>
    <row r="101" spans="1:32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</row>
    <row r="102" spans="1:32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</row>
    <row r="103" spans="1:32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</row>
    <row r="104" spans="1:32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</row>
    <row r="105" spans="1:32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</row>
    <row r="106" spans="1:32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</row>
    <row r="107" spans="1:32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</row>
    <row r="108" spans="1:32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</row>
    <row r="109" spans="1:32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</row>
    <row r="110" spans="1:32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</row>
    <row r="111" spans="1:32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</row>
    <row r="112" spans="1:32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</row>
    <row r="113" spans="1:8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</row>
    <row r="114" spans="1:8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</row>
    <row r="115" spans="1:8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</row>
    <row r="116" spans="1:8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</row>
    <row r="117" spans="1:8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</row>
    <row r="118" spans="1:8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</row>
    <row r="119" spans="1:8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</row>
    <row r="120" spans="1:8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</row>
    <row r="121" spans="1:8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</row>
    <row r="122" spans="1:8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</row>
    <row r="123" spans="1:8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</row>
    <row r="124" spans="1:8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</row>
    <row r="125" spans="1:8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</row>
    <row r="126" spans="1:8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</row>
    <row r="127" spans="1:8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</row>
    <row r="128" spans="1:8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</row>
    <row r="129" spans="1:36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</row>
    <row r="130" spans="1:36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</row>
    <row r="131" spans="1:36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</row>
    <row r="132" spans="1:36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</row>
    <row r="133" spans="1:36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</row>
    <row r="134" spans="1:36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</row>
    <row r="135" spans="1:36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(E135+F135+G135) &amp;H135</f>
        <v>0</v>
      </c>
      <c r="E135" s="27"/>
      <c r="F135" s="27"/>
      <c r="G135" s="27"/>
      <c r="H135" s="27"/>
    </row>
    <row r="136" spans="1:36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</row>
    <row r="137" spans="1:36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</row>
    <row r="138" spans="1:36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AA138" s="3"/>
      <c r="AI138" s="3"/>
      <c r="AJ138" s="3"/>
    </row>
    <row r="139" spans="1:36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1</v>
      </c>
      <c r="E139" s="27"/>
      <c r="F139" s="27"/>
      <c r="G139" s="27">
        <v>1</v>
      </c>
      <c r="H139" s="27"/>
      <c r="AA139" s="3"/>
      <c r="AI139" s="3"/>
      <c r="AJ139" s="3"/>
    </row>
    <row r="140" spans="1:36" x14ac:dyDescent="0.25">
      <c r="A140" t="s">
        <v>30</v>
      </c>
      <c r="B140" t="s">
        <v>39</v>
      </c>
      <c r="C140" t="s">
        <v>40</v>
      </c>
      <c r="D140" s="25" t="str">
        <f t="shared" si="2"/>
        <v>1</v>
      </c>
      <c r="F140" s="20">
        <v>1</v>
      </c>
      <c r="AA140" s="3"/>
      <c r="AI140" s="3"/>
      <c r="AJ140" s="3"/>
    </row>
    <row r="141" spans="1:36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36" hidden="1" x14ac:dyDescent="0.25">
      <c r="A142"/>
      <c r="B142"/>
      <c r="C142"/>
      <c r="D142" s="25" t="str">
        <f t="shared" si="2"/>
        <v>0</v>
      </c>
    </row>
    <row r="143" spans="1:36" hidden="1" x14ac:dyDescent="0.25">
      <c r="A143"/>
      <c r="B143"/>
      <c r="C143"/>
      <c r="D143" s="25" t="str">
        <f t="shared" si="2"/>
        <v>0</v>
      </c>
    </row>
    <row r="144" spans="1:36" hidden="1" x14ac:dyDescent="0.25">
      <c r="A144"/>
      <c r="B144"/>
      <c r="C144"/>
      <c r="D144" s="25" t="str">
        <f t="shared" si="2"/>
        <v>0</v>
      </c>
    </row>
    <row r="145" spans="4:22" hidden="1" x14ac:dyDescent="0.25">
      <c r="D145" s="25" t="str">
        <f t="shared" si="2"/>
        <v>0</v>
      </c>
    </row>
    <row r="146" spans="4:22" hidden="1" x14ac:dyDescent="0.25">
      <c r="D146" s="25" t="str">
        <f t="shared" si="2"/>
        <v>0</v>
      </c>
    </row>
    <row r="147" spans="4:22" hidden="1" x14ac:dyDescent="0.25">
      <c r="D147" s="25" t="str">
        <f t="shared" si="2"/>
        <v>0</v>
      </c>
      <c r="K147" t="s">
        <v>388</v>
      </c>
      <c r="L147" t="s">
        <v>389</v>
      </c>
      <c r="M147" t="s">
        <v>390</v>
      </c>
      <c r="N147" t="s">
        <v>391</v>
      </c>
      <c r="O147" t="s">
        <v>392</v>
      </c>
      <c r="P147" t="s">
        <v>393</v>
      </c>
      <c r="Q147" t="s">
        <v>394</v>
      </c>
      <c r="R147" t="s">
        <v>395</v>
      </c>
      <c r="S147" t="s">
        <v>396</v>
      </c>
      <c r="T147" t="s">
        <v>397</v>
      </c>
      <c r="U147" t="s">
        <v>398</v>
      </c>
    </row>
    <row r="148" spans="4:22" hidden="1" x14ac:dyDescent="0.25">
      <c r="D148" s="25" t="str">
        <f t="shared" si="2"/>
        <v>0</v>
      </c>
      <c r="L148" t="s">
        <v>399</v>
      </c>
      <c r="M148" t="s">
        <v>400</v>
      </c>
      <c r="Q148" t="s">
        <v>401</v>
      </c>
      <c r="R148" t="s">
        <v>402</v>
      </c>
      <c r="S148" t="s">
        <v>403</v>
      </c>
      <c r="T148" t="s">
        <v>404</v>
      </c>
      <c r="U148" t="s">
        <v>405</v>
      </c>
      <c r="V148" t="s">
        <v>404</v>
      </c>
    </row>
    <row r="149" spans="4:22" hidden="1" x14ac:dyDescent="0.25">
      <c r="D149" s="25" t="str">
        <f t="shared" si="2"/>
        <v>0</v>
      </c>
      <c r="L149" t="s">
        <v>406</v>
      </c>
      <c r="M149" t="s">
        <v>407</v>
      </c>
      <c r="Q149" t="s">
        <v>408</v>
      </c>
      <c r="R149" t="s">
        <v>409</v>
      </c>
      <c r="S149" t="s">
        <v>403</v>
      </c>
      <c r="T149" t="s">
        <v>410</v>
      </c>
      <c r="U149" t="s">
        <v>405</v>
      </c>
      <c r="V149" t="s">
        <v>410</v>
      </c>
    </row>
    <row r="150" spans="4:22" hidden="1" x14ac:dyDescent="0.25">
      <c r="D150" s="25" t="str">
        <f t="shared" si="2"/>
        <v>0</v>
      </c>
      <c r="L150" t="s">
        <v>411</v>
      </c>
      <c r="M150" t="s">
        <v>400</v>
      </c>
      <c r="Q150" t="s">
        <v>412</v>
      </c>
      <c r="R150" t="s">
        <v>409</v>
      </c>
      <c r="S150" t="s">
        <v>403</v>
      </c>
      <c r="T150" t="s">
        <v>413</v>
      </c>
      <c r="U150" t="s">
        <v>405</v>
      </c>
      <c r="V150" t="s">
        <v>413</v>
      </c>
    </row>
    <row r="151" spans="4:22" hidden="1" x14ac:dyDescent="0.25">
      <c r="D151" s="25" t="str">
        <f t="shared" si="2"/>
        <v>0</v>
      </c>
      <c r="L151" t="s">
        <v>414</v>
      </c>
      <c r="M151" t="s">
        <v>400</v>
      </c>
      <c r="Q151" t="s">
        <v>415</v>
      </c>
      <c r="R151" t="s">
        <v>409</v>
      </c>
      <c r="S151" t="s">
        <v>416</v>
      </c>
      <c r="T151" t="s">
        <v>417</v>
      </c>
      <c r="U151" t="s">
        <v>405</v>
      </c>
      <c r="V151" t="s">
        <v>417</v>
      </c>
    </row>
    <row r="152" spans="4:22" hidden="1" x14ac:dyDescent="0.25">
      <c r="D152" s="25" t="str">
        <f t="shared" si="2"/>
        <v>0</v>
      </c>
      <c r="L152" t="s">
        <v>414</v>
      </c>
      <c r="M152" t="s">
        <v>400</v>
      </c>
      <c r="Q152" t="s">
        <v>418</v>
      </c>
      <c r="R152" t="s">
        <v>409</v>
      </c>
      <c r="S152" t="s">
        <v>416</v>
      </c>
      <c r="T152" t="s">
        <v>419</v>
      </c>
      <c r="U152" t="s">
        <v>405</v>
      </c>
      <c r="V152" t="s">
        <v>419</v>
      </c>
    </row>
    <row r="153" spans="4:22" hidden="1" x14ac:dyDescent="0.25">
      <c r="D153" s="25" t="str">
        <f t="shared" si="2"/>
        <v>0</v>
      </c>
    </row>
    <row r="154" spans="4:22" hidden="1" x14ac:dyDescent="0.25">
      <c r="D154" s="25" t="str">
        <f t="shared" si="2"/>
        <v>0</v>
      </c>
    </row>
    <row r="155" spans="4:22" hidden="1" x14ac:dyDescent="0.25">
      <c r="D155" s="25" t="str">
        <f t="shared" si="2"/>
        <v>0</v>
      </c>
    </row>
    <row r="156" spans="4:22" hidden="1" x14ac:dyDescent="0.25">
      <c r="D156" s="25" t="str">
        <f t="shared" si="2"/>
        <v>0</v>
      </c>
    </row>
    <row r="157" spans="4:22" hidden="1" x14ac:dyDescent="0.25">
      <c r="D157" s="25" t="str">
        <f t="shared" si="2"/>
        <v>0</v>
      </c>
    </row>
    <row r="158" spans="4:22" hidden="1" x14ac:dyDescent="0.25">
      <c r="D158" s="25" t="str">
        <f t="shared" si="2"/>
        <v>0</v>
      </c>
    </row>
    <row r="159" spans="4:22" hidden="1" x14ac:dyDescent="0.25">
      <c r="D159" s="25" t="str">
        <f t="shared" si="2"/>
        <v>0</v>
      </c>
    </row>
    <row r="160" spans="4:22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</sheetData>
  <autoFilter ref="A5:H164">
    <filterColumn colId="3">
      <filters>
        <filter val="1"/>
        <filter val="1optie"/>
        <filter val="2"/>
        <filter val="4"/>
        <filter val="60"/>
      </filters>
    </filterColumn>
  </autoFilter>
  <hyperlinks>
    <hyperlink ref="A1" r:id="rId1"/>
    <hyperlink ref="I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34819" r:id="rId7" name="CommandButton3">
          <controlPr autoLine="0" autoPict="0" r:id="rId8">
            <anchor moveWithCells="1">
              <from>
                <xdr:col>4</xdr:col>
                <xdr:colOff>781050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19050</xdr:rowOff>
              </to>
            </anchor>
          </controlPr>
        </control>
      </mc:Choice>
      <mc:Fallback>
        <control shapeId="34819" r:id="rId7" name="CommandButton3"/>
      </mc:Fallback>
    </mc:AlternateContent>
    <mc:AlternateContent xmlns:mc="http://schemas.openxmlformats.org/markup-compatibility/2006">
      <mc:Choice Requires="x14">
        <control shapeId="34818" r:id="rId9" name="CommandButton2">
          <controlPr autoLine="0" r:id="rId10">
            <anchor moveWithCells="1">
              <from>
                <xdr:col>6</xdr:col>
                <xdr:colOff>123825</xdr:colOff>
                <xdr:row>0</xdr:row>
                <xdr:rowOff>104775</xdr:rowOff>
              </from>
              <to>
                <xdr:col>7</xdr:col>
                <xdr:colOff>323850</xdr:colOff>
                <xdr:row>2</xdr:row>
                <xdr:rowOff>28575</xdr:rowOff>
              </to>
            </anchor>
          </controlPr>
        </control>
      </mc:Choice>
      <mc:Fallback>
        <control shapeId="34818" r:id="rId9" name="CommandButton2"/>
      </mc:Fallback>
    </mc:AlternateContent>
    <mc:AlternateContent xmlns:mc="http://schemas.openxmlformats.org/markup-compatibility/2006">
      <mc:Choice Requires="x14">
        <control shapeId="34817" r:id="rId11" name="CommandButton1">
          <controlPr autoLine="0" r:id="rId12">
            <anchor moveWithCells="1">
              <from>
                <xdr:col>7</xdr:col>
                <xdr:colOff>371475</xdr:colOff>
                <xdr:row>1</xdr:row>
                <xdr:rowOff>47625</xdr:rowOff>
              </from>
              <to>
                <xdr:col>9</xdr:col>
                <xdr:colOff>104775</xdr:colOff>
                <xdr:row>2</xdr:row>
                <xdr:rowOff>171450</xdr:rowOff>
              </to>
            </anchor>
          </controlPr>
        </control>
      </mc:Choice>
      <mc:Fallback>
        <control shapeId="34817" r:id="rId11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6" filterMode="1">
    <pageSetUpPr fitToPage="1"/>
  </sheetPr>
  <dimension ref="A1:AM138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19" t="str">
        <f ca="1">MID(CELL("filename",A1),FIND("]",CELL("filename",A1))+1,256)</f>
        <v>rgo190010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>
        <v>30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F7" s="10" t="s">
        <v>369</v>
      </c>
      <c r="G7" s="10" t="s">
        <v>370</v>
      </c>
      <c r="J7" s="6" t="s">
        <v>368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/>
      <c r="B21" s="10"/>
      <c r="C21" s="10" t="s">
        <v>366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  <row r="138" spans="1:39" x14ac:dyDescent="0.25">
      <c r="G138" s="8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47" orientation="landscape" r:id="rId4"/>
  <drawing r:id="rId5"/>
  <legacyDrawing r:id="rId6"/>
  <controls>
    <mc:AlternateContent xmlns:mc="http://schemas.openxmlformats.org/markup-compatibility/2006">
      <mc:Choice Requires="x14">
        <control shapeId="24578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24578" r:id="rId7" name="CommandButton2"/>
      </mc:Fallback>
    </mc:AlternateContent>
    <mc:AlternateContent xmlns:mc="http://schemas.openxmlformats.org/markup-compatibility/2006">
      <mc:Choice Requires="x14">
        <control shapeId="2457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24577" r:id="rId9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3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6" max="6" width="13.140625" customWidth="1"/>
    <col min="10" max="10" width="37.5703125" customWidth="1"/>
    <col min="11" max="11" width="13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K1" t="s">
        <v>359</v>
      </c>
      <c r="L1" t="s">
        <v>360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K2" t="s">
        <v>361</v>
      </c>
      <c r="L2" t="s">
        <v>362</v>
      </c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  <c r="K3" t="s">
        <v>361</v>
      </c>
      <c r="L3" t="s">
        <v>362</v>
      </c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  <c r="K7" t="s">
        <v>367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>
        <v>21</v>
      </c>
      <c r="B21" s="10">
        <v>1</v>
      </c>
      <c r="C21" s="10">
        <v>21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F135" t="s">
        <v>362</v>
      </c>
      <c r="AD135" s="3"/>
      <c r="AL135" s="3"/>
      <c r="AM135" s="3"/>
    </row>
    <row r="136" spans="1:39" x14ac:dyDescent="0.25">
      <c r="AD136" s="3"/>
      <c r="AL136" s="3"/>
      <c r="AM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2290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2290" r:id="rId7" name="CommandButton2"/>
      </mc:Fallback>
    </mc:AlternateContent>
    <mc:AlternateContent xmlns:mc="http://schemas.openxmlformats.org/markup-compatibility/2006">
      <mc:Choice Requires="x14">
        <control shapeId="12289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657225</xdr:colOff>
                <xdr:row>0</xdr:row>
                <xdr:rowOff>428625</xdr:rowOff>
              </to>
            </anchor>
          </controlPr>
        </control>
      </mc:Choice>
      <mc:Fallback>
        <control shapeId="12289" r:id="rId9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13"/>
  <sheetViews>
    <sheetView zoomScale="80" zoomScaleNormal="80" workbookViewId="0">
      <selection activeCell="I30" sqref="I30"/>
    </sheetView>
  </sheetViews>
  <sheetFormatPr defaultRowHeight="15" x14ac:dyDescent="0.25"/>
  <cols>
    <col min="1" max="1" width="15.28515625" bestFit="1" customWidth="1"/>
    <col min="2" max="2" width="37.5703125" bestFit="1" customWidth="1"/>
    <col min="3" max="3" width="30.140625" bestFit="1" customWidth="1"/>
    <col min="6" max="6" width="6.42578125" bestFit="1" customWidth="1"/>
  </cols>
  <sheetData>
    <row r="1" spans="1:6" x14ac:dyDescent="0.25">
      <c r="A1" s="1" t="s">
        <v>150</v>
      </c>
      <c r="B1" s="2"/>
      <c r="C1" s="2"/>
      <c r="D1" s="2"/>
      <c r="E1" s="2"/>
      <c r="F1" s="2" t="s">
        <v>151</v>
      </c>
    </row>
    <row r="2" spans="1:6" x14ac:dyDescent="0.25">
      <c r="A2" s="2" t="s">
        <v>138</v>
      </c>
      <c r="B2" s="2" t="s">
        <v>143</v>
      </c>
      <c r="C2" s="2"/>
      <c r="D2" s="2"/>
      <c r="E2" s="2"/>
      <c r="F2" s="2">
        <v>4</v>
      </c>
    </row>
    <row r="3" spans="1:6" x14ac:dyDescent="0.25">
      <c r="A3" s="2" t="s">
        <v>129</v>
      </c>
      <c r="B3" s="2" t="s">
        <v>130</v>
      </c>
      <c r="C3" s="2"/>
      <c r="D3" s="2"/>
      <c r="E3" s="2"/>
      <c r="F3" s="2">
        <v>3</v>
      </c>
    </row>
    <row r="4" spans="1:6" x14ac:dyDescent="0.25">
      <c r="A4" s="2" t="s">
        <v>52</v>
      </c>
      <c r="B4" s="2" t="s">
        <v>53</v>
      </c>
      <c r="C4" s="2"/>
      <c r="D4" s="2"/>
      <c r="E4" s="2"/>
      <c r="F4" s="2">
        <v>2</v>
      </c>
    </row>
    <row r="5" spans="1:6" x14ac:dyDescent="0.25">
      <c r="A5" s="2" t="s">
        <v>138</v>
      </c>
      <c r="B5" s="2" t="s">
        <v>149</v>
      </c>
      <c r="C5" s="2"/>
      <c r="D5" s="2"/>
      <c r="E5" s="2"/>
      <c r="F5" s="2">
        <v>2</v>
      </c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 t="s">
        <v>152</v>
      </c>
      <c r="B9" s="2"/>
      <c r="C9" s="2"/>
      <c r="D9" s="2"/>
      <c r="E9" s="2"/>
      <c r="F9" s="2"/>
    </row>
    <row r="10" spans="1:6" x14ac:dyDescent="0.25">
      <c r="A10" s="2" t="s">
        <v>9</v>
      </c>
      <c r="B10" s="2" t="s">
        <v>25</v>
      </c>
      <c r="C10" s="2" t="s">
        <v>26</v>
      </c>
      <c r="D10" s="2"/>
      <c r="E10" s="2"/>
      <c r="F10" s="2">
        <v>1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 t="s">
        <v>153</v>
      </c>
      <c r="B13" s="2" t="s">
        <v>154</v>
      </c>
      <c r="C13" s="2"/>
      <c r="D13" s="2"/>
      <c r="E13" s="2"/>
      <c r="F13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J29"/>
  <sheetViews>
    <sheetView workbookViewId="0">
      <selection activeCell="I30" sqref="I30"/>
    </sheetView>
  </sheetViews>
  <sheetFormatPr defaultRowHeight="15" x14ac:dyDescent="0.25"/>
  <cols>
    <col min="1" max="1" width="7.140625" bestFit="1" customWidth="1"/>
    <col min="2" max="2" width="32" bestFit="1" customWidth="1"/>
    <col min="3" max="3" width="48.140625" bestFit="1" customWidth="1"/>
    <col min="4" max="4" width="2" bestFit="1" customWidth="1"/>
    <col min="6" max="6" width="25.42578125" bestFit="1" customWidth="1"/>
    <col min="8" max="8" width="25.42578125" bestFit="1" customWidth="1"/>
  </cols>
  <sheetData>
    <row r="2" spans="1:10" x14ac:dyDescent="0.25">
      <c r="A2" s="7" t="s">
        <v>138</v>
      </c>
      <c r="B2" s="7" t="s">
        <v>143</v>
      </c>
      <c r="C2" s="7" t="s">
        <v>144</v>
      </c>
      <c r="D2" s="5">
        <v>4</v>
      </c>
    </row>
    <row r="3" spans="1:10" ht="18.75" x14ac:dyDescent="0.25">
      <c r="A3" s="7" t="s">
        <v>9</v>
      </c>
      <c r="B3" s="7" t="s">
        <v>155</v>
      </c>
      <c r="C3" s="7" t="s">
        <v>156</v>
      </c>
      <c r="D3" s="5">
        <v>2</v>
      </c>
      <c r="F3" s="9" t="s">
        <v>296</v>
      </c>
      <c r="H3" s="9"/>
      <c r="J3" s="6" t="s">
        <v>288</v>
      </c>
    </row>
    <row r="4" spans="1:10" ht="18.75" x14ac:dyDescent="0.25">
      <c r="A4" s="7" t="s">
        <v>7</v>
      </c>
      <c r="B4" s="7" t="s">
        <v>196</v>
      </c>
      <c r="C4" s="7" t="s">
        <v>197</v>
      </c>
      <c r="D4" s="5">
        <v>1</v>
      </c>
      <c r="F4" s="9" t="s">
        <v>297</v>
      </c>
      <c r="H4" s="9"/>
    </row>
    <row r="5" spans="1:10" ht="18.75" x14ac:dyDescent="0.25">
      <c r="A5" s="7" t="s">
        <v>52</v>
      </c>
      <c r="B5" s="7" t="s">
        <v>213</v>
      </c>
      <c r="C5" s="7" t="s">
        <v>214</v>
      </c>
      <c r="D5" s="5">
        <v>6</v>
      </c>
      <c r="F5" s="9" t="s">
        <v>298</v>
      </c>
      <c r="H5" s="9"/>
      <c r="J5" s="6"/>
    </row>
    <row r="6" spans="1:10" ht="18.75" x14ac:dyDescent="0.25">
      <c r="A6" s="7" t="s">
        <v>9</v>
      </c>
      <c r="B6" s="7" t="s">
        <v>293</v>
      </c>
      <c r="C6" s="7" t="s">
        <v>294</v>
      </c>
      <c r="D6" s="5">
        <v>1</v>
      </c>
      <c r="F6" s="9" t="s">
        <v>299</v>
      </c>
      <c r="H6" s="9"/>
    </row>
    <row r="7" spans="1:10" ht="18.75" x14ac:dyDescent="0.25">
      <c r="F7" s="9" t="s">
        <v>300</v>
      </c>
      <c r="H7" s="9"/>
      <c r="J7" s="6" t="s">
        <v>295</v>
      </c>
    </row>
    <row r="8" spans="1:10" ht="18.75" x14ac:dyDescent="0.25">
      <c r="F8" s="9" t="s">
        <v>301</v>
      </c>
      <c r="H8" s="9"/>
    </row>
    <row r="29" spans="3:3" x14ac:dyDescent="0.25">
      <c r="C29" s="8"/>
    </row>
  </sheetData>
  <hyperlinks>
    <hyperlink ref="J3" r:id="rId1"/>
    <hyperlink ref="J7" r:id="rId2"/>
  </hyperlinks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 filterMode="1">
    <pageSetUpPr fitToPage="1"/>
  </sheetPr>
  <dimension ref="A1:AI132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</cols>
  <sheetData>
    <row r="1" spans="1:20" ht="54" customHeight="1" x14ac:dyDescent="0.25">
      <c r="B1" s="7" t="s">
        <v>325</v>
      </c>
      <c r="G1" t="s">
        <v>309</v>
      </c>
      <c r="J1" s="6" t="s">
        <v>288</v>
      </c>
      <c r="O1" s="6" t="s">
        <v>288</v>
      </c>
      <c r="T1" s="6" t="s">
        <v>295</v>
      </c>
    </row>
    <row r="2" spans="1:20" hidden="1" x14ac:dyDescent="0.25">
      <c r="A2" s="4" t="s">
        <v>47</v>
      </c>
      <c r="B2" s="4" t="s">
        <v>205</v>
      </c>
      <c r="C2" s="4" t="s">
        <v>206</v>
      </c>
    </row>
    <row r="3" spans="1:20" hidden="1" x14ac:dyDescent="0.25">
      <c r="A3" s="4" t="s">
        <v>47</v>
      </c>
      <c r="B3" s="4" t="s">
        <v>207</v>
      </c>
      <c r="C3" s="4" t="s">
        <v>208</v>
      </c>
      <c r="J3" s="6"/>
    </row>
    <row r="4" spans="1:20" hidden="1" x14ac:dyDescent="0.25">
      <c r="A4" s="4" t="s">
        <v>47</v>
      </c>
      <c r="B4" s="4" t="s">
        <v>209</v>
      </c>
      <c r="C4" s="4" t="s">
        <v>210</v>
      </c>
    </row>
    <row r="5" spans="1:20" hidden="1" x14ac:dyDescent="0.25">
      <c r="A5" s="4" t="s">
        <v>47</v>
      </c>
      <c r="B5" s="4" t="s">
        <v>211</v>
      </c>
      <c r="C5" s="4" t="s">
        <v>212</v>
      </c>
      <c r="J5" s="6" t="s">
        <v>295</v>
      </c>
    </row>
    <row r="6" spans="1:20" hidden="1" x14ac:dyDescent="0.25">
      <c r="A6" s="4" t="s">
        <v>47</v>
      </c>
      <c r="B6" s="4" t="s">
        <v>48</v>
      </c>
      <c r="C6" s="4" t="s">
        <v>49</v>
      </c>
    </row>
    <row r="7" spans="1:20" hidden="1" x14ac:dyDescent="0.25">
      <c r="A7" s="4" t="s">
        <v>47</v>
      </c>
      <c r="B7" s="4" t="s">
        <v>50</v>
      </c>
      <c r="C7" s="4" t="s">
        <v>51</v>
      </c>
    </row>
    <row r="8" spans="1:20" hidden="1" x14ac:dyDescent="0.25">
      <c r="A8" s="4" t="s">
        <v>52</v>
      </c>
      <c r="B8" s="4" t="s">
        <v>213</v>
      </c>
      <c r="C8" s="4" t="s">
        <v>214</v>
      </c>
    </row>
    <row r="9" spans="1:20" x14ac:dyDescent="0.25">
      <c r="A9" s="10" t="s">
        <v>52</v>
      </c>
      <c r="B9" s="10" t="s">
        <v>53</v>
      </c>
      <c r="C9" s="10" t="s">
        <v>54</v>
      </c>
      <c r="D9" s="5">
        <v>1</v>
      </c>
    </row>
    <row r="10" spans="1:20" hidden="1" x14ac:dyDescent="0.25">
      <c r="A10" s="4" t="s">
        <v>55</v>
      </c>
      <c r="B10" s="4" t="s">
        <v>56</v>
      </c>
      <c r="C10" s="4" t="s">
        <v>57</v>
      </c>
    </row>
    <row r="11" spans="1:20" hidden="1" x14ac:dyDescent="0.25">
      <c r="A11" s="10" t="s">
        <v>169</v>
      </c>
      <c r="B11" s="10" t="s">
        <v>215</v>
      </c>
      <c r="C11" s="10" t="s">
        <v>216</v>
      </c>
    </row>
    <row r="12" spans="1:20" hidden="1" x14ac:dyDescent="0.25">
      <c r="A12" s="10" t="s">
        <v>169</v>
      </c>
      <c r="B12" s="10" t="s">
        <v>170</v>
      </c>
      <c r="C12" s="10" t="s">
        <v>171</v>
      </c>
    </row>
    <row r="13" spans="1:20" hidden="1" x14ac:dyDescent="0.25">
      <c r="A13" s="10" t="s">
        <v>169</v>
      </c>
      <c r="B13" s="10" t="s">
        <v>172</v>
      </c>
      <c r="C13" s="10" t="s">
        <v>173</v>
      </c>
    </row>
    <row r="14" spans="1:20" hidden="1" x14ac:dyDescent="0.25">
      <c r="A14" s="4" t="s">
        <v>30</v>
      </c>
      <c r="B14" s="4" t="s">
        <v>58</v>
      </c>
      <c r="C14" s="4" t="s">
        <v>59</v>
      </c>
    </row>
    <row r="15" spans="1:20" hidden="1" x14ac:dyDescent="0.25">
      <c r="A15" s="4" t="s">
        <v>30</v>
      </c>
      <c r="B15" s="4" t="s">
        <v>60</v>
      </c>
      <c r="C15" s="4" t="s">
        <v>61</v>
      </c>
    </row>
    <row r="16" spans="1:20" hidden="1" x14ac:dyDescent="0.25">
      <c r="A16" s="4" t="s">
        <v>30</v>
      </c>
      <c r="B16" s="4" t="s">
        <v>62</v>
      </c>
      <c r="C16" s="4" t="s">
        <v>63</v>
      </c>
    </row>
    <row r="17" spans="1:3" hidden="1" x14ac:dyDescent="0.25">
      <c r="A17" s="4" t="s">
        <v>30</v>
      </c>
      <c r="B17" s="4" t="s">
        <v>31</v>
      </c>
      <c r="C17" s="4" t="s">
        <v>32</v>
      </c>
    </row>
    <row r="18" spans="1:3" hidden="1" x14ac:dyDescent="0.25">
      <c r="A18" s="4" t="s">
        <v>30</v>
      </c>
      <c r="B18" s="4" t="s">
        <v>39</v>
      </c>
      <c r="C18" s="4" t="s">
        <v>40</v>
      </c>
    </row>
    <row r="19" spans="1:3" hidden="1" x14ac:dyDescent="0.25">
      <c r="A19" s="4" t="s">
        <v>30</v>
      </c>
      <c r="B19" s="4" t="s">
        <v>217</v>
      </c>
      <c r="C19" s="4" t="s">
        <v>218</v>
      </c>
    </row>
    <row r="20" spans="1:3" hidden="1" x14ac:dyDescent="0.25">
      <c r="A20" s="4" t="s">
        <v>30</v>
      </c>
      <c r="B20" s="4" t="s">
        <v>219</v>
      </c>
      <c r="C20" s="4" t="s">
        <v>220</v>
      </c>
    </row>
    <row r="21" spans="1:3" hidden="1" x14ac:dyDescent="0.25">
      <c r="A21" s="4" t="s">
        <v>200</v>
      </c>
      <c r="B21" s="4" t="s">
        <v>221</v>
      </c>
      <c r="C21" s="4" t="s">
        <v>222</v>
      </c>
    </row>
    <row r="22" spans="1:3" hidden="1" x14ac:dyDescent="0.25">
      <c r="A22" s="4" t="s">
        <v>223</v>
      </c>
      <c r="B22" s="4" t="s">
        <v>224</v>
      </c>
      <c r="C22" s="4" t="s">
        <v>225</v>
      </c>
    </row>
    <row r="23" spans="1:3" hidden="1" x14ac:dyDescent="0.25">
      <c r="A23" s="4" t="s">
        <v>0</v>
      </c>
      <c r="B23" s="4" t="s">
        <v>134</v>
      </c>
      <c r="C23" s="4" t="s">
        <v>135</v>
      </c>
    </row>
    <row r="24" spans="1:3" hidden="1" x14ac:dyDescent="0.25">
      <c r="A24" s="4" t="s">
        <v>0</v>
      </c>
      <c r="B24" s="4" t="s">
        <v>1</v>
      </c>
      <c r="C24" s="4" t="s">
        <v>2</v>
      </c>
    </row>
    <row r="25" spans="1:3" hidden="1" x14ac:dyDescent="0.25">
      <c r="A25" s="4" t="s">
        <v>0</v>
      </c>
      <c r="B25" s="4" t="s">
        <v>174</v>
      </c>
      <c r="C25" s="4" t="s">
        <v>175</v>
      </c>
    </row>
    <row r="26" spans="1:3" hidden="1" x14ac:dyDescent="0.25">
      <c r="A26" s="4" t="s">
        <v>0</v>
      </c>
      <c r="B26" s="4" t="s">
        <v>176</v>
      </c>
      <c r="C26" s="4" t="s">
        <v>177</v>
      </c>
    </row>
    <row r="27" spans="1:3" hidden="1" x14ac:dyDescent="0.25">
      <c r="A27" s="4" t="s">
        <v>0</v>
      </c>
      <c r="B27" s="4" t="s">
        <v>226</v>
      </c>
      <c r="C27" s="4" t="s">
        <v>227</v>
      </c>
    </row>
    <row r="28" spans="1:3" hidden="1" x14ac:dyDescent="0.25">
      <c r="A28" s="4" t="s">
        <v>3</v>
      </c>
      <c r="B28" s="4" t="s">
        <v>228</v>
      </c>
      <c r="C28" s="4" t="s">
        <v>229</v>
      </c>
    </row>
    <row r="29" spans="1:3" hidden="1" x14ac:dyDescent="0.25">
      <c r="A29" s="4" t="s">
        <v>3</v>
      </c>
      <c r="B29" s="4" t="s">
        <v>178</v>
      </c>
      <c r="C29" s="4" t="s">
        <v>179</v>
      </c>
    </row>
    <row r="30" spans="1:3" hidden="1" x14ac:dyDescent="0.25">
      <c r="A30" s="4" t="s">
        <v>3</v>
      </c>
      <c r="B30" s="4" t="s">
        <v>289</v>
      </c>
      <c r="C30" s="4" t="s">
        <v>290</v>
      </c>
    </row>
    <row r="31" spans="1:3" hidden="1" x14ac:dyDescent="0.25">
      <c r="A31" s="4" t="s">
        <v>3</v>
      </c>
      <c r="B31" s="4" t="s">
        <v>64</v>
      </c>
      <c r="C31" s="4" t="s">
        <v>65</v>
      </c>
    </row>
    <row r="32" spans="1:3" hidden="1" x14ac:dyDescent="0.25">
      <c r="A32" s="4" t="s">
        <v>3</v>
      </c>
      <c r="B32" s="4" t="s">
        <v>180</v>
      </c>
      <c r="C32" s="4" t="s">
        <v>181</v>
      </c>
    </row>
    <row r="33" spans="1:3" hidden="1" x14ac:dyDescent="0.25">
      <c r="A33" s="4" t="s">
        <v>3</v>
      </c>
      <c r="B33" s="4" t="s">
        <v>230</v>
      </c>
      <c r="C33" s="4" t="s">
        <v>231</v>
      </c>
    </row>
    <row r="34" spans="1:3" hidden="1" x14ac:dyDescent="0.25">
      <c r="A34" s="4" t="s">
        <v>66</v>
      </c>
      <c r="B34" s="4" t="s">
        <v>232</v>
      </c>
      <c r="C34" s="4" t="s">
        <v>233</v>
      </c>
    </row>
    <row r="35" spans="1:3" hidden="1" x14ac:dyDescent="0.25">
      <c r="A35" s="4" t="s">
        <v>66</v>
      </c>
      <c r="B35" s="4" t="s">
        <v>234</v>
      </c>
      <c r="C35" s="4" t="s">
        <v>235</v>
      </c>
    </row>
    <row r="36" spans="1:3" hidden="1" x14ac:dyDescent="0.25">
      <c r="A36" s="4" t="s">
        <v>66</v>
      </c>
      <c r="B36" s="4" t="s">
        <v>67</v>
      </c>
      <c r="C36" s="4" t="s">
        <v>68</v>
      </c>
    </row>
    <row r="37" spans="1:3" hidden="1" x14ac:dyDescent="0.25">
      <c r="A37" s="4" t="s">
        <v>66</v>
      </c>
      <c r="B37" s="4" t="s">
        <v>236</v>
      </c>
      <c r="C37" s="4" t="s">
        <v>237</v>
      </c>
    </row>
    <row r="38" spans="1:3" hidden="1" x14ac:dyDescent="0.25">
      <c r="A38" s="4" t="s">
        <v>66</v>
      </c>
      <c r="B38" s="4" t="s">
        <v>238</v>
      </c>
      <c r="C38" s="4" t="s">
        <v>239</v>
      </c>
    </row>
    <row r="39" spans="1:3" hidden="1" x14ac:dyDescent="0.25">
      <c r="A39" s="4" t="s">
        <v>66</v>
      </c>
      <c r="B39" s="4" t="s">
        <v>182</v>
      </c>
      <c r="C39" s="4" t="s">
        <v>183</v>
      </c>
    </row>
    <row r="40" spans="1:3" hidden="1" x14ac:dyDescent="0.25">
      <c r="A40" s="4" t="s">
        <v>66</v>
      </c>
      <c r="B40" s="4" t="s">
        <v>69</v>
      </c>
      <c r="C40" s="4" t="s">
        <v>70</v>
      </c>
    </row>
    <row r="41" spans="1:3" hidden="1" x14ac:dyDescent="0.25">
      <c r="A41" s="4" t="s">
        <v>66</v>
      </c>
      <c r="B41" s="4" t="s">
        <v>240</v>
      </c>
      <c r="C41" s="4" t="s">
        <v>241</v>
      </c>
    </row>
    <row r="42" spans="1:3" hidden="1" x14ac:dyDescent="0.25">
      <c r="A42" s="4" t="s">
        <v>66</v>
      </c>
      <c r="B42" s="4" t="s">
        <v>242</v>
      </c>
      <c r="C42" s="4" t="s">
        <v>243</v>
      </c>
    </row>
    <row r="43" spans="1:3" hidden="1" x14ac:dyDescent="0.25">
      <c r="A43" s="4" t="s">
        <v>66</v>
      </c>
      <c r="B43" s="4" t="s">
        <v>71</v>
      </c>
      <c r="C43" s="4" t="s">
        <v>72</v>
      </c>
    </row>
    <row r="44" spans="1:3" hidden="1" x14ac:dyDescent="0.25">
      <c r="A44" s="4" t="s">
        <v>66</v>
      </c>
      <c r="B44" s="4" t="s">
        <v>73</v>
      </c>
      <c r="C44" s="4" t="s">
        <v>74</v>
      </c>
    </row>
    <row r="45" spans="1:3" hidden="1" x14ac:dyDescent="0.25">
      <c r="A45" s="4" t="s">
        <v>4</v>
      </c>
      <c r="B45" s="4" t="s">
        <v>75</v>
      </c>
      <c r="C45" s="4" t="s">
        <v>76</v>
      </c>
    </row>
    <row r="46" spans="1:3" hidden="1" x14ac:dyDescent="0.25">
      <c r="A46" s="4" t="s">
        <v>4</v>
      </c>
      <c r="B46" s="4" t="s">
        <v>77</v>
      </c>
      <c r="C46" s="4" t="s">
        <v>78</v>
      </c>
    </row>
    <row r="47" spans="1:3" hidden="1" x14ac:dyDescent="0.25">
      <c r="A47" s="4" t="s">
        <v>4</v>
      </c>
      <c r="B47" s="4" t="s">
        <v>79</v>
      </c>
      <c r="C47" s="4" t="s">
        <v>80</v>
      </c>
    </row>
    <row r="48" spans="1:3" hidden="1" x14ac:dyDescent="0.25">
      <c r="A48" s="4" t="s">
        <v>4</v>
      </c>
      <c r="B48" s="4" t="s">
        <v>136</v>
      </c>
      <c r="C48" s="4" t="s">
        <v>137</v>
      </c>
    </row>
    <row r="49" spans="1:3" hidden="1" x14ac:dyDescent="0.25">
      <c r="A49" s="4" t="s">
        <v>4</v>
      </c>
      <c r="B49" s="4" t="s">
        <v>81</v>
      </c>
      <c r="C49" s="4" t="s">
        <v>82</v>
      </c>
    </row>
    <row r="50" spans="1:3" hidden="1" x14ac:dyDescent="0.25">
      <c r="A50" s="4" t="s">
        <v>4</v>
      </c>
      <c r="B50" s="4" t="s">
        <v>83</v>
      </c>
      <c r="C50" s="4" t="s">
        <v>84</v>
      </c>
    </row>
    <row r="51" spans="1:3" hidden="1" x14ac:dyDescent="0.25">
      <c r="A51" s="4" t="s">
        <v>4</v>
      </c>
      <c r="B51" s="4" t="s">
        <v>5</v>
      </c>
      <c r="C51" s="4" t="s">
        <v>6</v>
      </c>
    </row>
    <row r="52" spans="1:3" hidden="1" x14ac:dyDescent="0.25">
      <c r="A52" s="4" t="s">
        <v>4</v>
      </c>
      <c r="B52" s="4" t="s">
        <v>127</v>
      </c>
      <c r="C52" s="4" t="s">
        <v>128</v>
      </c>
    </row>
    <row r="53" spans="1:3" hidden="1" x14ac:dyDescent="0.25">
      <c r="A53" s="4" t="s">
        <v>4</v>
      </c>
      <c r="B53" s="4" t="s">
        <v>85</v>
      </c>
      <c r="C53" s="4" t="s">
        <v>86</v>
      </c>
    </row>
    <row r="54" spans="1:3" hidden="1" x14ac:dyDescent="0.25">
      <c r="A54" s="4" t="s">
        <v>4</v>
      </c>
      <c r="B54" s="4" t="s">
        <v>184</v>
      </c>
      <c r="C54" s="4" t="s">
        <v>185</v>
      </c>
    </row>
    <row r="55" spans="1:3" hidden="1" x14ac:dyDescent="0.25">
      <c r="A55" s="4" t="s">
        <v>4</v>
      </c>
      <c r="B55" s="4" t="s">
        <v>186</v>
      </c>
      <c r="C55" s="4" t="s">
        <v>187</v>
      </c>
    </row>
    <row r="56" spans="1:3" hidden="1" x14ac:dyDescent="0.25">
      <c r="A56" s="10" t="s">
        <v>4</v>
      </c>
      <c r="B56" s="10" t="s">
        <v>188</v>
      </c>
      <c r="C56" s="10" t="s">
        <v>305</v>
      </c>
    </row>
    <row r="57" spans="1:3" hidden="1" x14ac:dyDescent="0.25">
      <c r="A57" s="4" t="s">
        <v>4</v>
      </c>
      <c r="B57" s="4" t="s">
        <v>190</v>
      </c>
      <c r="C57" s="4" t="s">
        <v>191</v>
      </c>
    </row>
    <row r="58" spans="1:3" hidden="1" x14ac:dyDescent="0.25">
      <c r="A58" s="4" t="s">
        <v>4</v>
      </c>
      <c r="B58" s="4" t="s">
        <v>192</v>
      </c>
      <c r="C58" s="4" t="s">
        <v>193</v>
      </c>
    </row>
    <row r="59" spans="1:3" hidden="1" x14ac:dyDescent="0.25">
      <c r="A59" s="4" t="s">
        <v>4</v>
      </c>
      <c r="B59" s="4" t="s">
        <v>194</v>
      </c>
      <c r="C59" s="4" t="s">
        <v>195</v>
      </c>
    </row>
    <row r="60" spans="1:3" hidden="1" x14ac:dyDescent="0.25">
      <c r="A60" s="4" t="s">
        <v>4</v>
      </c>
      <c r="B60" s="4" t="s">
        <v>291</v>
      </c>
      <c r="C60" s="4" t="s">
        <v>292</v>
      </c>
    </row>
    <row r="61" spans="1:3" hidden="1" x14ac:dyDescent="0.25">
      <c r="A61" s="4" t="s">
        <v>4</v>
      </c>
      <c r="B61" s="4" t="s">
        <v>244</v>
      </c>
      <c r="C61" s="4" t="s">
        <v>245</v>
      </c>
    </row>
    <row r="62" spans="1:3" hidden="1" x14ac:dyDescent="0.25">
      <c r="A62" s="4" t="s">
        <v>4</v>
      </c>
      <c r="B62" s="4" t="s">
        <v>246</v>
      </c>
      <c r="C62" s="4" t="s">
        <v>247</v>
      </c>
    </row>
    <row r="63" spans="1:3" hidden="1" x14ac:dyDescent="0.25">
      <c r="A63" s="4" t="s">
        <v>138</v>
      </c>
      <c r="B63" s="4" t="s">
        <v>158</v>
      </c>
      <c r="C63" s="4" t="s">
        <v>157</v>
      </c>
    </row>
    <row r="64" spans="1:3" hidden="1" x14ac:dyDescent="0.25">
      <c r="A64" s="10" t="s">
        <v>138</v>
      </c>
      <c r="B64" s="10" t="s">
        <v>160</v>
      </c>
      <c r="C64" s="10" t="s">
        <v>159</v>
      </c>
    </row>
    <row r="65" spans="1:35" hidden="1" x14ac:dyDescent="0.25">
      <c r="A65" s="10" t="s">
        <v>138</v>
      </c>
      <c r="B65" s="10" t="s">
        <v>162</v>
      </c>
      <c r="C65" s="10" t="s">
        <v>161</v>
      </c>
    </row>
    <row r="66" spans="1:35" hidden="1" x14ac:dyDescent="0.25">
      <c r="A66" s="10" t="s">
        <v>138</v>
      </c>
      <c r="B66" s="10" t="s">
        <v>139</v>
      </c>
      <c r="C66" s="10" t="s">
        <v>140</v>
      </c>
    </row>
    <row r="67" spans="1:35" x14ac:dyDescent="0.25">
      <c r="A67" s="10" t="s">
        <v>138</v>
      </c>
      <c r="B67" s="10" t="s">
        <v>149</v>
      </c>
      <c r="C67" s="10" t="s">
        <v>148</v>
      </c>
      <c r="D67" s="5">
        <v>1</v>
      </c>
    </row>
    <row r="68" spans="1:35" hidden="1" x14ac:dyDescent="0.25">
      <c r="A68" s="4" t="s">
        <v>138</v>
      </c>
      <c r="B68" s="4" t="s">
        <v>141</v>
      </c>
      <c r="C68" s="4" t="s">
        <v>142</v>
      </c>
    </row>
    <row r="69" spans="1:35" x14ac:dyDescent="0.25">
      <c r="A69" s="10" t="s">
        <v>138</v>
      </c>
      <c r="B69" s="10" t="s">
        <v>143</v>
      </c>
      <c r="C69" s="10" t="s">
        <v>144</v>
      </c>
      <c r="D69" s="5">
        <v>2</v>
      </c>
    </row>
    <row r="70" spans="1:35" hidden="1" x14ac:dyDescent="0.25">
      <c r="A70" s="4" t="s">
        <v>7</v>
      </c>
      <c r="B70" s="4" t="s">
        <v>8</v>
      </c>
      <c r="C70" s="4" t="s">
        <v>303</v>
      </c>
    </row>
    <row r="71" spans="1:35" hidden="1" x14ac:dyDescent="0.25">
      <c r="A71" s="4" t="s">
        <v>7</v>
      </c>
      <c r="B71" s="4" t="s">
        <v>196</v>
      </c>
      <c r="C71" s="4" t="s">
        <v>302</v>
      </c>
    </row>
    <row r="72" spans="1:35" hidden="1" x14ac:dyDescent="0.25">
      <c r="A72" s="10" t="s">
        <v>129</v>
      </c>
      <c r="B72" s="10" t="s">
        <v>130</v>
      </c>
      <c r="C72" s="10" t="s">
        <v>131</v>
      </c>
    </row>
    <row r="73" spans="1:35" hidden="1" x14ac:dyDescent="0.25">
      <c r="A73" s="4" t="s">
        <v>145</v>
      </c>
      <c r="B73" s="4" t="s">
        <v>146</v>
      </c>
      <c r="C73" s="4" t="s">
        <v>147</v>
      </c>
    </row>
    <row r="74" spans="1:35" hidden="1" x14ac:dyDescent="0.25">
      <c r="A74" s="4" t="s">
        <v>9</v>
      </c>
      <c r="B74" s="4" t="s">
        <v>87</v>
      </c>
      <c r="C74" s="4" t="s">
        <v>88</v>
      </c>
    </row>
    <row r="75" spans="1:35" hidden="1" x14ac:dyDescent="0.25">
      <c r="A75" s="4" t="s">
        <v>9</v>
      </c>
      <c r="B75" s="4" t="s">
        <v>89</v>
      </c>
      <c r="C75" s="4" t="s">
        <v>90</v>
      </c>
    </row>
    <row r="76" spans="1:35" hidden="1" x14ac:dyDescent="0.25">
      <c r="A76" s="4" t="s">
        <v>9</v>
      </c>
      <c r="B76" s="4" t="s">
        <v>10</v>
      </c>
      <c r="C76" s="4" t="s">
        <v>11</v>
      </c>
      <c r="Z76" s="3"/>
      <c r="AH76" s="3"/>
      <c r="AI76" s="3"/>
    </row>
    <row r="77" spans="1:35" hidden="1" x14ac:dyDescent="0.25">
      <c r="A77" s="4" t="s">
        <v>9</v>
      </c>
      <c r="B77" s="4" t="s">
        <v>12</v>
      </c>
      <c r="C77" s="4" t="s">
        <v>13</v>
      </c>
      <c r="Z77" s="3"/>
      <c r="AH77" s="3"/>
      <c r="AI77" s="3"/>
    </row>
    <row r="78" spans="1:35" hidden="1" x14ac:dyDescent="0.25">
      <c r="A78" s="10" t="s">
        <v>9</v>
      </c>
      <c r="B78" s="10" t="s">
        <v>25</v>
      </c>
      <c r="C78" s="10" t="s">
        <v>304</v>
      </c>
      <c r="Z78" s="3"/>
      <c r="AH78" s="3"/>
      <c r="AI78" s="3"/>
    </row>
    <row r="79" spans="1:35" hidden="1" x14ac:dyDescent="0.25">
      <c r="A79" s="4" t="s">
        <v>9</v>
      </c>
      <c r="B79" s="4" t="s">
        <v>19</v>
      </c>
      <c r="C79" s="4" t="s">
        <v>20</v>
      </c>
      <c r="Z79" s="3"/>
      <c r="AH79" s="3"/>
      <c r="AI79" s="3"/>
    </row>
    <row r="80" spans="1:35" hidden="1" x14ac:dyDescent="0.25">
      <c r="A80" s="4" t="s">
        <v>9</v>
      </c>
      <c r="B80" s="4" t="s">
        <v>21</v>
      </c>
      <c r="C80" s="4" t="s">
        <v>22</v>
      </c>
      <c r="Z80" s="3"/>
      <c r="AH80" s="3"/>
      <c r="AI80" s="3"/>
    </row>
    <row r="81" spans="1:35" hidden="1" x14ac:dyDescent="0.25">
      <c r="A81" s="4" t="s">
        <v>9</v>
      </c>
      <c r="B81" s="4" t="s">
        <v>132</v>
      </c>
      <c r="C81" s="4" t="s">
        <v>133</v>
      </c>
      <c r="Z81" s="3"/>
      <c r="AH81" s="3"/>
      <c r="AI81" s="3"/>
    </row>
    <row r="82" spans="1:35" hidden="1" x14ac:dyDescent="0.25">
      <c r="A82" s="4" t="s">
        <v>9</v>
      </c>
      <c r="B82" s="4" t="s">
        <v>23</v>
      </c>
      <c r="C82" s="4" t="s">
        <v>24</v>
      </c>
    </row>
    <row r="83" spans="1:35" hidden="1" x14ac:dyDescent="0.25">
      <c r="A83" s="4" t="s">
        <v>9</v>
      </c>
      <c r="B83" s="4" t="s">
        <v>91</v>
      </c>
      <c r="C83" s="4" t="s">
        <v>92</v>
      </c>
    </row>
    <row r="84" spans="1:35" hidden="1" x14ac:dyDescent="0.25">
      <c r="A84" s="4" t="s">
        <v>9</v>
      </c>
      <c r="B84" s="4" t="s">
        <v>93</v>
      </c>
      <c r="C84" s="4" t="s">
        <v>94</v>
      </c>
    </row>
    <row r="85" spans="1:35" hidden="1" x14ac:dyDescent="0.25">
      <c r="A85" s="4" t="s">
        <v>9</v>
      </c>
      <c r="B85" s="4" t="s">
        <v>164</v>
      </c>
      <c r="C85" s="4" t="s">
        <v>163</v>
      </c>
    </row>
    <row r="86" spans="1:35" hidden="1" x14ac:dyDescent="0.25">
      <c r="A86" s="10" t="s">
        <v>9</v>
      </c>
      <c r="B86" s="10" t="s">
        <v>166</v>
      </c>
      <c r="C86" s="10" t="s">
        <v>165</v>
      </c>
    </row>
    <row r="87" spans="1:35" hidden="1" x14ac:dyDescent="0.25">
      <c r="A87" s="10" t="s">
        <v>9</v>
      </c>
      <c r="B87" s="10" t="s">
        <v>168</v>
      </c>
      <c r="C87" s="10" t="s">
        <v>167</v>
      </c>
    </row>
    <row r="88" spans="1:35" hidden="1" x14ac:dyDescent="0.25">
      <c r="A88" s="4" t="s">
        <v>9</v>
      </c>
      <c r="B88" s="4" t="s">
        <v>293</v>
      </c>
      <c r="C88" s="4" t="s">
        <v>294</v>
      </c>
    </row>
    <row r="89" spans="1:35" hidden="1" x14ac:dyDescent="0.25">
      <c r="A89" s="4" t="s">
        <v>9</v>
      </c>
      <c r="B89" s="4" t="s">
        <v>248</v>
      </c>
      <c r="C89" s="4" t="s">
        <v>249</v>
      </c>
    </row>
    <row r="90" spans="1:35" hidden="1" x14ac:dyDescent="0.25">
      <c r="A90" s="10" t="s">
        <v>9</v>
      </c>
      <c r="B90" s="10" t="s">
        <v>155</v>
      </c>
      <c r="C90" s="10" t="s">
        <v>156</v>
      </c>
    </row>
    <row r="91" spans="1:35" hidden="1" x14ac:dyDescent="0.25">
      <c r="A91" s="4" t="s">
        <v>27</v>
      </c>
      <c r="B91" s="4" t="s">
        <v>95</v>
      </c>
      <c r="C91" s="4" t="s">
        <v>96</v>
      </c>
    </row>
    <row r="92" spans="1:35" hidden="1" x14ac:dyDescent="0.25">
      <c r="A92" s="4" t="s">
        <v>27</v>
      </c>
      <c r="B92" s="4" t="s">
        <v>97</v>
      </c>
      <c r="C92" s="4" t="s">
        <v>98</v>
      </c>
    </row>
    <row r="93" spans="1:35" hidden="1" x14ac:dyDescent="0.25">
      <c r="A93" s="4" t="s">
        <v>27</v>
      </c>
      <c r="B93" s="4" t="s">
        <v>99</v>
      </c>
      <c r="C93" s="4" t="s">
        <v>100</v>
      </c>
    </row>
    <row r="94" spans="1:35" hidden="1" x14ac:dyDescent="0.25">
      <c r="A94" s="4" t="s">
        <v>27</v>
      </c>
      <c r="B94" s="4" t="s">
        <v>101</v>
      </c>
      <c r="C94" s="4" t="s">
        <v>102</v>
      </c>
    </row>
    <row r="95" spans="1:35" hidden="1" x14ac:dyDescent="0.25">
      <c r="A95" s="4" t="s">
        <v>27</v>
      </c>
      <c r="B95" s="4" t="s">
        <v>103</v>
      </c>
      <c r="C95" s="4" t="s">
        <v>104</v>
      </c>
    </row>
    <row r="96" spans="1:35" hidden="1" x14ac:dyDescent="0.25">
      <c r="A96" s="4" t="s">
        <v>27</v>
      </c>
      <c r="B96" s="4" t="s">
        <v>105</v>
      </c>
      <c r="C96" s="4" t="s">
        <v>106</v>
      </c>
    </row>
    <row r="97" spans="1:3" hidden="1" x14ac:dyDescent="0.25">
      <c r="A97" s="4" t="s">
        <v>27</v>
      </c>
      <c r="B97" s="4" t="s">
        <v>28</v>
      </c>
      <c r="C97" s="4" t="s">
        <v>29</v>
      </c>
    </row>
    <row r="98" spans="1:3" hidden="1" x14ac:dyDescent="0.25">
      <c r="A98" s="4" t="s">
        <v>107</v>
      </c>
      <c r="B98" s="4" t="s">
        <v>108</v>
      </c>
      <c r="C98" s="4" t="s">
        <v>109</v>
      </c>
    </row>
    <row r="99" spans="1:3" hidden="1" x14ac:dyDescent="0.25">
      <c r="A99" s="4" t="s">
        <v>107</v>
      </c>
      <c r="B99" s="4" t="s">
        <v>110</v>
      </c>
      <c r="C99" s="4" t="s">
        <v>111</v>
      </c>
    </row>
    <row r="100" spans="1:3" hidden="1" x14ac:dyDescent="0.25">
      <c r="A100" s="10" t="s">
        <v>107</v>
      </c>
      <c r="B100" s="10" t="s">
        <v>112</v>
      </c>
      <c r="C100" s="10" t="s">
        <v>113</v>
      </c>
    </row>
    <row r="101" spans="1:3" hidden="1" x14ac:dyDescent="0.25">
      <c r="A101" s="4" t="s">
        <v>107</v>
      </c>
      <c r="B101" s="4" t="s">
        <v>250</v>
      </c>
      <c r="C101" s="4" t="s">
        <v>251</v>
      </c>
    </row>
    <row r="102" spans="1:3" hidden="1" x14ac:dyDescent="0.25">
      <c r="A102" s="4" t="s">
        <v>107</v>
      </c>
      <c r="B102" s="4" t="s">
        <v>252</v>
      </c>
      <c r="C102" s="4" t="s">
        <v>253</v>
      </c>
    </row>
    <row r="103" spans="1:3" hidden="1" x14ac:dyDescent="0.25">
      <c r="A103" s="4" t="s">
        <v>107</v>
      </c>
      <c r="B103" s="4" t="s">
        <v>254</v>
      </c>
      <c r="C103" s="4" t="s">
        <v>255</v>
      </c>
    </row>
    <row r="104" spans="1:3" hidden="1" x14ac:dyDescent="0.25">
      <c r="A104" s="4" t="s">
        <v>107</v>
      </c>
      <c r="B104" s="4" t="s">
        <v>256</v>
      </c>
      <c r="C104" s="4" t="s">
        <v>257</v>
      </c>
    </row>
    <row r="105" spans="1:3" hidden="1" x14ac:dyDescent="0.25">
      <c r="A105" s="4" t="s">
        <v>33</v>
      </c>
      <c r="B105" s="4" t="s">
        <v>34</v>
      </c>
      <c r="C105" s="4" t="s">
        <v>35</v>
      </c>
    </row>
    <row r="106" spans="1:3" hidden="1" x14ac:dyDescent="0.25">
      <c r="A106" s="4" t="s">
        <v>258</v>
      </c>
      <c r="B106" s="4" t="s">
        <v>259</v>
      </c>
      <c r="C106" s="4" t="s">
        <v>260</v>
      </c>
    </row>
    <row r="107" spans="1:3" hidden="1" x14ac:dyDescent="0.25">
      <c r="A107" s="4" t="s">
        <v>258</v>
      </c>
      <c r="B107" s="4" t="s">
        <v>261</v>
      </c>
      <c r="C107" s="4" t="s">
        <v>262</v>
      </c>
    </row>
    <row r="108" spans="1:3" hidden="1" x14ac:dyDescent="0.25">
      <c r="A108" s="4" t="s">
        <v>41</v>
      </c>
      <c r="B108" s="4" t="s">
        <v>42</v>
      </c>
      <c r="C108" s="4" t="s">
        <v>43</v>
      </c>
    </row>
    <row r="109" spans="1:3" hidden="1" x14ac:dyDescent="0.25">
      <c r="A109" s="4" t="s">
        <v>263</v>
      </c>
      <c r="B109" s="4" t="s">
        <v>264</v>
      </c>
      <c r="C109" s="4" t="s">
        <v>265</v>
      </c>
    </row>
    <row r="110" spans="1:3" hidden="1" x14ac:dyDescent="0.25">
      <c r="A110" s="4" t="s">
        <v>263</v>
      </c>
      <c r="B110" s="4" t="s">
        <v>266</v>
      </c>
      <c r="C110" s="4" t="s">
        <v>267</v>
      </c>
    </row>
    <row r="111" spans="1:3" hidden="1" x14ac:dyDescent="0.25">
      <c r="A111" s="4" t="s">
        <v>114</v>
      </c>
      <c r="B111" s="4" t="s">
        <v>115</v>
      </c>
      <c r="C111" s="4" t="s">
        <v>116</v>
      </c>
    </row>
    <row r="112" spans="1:3" hidden="1" x14ac:dyDescent="0.25">
      <c r="A112" s="4" t="s">
        <v>44</v>
      </c>
      <c r="B112" s="4" t="s">
        <v>45</v>
      </c>
      <c r="C112" s="4" t="s">
        <v>46</v>
      </c>
    </row>
    <row r="113" spans="1:3" hidden="1" x14ac:dyDescent="0.25">
      <c r="A113" s="10" t="s">
        <v>268</v>
      </c>
      <c r="B113" s="10" t="s">
        <v>269</v>
      </c>
      <c r="C113" s="10" t="s">
        <v>270</v>
      </c>
    </row>
    <row r="114" spans="1:3" hidden="1" x14ac:dyDescent="0.25">
      <c r="A114" s="10" t="s">
        <v>117</v>
      </c>
      <c r="B114" s="10" t="s">
        <v>118</v>
      </c>
      <c r="C114" s="10" t="s">
        <v>119</v>
      </c>
    </row>
    <row r="115" spans="1:3" hidden="1" x14ac:dyDescent="0.25">
      <c r="A115" s="4" t="s">
        <v>120</v>
      </c>
      <c r="B115" s="4" t="s">
        <v>271</v>
      </c>
      <c r="C115" s="4" t="s">
        <v>272</v>
      </c>
    </row>
    <row r="116" spans="1:3" hidden="1" x14ac:dyDescent="0.25">
      <c r="A116" s="4" t="s">
        <v>120</v>
      </c>
      <c r="B116" s="4" t="s">
        <v>273</v>
      </c>
      <c r="C116" s="4" t="s">
        <v>274</v>
      </c>
    </row>
    <row r="117" spans="1:3" hidden="1" x14ac:dyDescent="0.25">
      <c r="A117" s="4" t="s">
        <v>120</v>
      </c>
      <c r="B117" s="4" t="s">
        <v>121</v>
      </c>
      <c r="C117" s="4" t="s">
        <v>122</v>
      </c>
    </row>
    <row r="118" spans="1:3" hidden="1" x14ac:dyDescent="0.25">
      <c r="A118" s="4" t="s">
        <v>120</v>
      </c>
      <c r="B118" s="4" t="s">
        <v>275</v>
      </c>
      <c r="C118" s="4" t="s">
        <v>276</v>
      </c>
    </row>
    <row r="119" spans="1:3" hidden="1" x14ac:dyDescent="0.25">
      <c r="A119" s="4" t="s">
        <v>120</v>
      </c>
      <c r="B119" s="4" t="s">
        <v>198</v>
      </c>
      <c r="C119" s="4" t="s">
        <v>199</v>
      </c>
    </row>
    <row r="120" spans="1:3" hidden="1" x14ac:dyDescent="0.25">
      <c r="A120" s="4" t="s">
        <v>120</v>
      </c>
      <c r="B120" s="4" t="s">
        <v>277</v>
      </c>
      <c r="C120" s="4" t="s">
        <v>278</v>
      </c>
    </row>
    <row r="121" spans="1:3" hidden="1" x14ac:dyDescent="0.25">
      <c r="A121" s="10" t="s">
        <v>120</v>
      </c>
      <c r="B121" s="10" t="s">
        <v>123</v>
      </c>
      <c r="C121" s="10" t="s">
        <v>124</v>
      </c>
    </row>
    <row r="122" spans="1:3" hidden="1" x14ac:dyDescent="0.25">
      <c r="A122" s="10" t="s">
        <v>120</v>
      </c>
      <c r="B122" s="10" t="s">
        <v>125</v>
      </c>
      <c r="C122" s="10" t="s">
        <v>126</v>
      </c>
    </row>
    <row r="123" spans="1:3" hidden="1" x14ac:dyDescent="0.25">
      <c r="A123" s="4" t="s">
        <v>279</v>
      </c>
      <c r="B123" s="4" t="s">
        <v>280</v>
      </c>
      <c r="C123" s="4" t="s">
        <v>281</v>
      </c>
    </row>
    <row r="124" spans="1:3" hidden="1" x14ac:dyDescent="0.25">
      <c r="A124" s="4" t="s">
        <v>282</v>
      </c>
      <c r="B124" s="4" t="s">
        <v>283</v>
      </c>
      <c r="C124" s="4" t="s">
        <v>284</v>
      </c>
    </row>
    <row r="125" spans="1:3" hidden="1" x14ac:dyDescent="0.25">
      <c r="A125" s="4" t="s">
        <v>285</v>
      </c>
      <c r="B125" s="4" t="s">
        <v>286</v>
      </c>
      <c r="C125" s="4" t="s">
        <v>287</v>
      </c>
    </row>
    <row r="126" spans="1:3" hidden="1" x14ac:dyDescent="0.25">
      <c r="A126" s="4" t="s">
        <v>14</v>
      </c>
      <c r="B126" s="4" t="s">
        <v>15</v>
      </c>
      <c r="C126" s="4" t="s">
        <v>16</v>
      </c>
    </row>
    <row r="127" spans="1:3" hidden="1" x14ac:dyDescent="0.25">
      <c r="A127" s="4" t="s">
        <v>14</v>
      </c>
      <c r="B127" s="4" t="s">
        <v>17</v>
      </c>
      <c r="C127" s="4" t="s">
        <v>18</v>
      </c>
    </row>
    <row r="128" spans="1:3" hidden="1" x14ac:dyDescent="0.25">
      <c r="A128" s="4" t="s">
        <v>14</v>
      </c>
      <c r="B128" s="4" t="s">
        <v>201</v>
      </c>
      <c r="C128" s="4" t="s">
        <v>202</v>
      </c>
    </row>
    <row r="129" spans="1:5" hidden="1" x14ac:dyDescent="0.25">
      <c r="A129" s="4" t="s">
        <v>14</v>
      </c>
      <c r="B129" s="4" t="s">
        <v>203</v>
      </c>
      <c r="C129" s="4" t="s">
        <v>204</v>
      </c>
    </row>
    <row r="130" spans="1:5" hidden="1" x14ac:dyDescent="0.25">
      <c r="A130" s="4" t="s">
        <v>36</v>
      </c>
      <c r="B130" s="4" t="s">
        <v>37</v>
      </c>
      <c r="C130" s="4" t="s">
        <v>38</v>
      </c>
    </row>
    <row r="131" spans="1:5" x14ac:dyDescent="0.25">
      <c r="A131" s="11" t="s">
        <v>307</v>
      </c>
      <c r="B131" s="11" t="s">
        <v>306</v>
      </c>
      <c r="C131" s="11" t="s">
        <v>308</v>
      </c>
      <c r="D131" s="5">
        <v>1</v>
      </c>
    </row>
    <row r="132" spans="1:5" x14ac:dyDescent="0.25">
      <c r="E132" t="s">
        <v>316</v>
      </c>
    </row>
  </sheetData>
  <autoFilter ref="A1:D131">
    <filterColumn colId="3">
      <customFilters>
        <customFilter operator="notEqual" val=" "/>
      </customFilters>
    </filterColumn>
  </autoFilter>
  <hyperlinks>
    <hyperlink ref="J1" r:id="rId1"/>
    <hyperlink ref="J5" r:id="rId2"/>
    <hyperlink ref="O1" r:id="rId3"/>
    <hyperlink ref="T1" r:id="rId4"/>
  </hyperlinks>
  <pageMargins left="0.25" right="0.25" top="0.75" bottom="0.75" header="0.3" footer="0.3"/>
  <pageSetup paperSize="8" scale="53" orientation="portrait" r:id="rId5"/>
  <drawing r:id="rId6"/>
  <legacyDrawing r:id="rId7"/>
  <controls>
    <mc:AlternateContent xmlns:mc="http://schemas.openxmlformats.org/markup-compatibility/2006">
      <mc:Choice Requires="x14">
        <control shapeId="5122" r:id="rId8" name="CommandButton2">
          <controlPr autoLine="0" r:id="rId9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122" r:id="rId8" name="CommandButton2"/>
      </mc:Fallback>
    </mc:AlternateContent>
    <mc:AlternateContent xmlns:mc="http://schemas.openxmlformats.org/markup-compatibility/2006">
      <mc:Choice Requires="x14">
        <control shapeId="5121" r:id="rId10" name="CommandButton1">
          <controlPr autoLine="0" r:id="rId11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121" r:id="rId10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 filterMode="1">
    <pageSetUpPr fitToPage="1"/>
  </sheetPr>
  <dimension ref="A1:AI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11.42578125" style="5" customWidth="1"/>
    <col min="6" max="6" width="32.85546875" customWidth="1"/>
  </cols>
  <sheetData>
    <row r="1" spans="1:15" ht="54" customHeight="1" x14ac:dyDescent="0.25">
      <c r="J1" s="6" t="s">
        <v>288</v>
      </c>
      <c r="O1" s="6" t="s">
        <v>295</v>
      </c>
    </row>
    <row r="2" spans="1:15" ht="18" customHeight="1" x14ac:dyDescent="0.25">
      <c r="A2" s="11" t="s">
        <v>307</v>
      </c>
      <c r="B2" s="11" t="s">
        <v>306</v>
      </c>
      <c r="C2" s="11" t="s">
        <v>308</v>
      </c>
      <c r="D2" s="5">
        <v>3</v>
      </c>
      <c r="F2" s="11" t="s">
        <v>317</v>
      </c>
      <c r="G2" s="11" t="s">
        <v>320</v>
      </c>
      <c r="J2" s="6"/>
    </row>
    <row r="3" spans="1:15" hidden="1" x14ac:dyDescent="0.25">
      <c r="A3" s="4" t="s">
        <v>47</v>
      </c>
      <c r="B3" s="4" t="s">
        <v>205</v>
      </c>
      <c r="C3" s="4" t="s">
        <v>206</v>
      </c>
    </row>
    <row r="4" spans="1:15" hidden="1" x14ac:dyDescent="0.25">
      <c r="A4" s="4" t="s">
        <v>47</v>
      </c>
      <c r="B4" s="4" t="s">
        <v>207</v>
      </c>
      <c r="C4" s="4" t="s">
        <v>208</v>
      </c>
      <c r="J4" s="6"/>
    </row>
    <row r="5" spans="1:15" hidden="1" x14ac:dyDescent="0.25">
      <c r="A5" s="4" t="s">
        <v>47</v>
      </c>
      <c r="B5" s="4" t="s">
        <v>209</v>
      </c>
      <c r="C5" s="4" t="s">
        <v>210</v>
      </c>
    </row>
    <row r="6" spans="1:15" hidden="1" x14ac:dyDescent="0.25">
      <c r="A6" s="4" t="s">
        <v>47</v>
      </c>
      <c r="B6" s="4" t="s">
        <v>211</v>
      </c>
      <c r="C6" s="4" t="s">
        <v>212</v>
      </c>
    </row>
    <row r="7" spans="1:15" hidden="1" x14ac:dyDescent="0.25">
      <c r="A7" s="4" t="s">
        <v>47</v>
      </c>
      <c r="B7" s="4" t="s">
        <v>48</v>
      </c>
      <c r="C7" s="4" t="s">
        <v>49</v>
      </c>
    </row>
    <row r="8" spans="1:15" hidden="1" x14ac:dyDescent="0.25">
      <c r="A8" s="4" t="s">
        <v>47</v>
      </c>
      <c r="B8" s="4" t="s">
        <v>50</v>
      </c>
      <c r="C8" s="4" t="s">
        <v>51</v>
      </c>
    </row>
    <row r="9" spans="1:15" hidden="1" x14ac:dyDescent="0.25">
      <c r="A9" s="4" t="s">
        <v>52</v>
      </c>
      <c r="B9" s="4" t="s">
        <v>213</v>
      </c>
      <c r="C9" s="4" t="s">
        <v>214</v>
      </c>
    </row>
    <row r="10" spans="1:15" x14ac:dyDescent="0.25">
      <c r="A10" s="10" t="s">
        <v>52</v>
      </c>
      <c r="B10" s="10" t="s">
        <v>53</v>
      </c>
      <c r="C10" s="10" t="s">
        <v>54</v>
      </c>
      <c r="D10" s="5">
        <v>3</v>
      </c>
      <c r="F10" s="10" t="s">
        <v>318</v>
      </c>
      <c r="G10" s="10" t="s">
        <v>321</v>
      </c>
    </row>
    <row r="11" spans="1:15" hidden="1" x14ac:dyDescent="0.25">
      <c r="A11" s="4" t="s">
        <v>55</v>
      </c>
      <c r="B11" s="4" t="s">
        <v>56</v>
      </c>
      <c r="C11" s="4" t="s">
        <v>57</v>
      </c>
    </row>
    <row r="12" spans="1:15" hidden="1" x14ac:dyDescent="0.25">
      <c r="A12" s="10" t="s">
        <v>169</v>
      </c>
      <c r="B12" s="10" t="s">
        <v>215</v>
      </c>
      <c r="C12" s="10" t="s">
        <v>216</v>
      </c>
    </row>
    <row r="13" spans="1:15" hidden="1" x14ac:dyDescent="0.25">
      <c r="A13" s="10" t="s">
        <v>169</v>
      </c>
      <c r="B13" s="10" t="s">
        <v>170</v>
      </c>
      <c r="C13" s="10" t="s">
        <v>171</v>
      </c>
    </row>
    <row r="14" spans="1:15" hidden="1" x14ac:dyDescent="0.25">
      <c r="A14" s="10" t="s">
        <v>169</v>
      </c>
      <c r="B14" s="10" t="s">
        <v>172</v>
      </c>
      <c r="C14" s="10" t="s">
        <v>173</v>
      </c>
    </row>
    <row r="15" spans="1:15" hidden="1" x14ac:dyDescent="0.25">
      <c r="A15" s="4" t="s">
        <v>30</v>
      </c>
      <c r="B15" s="4" t="s">
        <v>58</v>
      </c>
      <c r="C15" s="4" t="s">
        <v>59</v>
      </c>
    </row>
    <row r="16" spans="1:15" hidden="1" x14ac:dyDescent="0.25">
      <c r="A16" s="4" t="s">
        <v>30</v>
      </c>
      <c r="B16" s="4" t="s">
        <v>60</v>
      </c>
      <c r="C16" s="4" t="s">
        <v>61</v>
      </c>
    </row>
    <row r="17" spans="1:3" hidden="1" x14ac:dyDescent="0.25">
      <c r="A17" s="4" t="s">
        <v>30</v>
      </c>
      <c r="B17" s="4" t="s">
        <v>62</v>
      </c>
      <c r="C17" s="4" t="s">
        <v>63</v>
      </c>
    </row>
    <row r="18" spans="1:3" hidden="1" x14ac:dyDescent="0.25">
      <c r="A18" s="4" t="s">
        <v>30</v>
      </c>
      <c r="B18" s="4" t="s">
        <v>31</v>
      </c>
      <c r="C18" s="4" t="s">
        <v>32</v>
      </c>
    </row>
    <row r="19" spans="1:3" hidden="1" x14ac:dyDescent="0.25">
      <c r="A19" s="4" t="s">
        <v>30</v>
      </c>
      <c r="B19" s="4" t="s">
        <v>39</v>
      </c>
      <c r="C19" s="4" t="s">
        <v>40</v>
      </c>
    </row>
    <row r="20" spans="1:3" hidden="1" x14ac:dyDescent="0.25">
      <c r="A20" s="4" t="s">
        <v>30</v>
      </c>
      <c r="B20" s="4" t="s">
        <v>217</v>
      </c>
      <c r="C20" s="4" t="s">
        <v>218</v>
      </c>
    </row>
    <row r="21" spans="1:3" hidden="1" x14ac:dyDescent="0.25">
      <c r="A21" s="4" t="s">
        <v>30</v>
      </c>
      <c r="B21" s="4" t="s">
        <v>219</v>
      </c>
      <c r="C21" s="4" t="s">
        <v>220</v>
      </c>
    </row>
    <row r="22" spans="1:3" hidden="1" x14ac:dyDescent="0.25">
      <c r="A22" s="4" t="s">
        <v>200</v>
      </c>
      <c r="B22" s="4" t="s">
        <v>221</v>
      </c>
      <c r="C22" s="4" t="s">
        <v>222</v>
      </c>
    </row>
    <row r="23" spans="1:3" hidden="1" x14ac:dyDescent="0.25">
      <c r="A23" s="4" t="s">
        <v>223</v>
      </c>
      <c r="B23" s="4" t="s">
        <v>224</v>
      </c>
      <c r="C23" s="4" t="s">
        <v>225</v>
      </c>
    </row>
    <row r="24" spans="1:3" hidden="1" x14ac:dyDescent="0.25">
      <c r="A24" s="4" t="s">
        <v>0</v>
      </c>
      <c r="B24" s="4" t="s">
        <v>134</v>
      </c>
      <c r="C24" s="4" t="s">
        <v>135</v>
      </c>
    </row>
    <row r="25" spans="1:3" hidden="1" x14ac:dyDescent="0.25">
      <c r="A25" s="4" t="s">
        <v>0</v>
      </c>
      <c r="B25" s="4" t="s">
        <v>1</v>
      </c>
      <c r="C25" s="4" t="s">
        <v>2</v>
      </c>
    </row>
    <row r="26" spans="1:3" hidden="1" x14ac:dyDescent="0.25">
      <c r="A26" s="4" t="s">
        <v>0</v>
      </c>
      <c r="B26" s="4" t="s">
        <v>174</v>
      </c>
      <c r="C26" s="4" t="s">
        <v>175</v>
      </c>
    </row>
    <row r="27" spans="1:3" hidden="1" x14ac:dyDescent="0.25">
      <c r="A27" s="4" t="s">
        <v>0</v>
      </c>
      <c r="B27" s="4" t="s">
        <v>176</v>
      </c>
      <c r="C27" s="4" t="s">
        <v>177</v>
      </c>
    </row>
    <row r="28" spans="1:3" hidden="1" x14ac:dyDescent="0.25">
      <c r="A28" s="4" t="s">
        <v>0</v>
      </c>
      <c r="B28" s="4" t="s">
        <v>226</v>
      </c>
      <c r="C28" s="4" t="s">
        <v>227</v>
      </c>
    </row>
    <row r="29" spans="1:3" hidden="1" x14ac:dyDescent="0.25">
      <c r="A29" s="4" t="s">
        <v>3</v>
      </c>
      <c r="B29" s="4" t="s">
        <v>228</v>
      </c>
      <c r="C29" s="4" t="s">
        <v>229</v>
      </c>
    </row>
    <row r="30" spans="1:3" hidden="1" x14ac:dyDescent="0.25">
      <c r="A30" s="4" t="s">
        <v>3</v>
      </c>
      <c r="B30" s="4" t="s">
        <v>178</v>
      </c>
      <c r="C30" s="4" t="s">
        <v>179</v>
      </c>
    </row>
    <row r="31" spans="1:3" hidden="1" x14ac:dyDescent="0.25">
      <c r="A31" s="4" t="s">
        <v>3</v>
      </c>
      <c r="B31" s="4" t="s">
        <v>289</v>
      </c>
      <c r="C31" s="4" t="s">
        <v>290</v>
      </c>
    </row>
    <row r="32" spans="1:3" hidden="1" x14ac:dyDescent="0.25">
      <c r="A32" s="4" t="s">
        <v>3</v>
      </c>
      <c r="B32" s="4" t="s">
        <v>64</v>
      </c>
      <c r="C32" s="4" t="s">
        <v>65</v>
      </c>
    </row>
    <row r="33" spans="1:3" hidden="1" x14ac:dyDescent="0.25">
      <c r="A33" s="4" t="s">
        <v>3</v>
      </c>
      <c r="B33" s="4" t="s">
        <v>180</v>
      </c>
      <c r="C33" s="4" t="s">
        <v>181</v>
      </c>
    </row>
    <row r="34" spans="1:3" hidden="1" x14ac:dyDescent="0.25">
      <c r="A34" s="4" t="s">
        <v>3</v>
      </c>
      <c r="B34" s="4" t="s">
        <v>230</v>
      </c>
      <c r="C34" s="4" t="s">
        <v>231</v>
      </c>
    </row>
    <row r="35" spans="1:3" hidden="1" x14ac:dyDescent="0.25">
      <c r="A35" s="4" t="s">
        <v>66</v>
      </c>
      <c r="B35" s="4" t="s">
        <v>232</v>
      </c>
      <c r="C35" s="4" t="s">
        <v>233</v>
      </c>
    </row>
    <row r="36" spans="1:3" hidden="1" x14ac:dyDescent="0.25">
      <c r="A36" s="4" t="s">
        <v>66</v>
      </c>
      <c r="B36" s="4" t="s">
        <v>234</v>
      </c>
      <c r="C36" s="4" t="s">
        <v>235</v>
      </c>
    </row>
    <row r="37" spans="1:3" hidden="1" x14ac:dyDescent="0.25">
      <c r="A37" s="4" t="s">
        <v>66</v>
      </c>
      <c r="B37" s="4" t="s">
        <v>67</v>
      </c>
      <c r="C37" s="4" t="s">
        <v>68</v>
      </c>
    </row>
    <row r="38" spans="1:3" hidden="1" x14ac:dyDescent="0.25">
      <c r="A38" s="4" t="s">
        <v>66</v>
      </c>
      <c r="B38" s="4" t="s">
        <v>236</v>
      </c>
      <c r="C38" s="4" t="s">
        <v>237</v>
      </c>
    </row>
    <row r="39" spans="1:3" hidden="1" x14ac:dyDescent="0.25">
      <c r="A39" s="4" t="s">
        <v>66</v>
      </c>
      <c r="B39" s="4" t="s">
        <v>238</v>
      </c>
      <c r="C39" s="4" t="s">
        <v>239</v>
      </c>
    </row>
    <row r="40" spans="1:3" hidden="1" x14ac:dyDescent="0.25">
      <c r="A40" s="4" t="s">
        <v>66</v>
      </c>
      <c r="B40" s="4" t="s">
        <v>182</v>
      </c>
      <c r="C40" s="4" t="s">
        <v>183</v>
      </c>
    </row>
    <row r="41" spans="1:3" hidden="1" x14ac:dyDescent="0.25">
      <c r="A41" s="4" t="s">
        <v>66</v>
      </c>
      <c r="B41" s="4" t="s">
        <v>69</v>
      </c>
      <c r="C41" s="4" t="s">
        <v>70</v>
      </c>
    </row>
    <row r="42" spans="1:3" hidden="1" x14ac:dyDescent="0.25">
      <c r="A42" s="4" t="s">
        <v>66</v>
      </c>
      <c r="B42" s="4" t="s">
        <v>240</v>
      </c>
      <c r="C42" s="4" t="s">
        <v>241</v>
      </c>
    </row>
    <row r="43" spans="1:3" hidden="1" x14ac:dyDescent="0.25">
      <c r="A43" s="4" t="s">
        <v>66</v>
      </c>
      <c r="B43" s="4" t="s">
        <v>242</v>
      </c>
      <c r="C43" s="4" t="s">
        <v>243</v>
      </c>
    </row>
    <row r="44" spans="1:3" hidden="1" x14ac:dyDescent="0.25">
      <c r="A44" s="4" t="s">
        <v>66</v>
      </c>
      <c r="B44" s="4" t="s">
        <v>71</v>
      </c>
      <c r="C44" s="4" t="s">
        <v>72</v>
      </c>
    </row>
    <row r="45" spans="1:3" hidden="1" x14ac:dyDescent="0.25">
      <c r="A45" s="4" t="s">
        <v>66</v>
      </c>
      <c r="B45" s="4" t="s">
        <v>73</v>
      </c>
      <c r="C45" s="4" t="s">
        <v>74</v>
      </c>
    </row>
    <row r="46" spans="1:3" hidden="1" x14ac:dyDescent="0.25">
      <c r="A46" s="4" t="s">
        <v>4</v>
      </c>
      <c r="B46" s="4" t="s">
        <v>75</v>
      </c>
      <c r="C46" s="4" t="s">
        <v>76</v>
      </c>
    </row>
    <row r="47" spans="1:3" hidden="1" x14ac:dyDescent="0.25">
      <c r="A47" s="4" t="s">
        <v>4</v>
      </c>
      <c r="B47" s="4" t="s">
        <v>77</v>
      </c>
      <c r="C47" s="4" t="s">
        <v>78</v>
      </c>
    </row>
    <row r="48" spans="1:3" hidden="1" x14ac:dyDescent="0.25">
      <c r="A48" s="4" t="s">
        <v>4</v>
      </c>
      <c r="B48" s="4" t="s">
        <v>79</v>
      </c>
      <c r="C48" s="4" t="s">
        <v>80</v>
      </c>
    </row>
    <row r="49" spans="1:3" hidden="1" x14ac:dyDescent="0.25">
      <c r="A49" s="4" t="s">
        <v>4</v>
      </c>
      <c r="B49" s="4" t="s">
        <v>136</v>
      </c>
      <c r="C49" s="4" t="s">
        <v>137</v>
      </c>
    </row>
    <row r="50" spans="1:3" hidden="1" x14ac:dyDescent="0.25">
      <c r="A50" s="4" t="s">
        <v>4</v>
      </c>
      <c r="B50" s="4" t="s">
        <v>81</v>
      </c>
      <c r="C50" s="4" t="s">
        <v>82</v>
      </c>
    </row>
    <row r="51" spans="1:3" hidden="1" x14ac:dyDescent="0.25">
      <c r="A51" s="4" t="s">
        <v>4</v>
      </c>
      <c r="B51" s="4" t="s">
        <v>83</v>
      </c>
      <c r="C51" s="4" t="s">
        <v>84</v>
      </c>
    </row>
    <row r="52" spans="1:3" hidden="1" x14ac:dyDescent="0.25">
      <c r="A52" s="4" t="s">
        <v>4</v>
      </c>
      <c r="B52" s="4" t="s">
        <v>5</v>
      </c>
      <c r="C52" s="4" t="s">
        <v>6</v>
      </c>
    </row>
    <row r="53" spans="1:3" hidden="1" x14ac:dyDescent="0.25">
      <c r="A53" s="4" t="s">
        <v>4</v>
      </c>
      <c r="B53" s="4" t="s">
        <v>127</v>
      </c>
      <c r="C53" s="4" t="s">
        <v>128</v>
      </c>
    </row>
    <row r="54" spans="1:3" hidden="1" x14ac:dyDescent="0.25">
      <c r="A54" s="4" t="s">
        <v>4</v>
      </c>
      <c r="B54" s="4" t="s">
        <v>85</v>
      </c>
      <c r="C54" s="4" t="s">
        <v>86</v>
      </c>
    </row>
    <row r="55" spans="1:3" hidden="1" x14ac:dyDescent="0.25">
      <c r="A55" s="4" t="s">
        <v>4</v>
      </c>
      <c r="B55" s="4" t="s">
        <v>184</v>
      </c>
      <c r="C55" s="4" t="s">
        <v>185</v>
      </c>
    </row>
    <row r="56" spans="1:3" hidden="1" x14ac:dyDescent="0.25">
      <c r="A56" s="4" t="s">
        <v>4</v>
      </c>
      <c r="B56" s="4" t="s">
        <v>186</v>
      </c>
      <c r="C56" s="4" t="s">
        <v>187</v>
      </c>
    </row>
    <row r="57" spans="1:3" hidden="1" x14ac:dyDescent="0.25">
      <c r="A57" s="10" t="s">
        <v>4</v>
      </c>
      <c r="B57" s="10" t="s">
        <v>188</v>
      </c>
      <c r="C57" s="10" t="s">
        <v>189</v>
      </c>
    </row>
    <row r="58" spans="1:3" hidden="1" x14ac:dyDescent="0.25">
      <c r="A58" s="4" t="s">
        <v>4</v>
      </c>
      <c r="B58" s="4" t="s">
        <v>190</v>
      </c>
      <c r="C58" s="4" t="s">
        <v>191</v>
      </c>
    </row>
    <row r="59" spans="1:3" hidden="1" x14ac:dyDescent="0.25">
      <c r="A59" s="4" t="s">
        <v>4</v>
      </c>
      <c r="B59" s="4" t="s">
        <v>192</v>
      </c>
      <c r="C59" s="4" t="s">
        <v>193</v>
      </c>
    </row>
    <row r="60" spans="1:3" hidden="1" x14ac:dyDescent="0.25">
      <c r="A60" s="4" t="s">
        <v>4</v>
      </c>
      <c r="B60" s="4" t="s">
        <v>194</v>
      </c>
      <c r="C60" s="4" t="s">
        <v>195</v>
      </c>
    </row>
    <row r="61" spans="1:3" hidden="1" x14ac:dyDescent="0.25">
      <c r="A61" s="4" t="s">
        <v>4</v>
      </c>
      <c r="B61" s="4" t="s">
        <v>291</v>
      </c>
      <c r="C61" s="4" t="s">
        <v>292</v>
      </c>
    </row>
    <row r="62" spans="1:3" hidden="1" x14ac:dyDescent="0.25">
      <c r="A62" s="4" t="s">
        <v>4</v>
      </c>
      <c r="B62" s="4" t="s">
        <v>244</v>
      </c>
      <c r="C62" s="4" t="s">
        <v>245</v>
      </c>
    </row>
    <row r="63" spans="1:3" hidden="1" x14ac:dyDescent="0.25">
      <c r="A63" s="4" t="s">
        <v>4</v>
      </c>
      <c r="B63" s="4" t="s">
        <v>246</v>
      </c>
      <c r="C63" s="4" t="s">
        <v>247</v>
      </c>
    </row>
    <row r="64" spans="1:3" hidden="1" x14ac:dyDescent="0.25">
      <c r="A64" s="4" t="s">
        <v>138</v>
      </c>
      <c r="B64" s="4" t="s">
        <v>158</v>
      </c>
      <c r="C64" s="4" t="s">
        <v>157</v>
      </c>
    </row>
    <row r="65" spans="1:35" hidden="1" x14ac:dyDescent="0.25">
      <c r="A65" s="10" t="s">
        <v>138</v>
      </c>
      <c r="B65" s="10" t="s">
        <v>160</v>
      </c>
      <c r="C65" s="10" t="s">
        <v>159</v>
      </c>
    </row>
    <row r="66" spans="1:35" hidden="1" x14ac:dyDescent="0.25">
      <c r="A66" s="10" t="s">
        <v>138</v>
      </c>
      <c r="B66" s="10" t="s">
        <v>162</v>
      </c>
      <c r="C66" s="10" t="s">
        <v>161</v>
      </c>
    </row>
    <row r="67" spans="1:35" x14ac:dyDescent="0.25">
      <c r="A67" s="10" t="s">
        <v>138</v>
      </c>
      <c r="B67" s="10" t="s">
        <v>139</v>
      </c>
      <c r="C67" s="10" t="s">
        <v>140</v>
      </c>
      <c r="D67" s="5">
        <v>1</v>
      </c>
    </row>
    <row r="68" spans="1:35" x14ac:dyDescent="0.25">
      <c r="A68" s="10" t="s">
        <v>138</v>
      </c>
      <c r="B68" s="10" t="s">
        <v>149</v>
      </c>
      <c r="C68" s="10" t="s">
        <v>148</v>
      </c>
      <c r="D68" s="5">
        <v>2</v>
      </c>
      <c r="F68" s="10" t="s">
        <v>319</v>
      </c>
      <c r="G68" s="10" t="s">
        <v>320</v>
      </c>
    </row>
    <row r="69" spans="1:35" hidden="1" x14ac:dyDescent="0.25">
      <c r="A69" s="4" t="s">
        <v>138</v>
      </c>
      <c r="B69" s="4" t="s">
        <v>141</v>
      </c>
      <c r="C69" s="4" t="s">
        <v>142</v>
      </c>
    </row>
    <row r="70" spans="1:35" x14ac:dyDescent="0.25">
      <c r="A70" s="10" t="s">
        <v>138</v>
      </c>
      <c r="B70" s="10" t="s">
        <v>143</v>
      </c>
      <c r="C70" s="10" t="s">
        <v>144</v>
      </c>
      <c r="D70" s="5">
        <v>6</v>
      </c>
    </row>
    <row r="71" spans="1:35" hidden="1" x14ac:dyDescent="0.25">
      <c r="A71" s="4" t="s">
        <v>7</v>
      </c>
      <c r="B71" s="4" t="s">
        <v>8</v>
      </c>
      <c r="C71" s="4" t="s">
        <v>303</v>
      </c>
    </row>
    <row r="72" spans="1:35" hidden="1" x14ac:dyDescent="0.25">
      <c r="A72" s="4" t="s">
        <v>7</v>
      </c>
      <c r="B72" s="4" t="s">
        <v>196</v>
      </c>
      <c r="C72" s="4" t="s">
        <v>302</v>
      </c>
    </row>
    <row r="73" spans="1:35" hidden="1" x14ac:dyDescent="0.25">
      <c r="A73" s="10" t="s">
        <v>129</v>
      </c>
      <c r="B73" s="10" t="s">
        <v>130</v>
      </c>
      <c r="C73" s="10" t="s">
        <v>131</v>
      </c>
    </row>
    <row r="74" spans="1:35" hidden="1" x14ac:dyDescent="0.25">
      <c r="A74" s="4" t="s">
        <v>145</v>
      </c>
      <c r="B74" s="4" t="s">
        <v>146</v>
      </c>
      <c r="C74" s="4" t="s">
        <v>147</v>
      </c>
    </row>
    <row r="75" spans="1:35" hidden="1" x14ac:dyDescent="0.25">
      <c r="A75" s="4" t="s">
        <v>9</v>
      </c>
      <c r="B75" s="4" t="s">
        <v>87</v>
      </c>
      <c r="C75" s="4" t="s">
        <v>88</v>
      </c>
    </row>
    <row r="76" spans="1:35" hidden="1" x14ac:dyDescent="0.25">
      <c r="A76" s="4" t="s">
        <v>9</v>
      </c>
      <c r="B76" s="4" t="s">
        <v>89</v>
      </c>
      <c r="C76" s="4" t="s">
        <v>90</v>
      </c>
    </row>
    <row r="77" spans="1:35" hidden="1" x14ac:dyDescent="0.25">
      <c r="A77" s="4" t="s">
        <v>9</v>
      </c>
      <c r="B77" s="4" t="s">
        <v>10</v>
      </c>
      <c r="C77" s="4" t="s">
        <v>11</v>
      </c>
      <c r="Z77" s="3"/>
      <c r="AH77" s="3"/>
      <c r="AI77" s="3"/>
    </row>
    <row r="78" spans="1:35" hidden="1" x14ac:dyDescent="0.25">
      <c r="A78" s="4" t="s">
        <v>9</v>
      </c>
      <c r="B78" s="4" t="s">
        <v>12</v>
      </c>
      <c r="C78" s="4" t="s">
        <v>13</v>
      </c>
      <c r="Z78" s="3"/>
      <c r="AH78" s="3"/>
      <c r="AI78" s="3"/>
    </row>
    <row r="79" spans="1:35" x14ac:dyDescent="0.25">
      <c r="A79" s="10" t="s">
        <v>9</v>
      </c>
      <c r="B79" s="10" t="s">
        <v>25</v>
      </c>
      <c r="C79" s="10" t="s">
        <v>313</v>
      </c>
      <c r="D79" s="5" t="s">
        <v>340</v>
      </c>
      <c r="Z79" s="3"/>
      <c r="AH79" s="3"/>
      <c r="AI79" s="3"/>
    </row>
    <row r="80" spans="1:35" hidden="1" x14ac:dyDescent="0.25">
      <c r="A80" s="4" t="s">
        <v>9</v>
      </c>
      <c r="B80" s="4" t="s">
        <v>19</v>
      </c>
      <c r="C80" s="4" t="s">
        <v>20</v>
      </c>
      <c r="Z80" s="3"/>
      <c r="AH80" s="3"/>
      <c r="AI80" s="3"/>
    </row>
    <row r="81" spans="1:35" hidden="1" x14ac:dyDescent="0.25">
      <c r="A81" s="4" t="s">
        <v>9</v>
      </c>
      <c r="B81" s="4" t="s">
        <v>21</v>
      </c>
      <c r="C81" s="4" t="s">
        <v>22</v>
      </c>
      <c r="Z81" s="3"/>
      <c r="AH81" s="3"/>
      <c r="AI81" s="3"/>
    </row>
    <row r="82" spans="1:35" hidden="1" x14ac:dyDescent="0.25">
      <c r="A82" s="4" t="s">
        <v>9</v>
      </c>
      <c r="B82" s="4" t="s">
        <v>132</v>
      </c>
      <c r="C82" s="4" t="s">
        <v>133</v>
      </c>
      <c r="Z82" s="3"/>
      <c r="AH82" s="3"/>
      <c r="AI82" s="3"/>
    </row>
    <row r="83" spans="1:35" hidden="1" x14ac:dyDescent="0.25">
      <c r="A83" s="4" t="s">
        <v>9</v>
      </c>
      <c r="B83" s="4" t="s">
        <v>23</v>
      </c>
      <c r="C83" s="4" t="s">
        <v>24</v>
      </c>
    </row>
    <row r="84" spans="1:35" hidden="1" x14ac:dyDescent="0.25">
      <c r="A84" s="4" t="s">
        <v>9</v>
      </c>
      <c r="B84" s="4" t="s">
        <v>91</v>
      </c>
      <c r="C84" s="4" t="s">
        <v>92</v>
      </c>
    </row>
    <row r="85" spans="1:35" hidden="1" x14ac:dyDescent="0.25">
      <c r="A85" s="4" t="s">
        <v>9</v>
      </c>
      <c r="B85" s="4" t="s">
        <v>93</v>
      </c>
      <c r="C85" s="4" t="s">
        <v>94</v>
      </c>
    </row>
    <row r="86" spans="1:35" hidden="1" x14ac:dyDescent="0.25">
      <c r="A86" s="4" t="s">
        <v>9</v>
      </c>
      <c r="B86" s="4" t="s">
        <v>164</v>
      </c>
      <c r="C86" s="4" t="s">
        <v>163</v>
      </c>
    </row>
    <row r="87" spans="1:35" hidden="1" x14ac:dyDescent="0.25">
      <c r="A87" s="10" t="s">
        <v>9</v>
      </c>
      <c r="B87" s="10" t="s">
        <v>166</v>
      </c>
      <c r="C87" s="10" t="s">
        <v>310</v>
      </c>
    </row>
    <row r="88" spans="1:35" hidden="1" x14ac:dyDescent="0.25">
      <c r="A88" s="10" t="s">
        <v>9</v>
      </c>
      <c r="B88" s="10" t="s">
        <v>168</v>
      </c>
      <c r="C88" s="10" t="s">
        <v>311</v>
      </c>
    </row>
    <row r="89" spans="1:35" hidden="1" x14ac:dyDescent="0.25">
      <c r="A89" s="4" t="s">
        <v>9</v>
      </c>
      <c r="B89" s="4" t="s">
        <v>293</v>
      </c>
      <c r="C89" s="4" t="s">
        <v>294</v>
      </c>
    </row>
    <row r="90" spans="1:35" hidden="1" x14ac:dyDescent="0.25">
      <c r="A90" s="4" t="s">
        <v>9</v>
      </c>
      <c r="B90" s="4" t="s">
        <v>248</v>
      </c>
      <c r="C90" s="4" t="s">
        <v>249</v>
      </c>
    </row>
    <row r="91" spans="1:35" hidden="1" x14ac:dyDescent="0.25">
      <c r="A91" s="10" t="s">
        <v>9</v>
      </c>
      <c r="B91" s="10" t="s">
        <v>155</v>
      </c>
      <c r="C91" s="10" t="s">
        <v>156</v>
      </c>
    </row>
    <row r="92" spans="1:35" hidden="1" x14ac:dyDescent="0.25">
      <c r="A92" s="4" t="s">
        <v>27</v>
      </c>
      <c r="B92" s="4" t="s">
        <v>95</v>
      </c>
      <c r="C92" s="4" t="s">
        <v>96</v>
      </c>
    </row>
    <row r="93" spans="1:35" hidden="1" x14ac:dyDescent="0.25">
      <c r="A93" s="4" t="s">
        <v>27</v>
      </c>
      <c r="B93" s="4" t="s">
        <v>97</v>
      </c>
      <c r="C93" s="4" t="s">
        <v>98</v>
      </c>
    </row>
    <row r="94" spans="1:35" hidden="1" x14ac:dyDescent="0.25">
      <c r="A94" s="4" t="s">
        <v>27</v>
      </c>
      <c r="B94" s="4" t="s">
        <v>99</v>
      </c>
      <c r="C94" s="4" t="s">
        <v>100</v>
      </c>
    </row>
    <row r="95" spans="1:35" hidden="1" x14ac:dyDescent="0.25">
      <c r="A95" s="4" t="s">
        <v>27</v>
      </c>
      <c r="B95" s="4" t="s">
        <v>101</v>
      </c>
      <c r="C95" s="4" t="s">
        <v>102</v>
      </c>
    </row>
    <row r="96" spans="1:35" hidden="1" x14ac:dyDescent="0.25">
      <c r="A96" s="4" t="s">
        <v>27</v>
      </c>
      <c r="B96" s="4" t="s">
        <v>103</v>
      </c>
      <c r="C96" s="4" t="s">
        <v>104</v>
      </c>
    </row>
    <row r="97" spans="1:3" hidden="1" x14ac:dyDescent="0.25">
      <c r="A97" s="4" t="s">
        <v>27</v>
      </c>
      <c r="B97" s="4" t="s">
        <v>105</v>
      </c>
      <c r="C97" s="4" t="s">
        <v>106</v>
      </c>
    </row>
    <row r="98" spans="1:3" hidden="1" x14ac:dyDescent="0.25">
      <c r="A98" s="4" t="s">
        <v>27</v>
      </c>
      <c r="B98" s="4" t="s">
        <v>28</v>
      </c>
      <c r="C98" s="4" t="s">
        <v>29</v>
      </c>
    </row>
    <row r="99" spans="1:3" hidden="1" x14ac:dyDescent="0.25">
      <c r="A99" s="4" t="s">
        <v>107</v>
      </c>
      <c r="B99" s="4" t="s">
        <v>108</v>
      </c>
      <c r="C99" s="4" t="s">
        <v>109</v>
      </c>
    </row>
    <row r="100" spans="1:3" hidden="1" x14ac:dyDescent="0.25">
      <c r="A100" s="4" t="s">
        <v>107</v>
      </c>
      <c r="B100" s="4" t="s">
        <v>110</v>
      </c>
      <c r="C100" s="4" t="s">
        <v>111</v>
      </c>
    </row>
    <row r="101" spans="1:3" hidden="1" x14ac:dyDescent="0.25">
      <c r="A101" s="10" t="s">
        <v>107</v>
      </c>
      <c r="B101" s="10" t="s">
        <v>112</v>
      </c>
      <c r="C101" s="10" t="s">
        <v>312</v>
      </c>
    </row>
    <row r="102" spans="1:3" hidden="1" x14ac:dyDescent="0.25">
      <c r="A102" s="4" t="s">
        <v>107</v>
      </c>
      <c r="B102" s="4" t="s">
        <v>250</v>
      </c>
      <c r="C102" s="4" t="s">
        <v>251</v>
      </c>
    </row>
    <row r="103" spans="1:3" hidden="1" x14ac:dyDescent="0.25">
      <c r="A103" s="4" t="s">
        <v>107</v>
      </c>
      <c r="B103" s="4" t="s">
        <v>252</v>
      </c>
      <c r="C103" s="4" t="s">
        <v>253</v>
      </c>
    </row>
    <row r="104" spans="1:3" hidden="1" x14ac:dyDescent="0.25">
      <c r="A104" s="4" t="s">
        <v>107</v>
      </c>
      <c r="B104" s="4" t="s">
        <v>254</v>
      </c>
      <c r="C104" s="4" t="s">
        <v>255</v>
      </c>
    </row>
    <row r="105" spans="1:3" hidden="1" x14ac:dyDescent="0.25">
      <c r="A105" s="4" t="s">
        <v>107</v>
      </c>
      <c r="B105" s="4" t="s">
        <v>256</v>
      </c>
      <c r="C105" s="4" t="s">
        <v>257</v>
      </c>
    </row>
    <row r="106" spans="1:3" hidden="1" x14ac:dyDescent="0.25">
      <c r="A106" s="4" t="s">
        <v>33</v>
      </c>
      <c r="B106" s="4" t="s">
        <v>34</v>
      </c>
      <c r="C106" s="4" t="s">
        <v>35</v>
      </c>
    </row>
    <row r="107" spans="1:3" hidden="1" x14ac:dyDescent="0.25">
      <c r="A107" s="4" t="s">
        <v>258</v>
      </c>
      <c r="B107" s="4" t="s">
        <v>259</v>
      </c>
      <c r="C107" s="4" t="s">
        <v>260</v>
      </c>
    </row>
    <row r="108" spans="1:3" hidden="1" x14ac:dyDescent="0.25">
      <c r="A108" s="4" t="s">
        <v>258</v>
      </c>
      <c r="B108" s="4" t="s">
        <v>261</v>
      </c>
      <c r="C108" s="4" t="s">
        <v>262</v>
      </c>
    </row>
    <row r="109" spans="1:3" hidden="1" x14ac:dyDescent="0.25">
      <c r="A109" s="4" t="s">
        <v>41</v>
      </c>
      <c r="B109" s="4" t="s">
        <v>42</v>
      </c>
      <c r="C109" s="4" t="s">
        <v>43</v>
      </c>
    </row>
    <row r="110" spans="1:3" hidden="1" x14ac:dyDescent="0.25">
      <c r="A110" s="4" t="s">
        <v>263</v>
      </c>
      <c r="B110" s="4" t="s">
        <v>264</v>
      </c>
      <c r="C110" s="4" t="s">
        <v>265</v>
      </c>
    </row>
    <row r="111" spans="1:3" hidden="1" x14ac:dyDescent="0.25">
      <c r="A111" s="4" t="s">
        <v>263</v>
      </c>
      <c r="B111" s="4" t="s">
        <v>266</v>
      </c>
      <c r="C111" s="4" t="s">
        <v>267</v>
      </c>
    </row>
    <row r="112" spans="1:3" hidden="1" x14ac:dyDescent="0.25">
      <c r="A112" s="4" t="s">
        <v>114</v>
      </c>
      <c r="B112" s="4" t="s">
        <v>115</v>
      </c>
      <c r="C112" s="4" t="s">
        <v>116</v>
      </c>
    </row>
    <row r="113" spans="1:3" hidden="1" x14ac:dyDescent="0.25">
      <c r="A113" s="4" t="s">
        <v>44</v>
      </c>
      <c r="B113" s="4" t="s">
        <v>45</v>
      </c>
      <c r="C113" s="4" t="s">
        <v>46</v>
      </c>
    </row>
    <row r="114" spans="1:3" hidden="1" x14ac:dyDescent="0.25">
      <c r="A114" s="10" t="s">
        <v>268</v>
      </c>
      <c r="B114" s="10" t="s">
        <v>269</v>
      </c>
      <c r="C114" s="10" t="s">
        <v>270</v>
      </c>
    </row>
    <row r="115" spans="1:3" hidden="1" x14ac:dyDescent="0.25">
      <c r="A115" s="10" t="s">
        <v>117</v>
      </c>
      <c r="B115" s="10" t="s">
        <v>118</v>
      </c>
      <c r="C115" s="10" t="s">
        <v>119</v>
      </c>
    </row>
    <row r="116" spans="1:3" hidden="1" x14ac:dyDescent="0.25">
      <c r="A116" s="4" t="s">
        <v>120</v>
      </c>
      <c r="B116" s="4" t="s">
        <v>271</v>
      </c>
      <c r="C116" s="4" t="s">
        <v>272</v>
      </c>
    </row>
    <row r="117" spans="1:3" hidden="1" x14ac:dyDescent="0.25">
      <c r="A117" s="4" t="s">
        <v>120</v>
      </c>
      <c r="B117" s="4" t="s">
        <v>273</v>
      </c>
      <c r="C117" s="4" t="s">
        <v>274</v>
      </c>
    </row>
    <row r="118" spans="1:3" hidden="1" x14ac:dyDescent="0.25">
      <c r="A118" s="4" t="s">
        <v>120</v>
      </c>
      <c r="B118" s="4" t="s">
        <v>121</v>
      </c>
      <c r="C118" s="4" t="s">
        <v>122</v>
      </c>
    </row>
    <row r="119" spans="1:3" hidden="1" x14ac:dyDescent="0.25">
      <c r="A119" s="4" t="s">
        <v>120</v>
      </c>
      <c r="B119" s="4" t="s">
        <v>275</v>
      </c>
      <c r="C119" s="4" t="s">
        <v>276</v>
      </c>
    </row>
    <row r="120" spans="1:3" hidden="1" x14ac:dyDescent="0.25">
      <c r="A120" s="4" t="s">
        <v>120</v>
      </c>
      <c r="B120" s="4" t="s">
        <v>198</v>
      </c>
      <c r="C120" s="4" t="s">
        <v>199</v>
      </c>
    </row>
    <row r="121" spans="1:3" hidden="1" x14ac:dyDescent="0.25">
      <c r="A121" s="4" t="s">
        <v>120</v>
      </c>
      <c r="B121" s="4" t="s">
        <v>277</v>
      </c>
      <c r="C121" s="4" t="s">
        <v>278</v>
      </c>
    </row>
    <row r="122" spans="1:3" hidden="1" x14ac:dyDescent="0.25">
      <c r="A122" s="10" t="s">
        <v>120</v>
      </c>
      <c r="B122" s="10" t="s">
        <v>123</v>
      </c>
      <c r="C122" s="10" t="s">
        <v>124</v>
      </c>
    </row>
    <row r="123" spans="1:3" hidden="1" x14ac:dyDescent="0.25">
      <c r="A123" s="10" t="s">
        <v>120</v>
      </c>
      <c r="B123" s="10" t="s">
        <v>125</v>
      </c>
      <c r="C123" s="10" t="s">
        <v>126</v>
      </c>
    </row>
    <row r="124" spans="1:3" hidden="1" x14ac:dyDescent="0.25">
      <c r="A124" s="4" t="s">
        <v>279</v>
      </c>
      <c r="B124" s="4" t="s">
        <v>280</v>
      </c>
      <c r="C124" s="4" t="s">
        <v>281</v>
      </c>
    </row>
    <row r="125" spans="1:3" hidden="1" x14ac:dyDescent="0.25">
      <c r="A125" s="4" t="s">
        <v>282</v>
      </c>
      <c r="B125" s="4" t="s">
        <v>283</v>
      </c>
      <c r="C125" s="4" t="s">
        <v>284</v>
      </c>
    </row>
    <row r="126" spans="1:3" hidden="1" x14ac:dyDescent="0.25">
      <c r="A126" s="4" t="s">
        <v>285</v>
      </c>
      <c r="B126" s="4" t="s">
        <v>286</v>
      </c>
      <c r="C126" s="4" t="s">
        <v>287</v>
      </c>
    </row>
    <row r="127" spans="1:3" hidden="1" x14ac:dyDescent="0.25">
      <c r="A127" s="4" t="s">
        <v>14</v>
      </c>
      <c r="B127" s="4" t="s">
        <v>15</v>
      </c>
      <c r="C127" s="4" t="s">
        <v>16</v>
      </c>
    </row>
    <row r="128" spans="1:3" hidden="1" x14ac:dyDescent="0.25">
      <c r="A128" s="4" t="s">
        <v>14</v>
      </c>
      <c r="B128" s="4" t="s">
        <v>17</v>
      </c>
      <c r="C128" s="4" t="s">
        <v>18</v>
      </c>
    </row>
    <row r="129" spans="1:4" hidden="1" x14ac:dyDescent="0.25">
      <c r="A129" s="4" t="s">
        <v>14</v>
      </c>
      <c r="B129" s="4" t="s">
        <v>201</v>
      </c>
      <c r="C129" s="4" t="s">
        <v>202</v>
      </c>
    </row>
    <row r="130" spans="1:4" hidden="1" x14ac:dyDescent="0.25">
      <c r="A130" s="4" t="s">
        <v>14</v>
      </c>
      <c r="B130" s="4" t="s">
        <v>203</v>
      </c>
      <c r="C130" s="4" t="s">
        <v>204</v>
      </c>
    </row>
    <row r="131" spans="1:4" hidden="1" x14ac:dyDescent="0.25">
      <c r="A131" s="4" t="s">
        <v>36</v>
      </c>
      <c r="B131" s="4" t="s">
        <v>37</v>
      </c>
      <c r="C131" s="4" t="s">
        <v>38</v>
      </c>
    </row>
    <row r="132" spans="1:4" x14ac:dyDescent="0.25">
      <c r="D132" s="5" t="s">
        <v>351</v>
      </c>
    </row>
    <row r="133" spans="1:4" x14ac:dyDescent="0.25">
      <c r="B133" s="11" t="s">
        <v>317</v>
      </c>
      <c r="C133" s="11" t="s">
        <v>321</v>
      </c>
      <c r="D133" s="5" t="s">
        <v>352</v>
      </c>
    </row>
    <row r="134" spans="1:4" x14ac:dyDescent="0.25">
      <c r="B134" s="10" t="s">
        <v>318</v>
      </c>
      <c r="C134" s="10" t="s">
        <v>321</v>
      </c>
      <c r="D134" s="5" t="s">
        <v>352</v>
      </c>
    </row>
    <row r="135" spans="1:4" x14ac:dyDescent="0.25">
      <c r="B135" s="10" t="s">
        <v>319</v>
      </c>
      <c r="C135" s="10" t="s">
        <v>320</v>
      </c>
      <c r="D135" s="5" t="s">
        <v>352</v>
      </c>
    </row>
  </sheetData>
  <autoFilter ref="A1:D135">
    <filterColumn colId="3">
      <customFilters>
        <customFilter operator="notEqual" val=" "/>
      </customFilters>
    </filterColumn>
  </autoFilter>
  <hyperlinks>
    <hyperlink ref="J1" r:id="rId1"/>
    <hyperlink ref="O1" r:id="rId2"/>
  </hyperlinks>
  <pageMargins left="0.25" right="0.25" top="0.75" bottom="0.75" header="0.3" footer="0.3"/>
  <pageSetup paperSize="8" scale="33" orientation="portrait" r:id="rId3"/>
  <drawing r:id="rId4"/>
  <legacyDrawing r:id="rId5"/>
  <controls>
    <mc:AlternateContent xmlns:mc="http://schemas.openxmlformats.org/markup-compatibility/2006">
      <mc:Choice Requires="x14">
        <control shapeId="8194" r:id="rId6" name="CommandButton2">
          <controlPr autoLine="0" r:id="rId7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autoLine="0" r:id="rId9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 filterMode="1">
    <pageSetUpPr fitToPage="1"/>
  </sheetPr>
  <dimension ref="A1:AI136"/>
  <sheetViews>
    <sheetView zoomScaleNormal="100" workbookViewId="0">
      <selection activeCell="C143" sqref="C143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7" max="7" width="1.85546875" customWidth="1"/>
    <col min="8" max="8" width="15.140625" style="12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322</v>
      </c>
      <c r="J3" s="6"/>
    </row>
    <row r="4" spans="1:15" hidden="1" x14ac:dyDescent="0.25">
      <c r="A4" s="4" t="s">
        <v>47</v>
      </c>
      <c r="B4" s="4" t="s">
        <v>205</v>
      </c>
      <c r="C4" s="4" t="s">
        <v>206</v>
      </c>
    </row>
    <row r="5" spans="1:15" hidden="1" x14ac:dyDescent="0.25">
      <c r="A5" s="4" t="s">
        <v>47</v>
      </c>
      <c r="B5" s="4" t="s">
        <v>207</v>
      </c>
      <c r="C5" s="4" t="s">
        <v>208</v>
      </c>
      <c r="J5" s="6"/>
    </row>
    <row r="6" spans="1:15" hidden="1" x14ac:dyDescent="0.25">
      <c r="A6" s="4" t="s">
        <v>47</v>
      </c>
      <c r="B6" s="4" t="s">
        <v>209</v>
      </c>
      <c r="C6" s="4" t="s">
        <v>210</v>
      </c>
      <c r="H6" s="13" t="s">
        <v>326</v>
      </c>
    </row>
    <row r="7" spans="1:15" hidden="1" x14ac:dyDescent="0.25">
      <c r="A7" s="4" t="s">
        <v>47</v>
      </c>
      <c r="B7" s="4" t="s">
        <v>211</v>
      </c>
      <c r="C7" s="4" t="s">
        <v>212</v>
      </c>
      <c r="H7" s="13" t="s">
        <v>327</v>
      </c>
    </row>
    <row r="8" spans="1:15" hidden="1" x14ac:dyDescent="0.25">
      <c r="A8" s="4" t="s">
        <v>47</v>
      </c>
      <c r="B8" s="4" t="s">
        <v>48</v>
      </c>
      <c r="C8" s="4" t="s">
        <v>49</v>
      </c>
      <c r="H8" s="13" t="s">
        <v>328</v>
      </c>
    </row>
    <row r="9" spans="1:15" hidden="1" x14ac:dyDescent="0.25">
      <c r="A9" s="4" t="s">
        <v>47</v>
      </c>
      <c r="B9" s="4" t="s">
        <v>50</v>
      </c>
      <c r="C9" s="4" t="s">
        <v>51</v>
      </c>
      <c r="H9" s="13" t="s">
        <v>329</v>
      </c>
    </row>
    <row r="10" spans="1:15" x14ac:dyDescent="0.25">
      <c r="A10" s="14" t="s">
        <v>52</v>
      </c>
      <c r="B10" s="14" t="s">
        <v>213</v>
      </c>
      <c r="C10" s="14" t="s">
        <v>214</v>
      </c>
      <c r="D10" s="5">
        <v>3</v>
      </c>
      <c r="H10" s="13" t="s">
        <v>328</v>
      </c>
    </row>
    <row r="11" spans="1:15" x14ac:dyDescent="0.25">
      <c r="A11" s="10" t="s">
        <v>52</v>
      </c>
      <c r="B11" s="10" t="s">
        <v>53</v>
      </c>
      <c r="C11" s="10" t="s">
        <v>54</v>
      </c>
      <c r="D11" s="5">
        <v>2</v>
      </c>
      <c r="H11" s="13" t="s">
        <v>330</v>
      </c>
    </row>
    <row r="12" spans="1:15" hidden="1" x14ac:dyDescent="0.25">
      <c r="A12" s="4" t="s">
        <v>55</v>
      </c>
      <c r="B12" s="4" t="s">
        <v>56</v>
      </c>
      <c r="C12" s="4" t="s">
        <v>57</v>
      </c>
      <c r="H12" s="13" t="s">
        <v>328</v>
      </c>
    </row>
    <row r="13" spans="1:15" hidden="1" x14ac:dyDescent="0.25">
      <c r="A13" s="10" t="s">
        <v>169</v>
      </c>
      <c r="B13" s="10" t="s">
        <v>215</v>
      </c>
      <c r="C13" s="10" t="s">
        <v>216</v>
      </c>
      <c r="H13" s="13" t="s">
        <v>331</v>
      </c>
    </row>
    <row r="14" spans="1:15" hidden="1" x14ac:dyDescent="0.25">
      <c r="A14" s="10" t="s">
        <v>169</v>
      </c>
      <c r="B14" s="10" t="s">
        <v>170</v>
      </c>
      <c r="C14" s="10" t="s">
        <v>171</v>
      </c>
      <c r="H14" s="13" t="s">
        <v>332</v>
      </c>
    </row>
    <row r="15" spans="1:15" hidden="1" x14ac:dyDescent="0.25">
      <c r="A15" s="10" t="s">
        <v>169</v>
      </c>
      <c r="B15" s="10" t="s">
        <v>172</v>
      </c>
      <c r="C15" s="10" t="s">
        <v>173</v>
      </c>
      <c r="H15" s="13" t="s">
        <v>333</v>
      </c>
    </row>
    <row r="16" spans="1:15" hidden="1" x14ac:dyDescent="0.25">
      <c r="A16" s="4" t="s">
        <v>30</v>
      </c>
      <c r="B16" s="4" t="s">
        <v>58</v>
      </c>
      <c r="C16" s="4" t="s">
        <v>59</v>
      </c>
    </row>
    <row r="17" spans="1:3" hidden="1" x14ac:dyDescent="0.25">
      <c r="A17" s="4" t="s">
        <v>30</v>
      </c>
      <c r="B17" s="4" t="s">
        <v>60</v>
      </c>
      <c r="C17" s="4" t="s">
        <v>61</v>
      </c>
    </row>
    <row r="18" spans="1:3" hidden="1" x14ac:dyDescent="0.25">
      <c r="A18" s="4" t="s">
        <v>30</v>
      </c>
      <c r="B18" s="4" t="s">
        <v>62</v>
      </c>
      <c r="C18" s="4" t="s">
        <v>63</v>
      </c>
    </row>
    <row r="19" spans="1:3" hidden="1" x14ac:dyDescent="0.25">
      <c r="A19" s="4" t="s">
        <v>30</v>
      </c>
      <c r="B19" s="4" t="s">
        <v>31</v>
      </c>
      <c r="C19" s="4" t="s">
        <v>32</v>
      </c>
    </row>
    <row r="20" spans="1:3" hidden="1" x14ac:dyDescent="0.25">
      <c r="A20" s="4" t="s">
        <v>30</v>
      </c>
      <c r="B20" s="4" t="s">
        <v>39</v>
      </c>
      <c r="C20" s="4" t="s">
        <v>40</v>
      </c>
    </row>
    <row r="21" spans="1:3" hidden="1" x14ac:dyDescent="0.25">
      <c r="A21" s="4" t="s">
        <v>30</v>
      </c>
      <c r="B21" s="4" t="s">
        <v>217</v>
      </c>
      <c r="C21" s="4" t="s">
        <v>218</v>
      </c>
    </row>
    <row r="22" spans="1:3" hidden="1" x14ac:dyDescent="0.25">
      <c r="A22" s="4" t="s">
        <v>30</v>
      </c>
      <c r="B22" s="4" t="s">
        <v>219</v>
      </c>
      <c r="C22" s="4" t="s">
        <v>220</v>
      </c>
    </row>
    <row r="23" spans="1:3" hidden="1" x14ac:dyDescent="0.25">
      <c r="A23" s="4" t="s">
        <v>200</v>
      </c>
      <c r="B23" s="4" t="s">
        <v>221</v>
      </c>
      <c r="C23" s="4" t="s">
        <v>222</v>
      </c>
    </row>
    <row r="24" spans="1:3" hidden="1" x14ac:dyDescent="0.25">
      <c r="A24" s="4" t="s">
        <v>223</v>
      </c>
      <c r="B24" s="4" t="s">
        <v>224</v>
      </c>
      <c r="C24" s="4" t="s">
        <v>225</v>
      </c>
    </row>
    <row r="25" spans="1:3" hidden="1" x14ac:dyDescent="0.25">
      <c r="A25" s="4" t="s">
        <v>0</v>
      </c>
      <c r="B25" s="4" t="s">
        <v>134</v>
      </c>
      <c r="C25" s="4" t="s">
        <v>135</v>
      </c>
    </row>
    <row r="26" spans="1:3" hidden="1" x14ac:dyDescent="0.25">
      <c r="A26" s="4" t="s">
        <v>0</v>
      </c>
      <c r="B26" s="4" t="s">
        <v>1</v>
      </c>
      <c r="C26" s="4" t="s">
        <v>2</v>
      </c>
    </row>
    <row r="27" spans="1:3" hidden="1" x14ac:dyDescent="0.25">
      <c r="A27" s="4" t="s">
        <v>0</v>
      </c>
      <c r="B27" s="4" t="s">
        <v>174</v>
      </c>
      <c r="C27" s="4" t="s">
        <v>175</v>
      </c>
    </row>
    <row r="28" spans="1:3" hidden="1" x14ac:dyDescent="0.25">
      <c r="A28" s="4" t="s">
        <v>0</v>
      </c>
      <c r="B28" s="4" t="s">
        <v>176</v>
      </c>
      <c r="C28" s="4" t="s">
        <v>177</v>
      </c>
    </row>
    <row r="29" spans="1:3" hidden="1" x14ac:dyDescent="0.25">
      <c r="A29" s="4" t="s">
        <v>0</v>
      </c>
      <c r="B29" s="4" t="s">
        <v>226</v>
      </c>
      <c r="C29" s="4" t="s">
        <v>227</v>
      </c>
    </row>
    <row r="30" spans="1:3" hidden="1" x14ac:dyDescent="0.25">
      <c r="A30" s="4" t="s">
        <v>3</v>
      </c>
      <c r="B30" s="4" t="s">
        <v>228</v>
      </c>
      <c r="C30" s="4" t="s">
        <v>229</v>
      </c>
    </row>
    <row r="31" spans="1:3" hidden="1" x14ac:dyDescent="0.25">
      <c r="A31" s="4" t="s">
        <v>3</v>
      </c>
      <c r="B31" s="4" t="s">
        <v>178</v>
      </c>
      <c r="C31" s="4" t="s">
        <v>179</v>
      </c>
    </row>
    <row r="32" spans="1:3" hidden="1" x14ac:dyDescent="0.25">
      <c r="A32" s="4" t="s">
        <v>3</v>
      </c>
      <c r="B32" s="4" t="s">
        <v>289</v>
      </c>
      <c r="C32" s="4" t="s">
        <v>290</v>
      </c>
    </row>
    <row r="33" spans="1:3" hidden="1" x14ac:dyDescent="0.25">
      <c r="A33" s="4" t="s">
        <v>3</v>
      </c>
      <c r="B33" s="4" t="s">
        <v>64</v>
      </c>
      <c r="C33" s="4" t="s">
        <v>65</v>
      </c>
    </row>
    <row r="34" spans="1:3" hidden="1" x14ac:dyDescent="0.25">
      <c r="A34" s="4" t="s">
        <v>3</v>
      </c>
      <c r="B34" s="4" t="s">
        <v>180</v>
      </c>
      <c r="C34" s="4" t="s">
        <v>181</v>
      </c>
    </row>
    <row r="35" spans="1:3" hidden="1" x14ac:dyDescent="0.25">
      <c r="A35" s="4" t="s">
        <v>3</v>
      </c>
      <c r="B35" s="4" t="s">
        <v>230</v>
      </c>
      <c r="C35" s="4" t="s">
        <v>231</v>
      </c>
    </row>
    <row r="36" spans="1:3" hidden="1" x14ac:dyDescent="0.25">
      <c r="A36" s="4" t="s">
        <v>66</v>
      </c>
      <c r="B36" s="4" t="s">
        <v>232</v>
      </c>
      <c r="C36" s="4" t="s">
        <v>233</v>
      </c>
    </row>
    <row r="37" spans="1:3" hidden="1" x14ac:dyDescent="0.25">
      <c r="A37" s="4" t="s">
        <v>66</v>
      </c>
      <c r="B37" s="4" t="s">
        <v>234</v>
      </c>
      <c r="C37" s="4" t="s">
        <v>235</v>
      </c>
    </row>
    <row r="38" spans="1:3" hidden="1" x14ac:dyDescent="0.25">
      <c r="A38" s="4" t="s">
        <v>66</v>
      </c>
      <c r="B38" s="4" t="s">
        <v>67</v>
      </c>
      <c r="C38" s="4" t="s">
        <v>68</v>
      </c>
    </row>
    <row r="39" spans="1:3" hidden="1" x14ac:dyDescent="0.25">
      <c r="A39" s="4" t="s">
        <v>66</v>
      </c>
      <c r="B39" s="4" t="s">
        <v>236</v>
      </c>
      <c r="C39" s="4" t="s">
        <v>237</v>
      </c>
    </row>
    <row r="40" spans="1:3" hidden="1" x14ac:dyDescent="0.25">
      <c r="A40" s="4" t="s">
        <v>66</v>
      </c>
      <c r="B40" s="4" t="s">
        <v>238</v>
      </c>
      <c r="C40" s="4" t="s">
        <v>239</v>
      </c>
    </row>
    <row r="41" spans="1:3" hidden="1" x14ac:dyDescent="0.25">
      <c r="A41" s="4" t="s">
        <v>66</v>
      </c>
      <c r="B41" s="4" t="s">
        <v>182</v>
      </c>
      <c r="C41" s="4" t="s">
        <v>183</v>
      </c>
    </row>
    <row r="42" spans="1:3" hidden="1" x14ac:dyDescent="0.25">
      <c r="A42" s="4" t="s">
        <v>66</v>
      </c>
      <c r="B42" s="4" t="s">
        <v>69</v>
      </c>
      <c r="C42" s="4" t="s">
        <v>70</v>
      </c>
    </row>
    <row r="43" spans="1:3" hidden="1" x14ac:dyDescent="0.25">
      <c r="A43" s="4" t="s">
        <v>66</v>
      </c>
      <c r="B43" s="4" t="s">
        <v>240</v>
      </c>
      <c r="C43" s="4" t="s">
        <v>241</v>
      </c>
    </row>
    <row r="44" spans="1:3" hidden="1" x14ac:dyDescent="0.25">
      <c r="A44" s="4" t="s">
        <v>66</v>
      </c>
      <c r="B44" s="4" t="s">
        <v>242</v>
      </c>
      <c r="C44" s="4" t="s">
        <v>243</v>
      </c>
    </row>
    <row r="45" spans="1:3" hidden="1" x14ac:dyDescent="0.25">
      <c r="A45" s="4" t="s">
        <v>66</v>
      </c>
      <c r="B45" s="4" t="s">
        <v>71</v>
      </c>
      <c r="C45" s="4" t="s">
        <v>72</v>
      </c>
    </row>
    <row r="46" spans="1:3" hidden="1" x14ac:dyDescent="0.25">
      <c r="A46" s="4" t="s">
        <v>66</v>
      </c>
      <c r="B46" s="4" t="s">
        <v>73</v>
      </c>
      <c r="C46" s="4" t="s">
        <v>74</v>
      </c>
    </row>
    <row r="47" spans="1:3" hidden="1" x14ac:dyDescent="0.25">
      <c r="A47" s="4" t="s">
        <v>4</v>
      </c>
      <c r="B47" s="4" t="s">
        <v>75</v>
      </c>
      <c r="C47" s="4" t="s">
        <v>76</v>
      </c>
    </row>
    <row r="48" spans="1:3" hidden="1" x14ac:dyDescent="0.25">
      <c r="A48" s="4" t="s">
        <v>4</v>
      </c>
      <c r="B48" s="4" t="s">
        <v>77</v>
      </c>
      <c r="C48" s="4" t="s">
        <v>78</v>
      </c>
    </row>
    <row r="49" spans="1:4" hidden="1" x14ac:dyDescent="0.25">
      <c r="A49" s="4" t="s">
        <v>4</v>
      </c>
      <c r="B49" s="4" t="s">
        <v>79</v>
      </c>
      <c r="C49" s="4" t="s">
        <v>80</v>
      </c>
    </row>
    <row r="50" spans="1:4" hidden="1" x14ac:dyDescent="0.25">
      <c r="A50" s="4" t="s">
        <v>4</v>
      </c>
      <c r="B50" s="4" t="s">
        <v>136</v>
      </c>
      <c r="C50" s="4" t="s">
        <v>137</v>
      </c>
    </row>
    <row r="51" spans="1:4" hidden="1" x14ac:dyDescent="0.25">
      <c r="A51" s="4" t="s">
        <v>4</v>
      </c>
      <c r="B51" s="4" t="s">
        <v>81</v>
      </c>
      <c r="C51" s="4" t="s">
        <v>82</v>
      </c>
    </row>
    <row r="52" spans="1:4" hidden="1" x14ac:dyDescent="0.25">
      <c r="A52" s="4" t="s">
        <v>4</v>
      </c>
      <c r="B52" s="4" t="s">
        <v>83</v>
      </c>
      <c r="C52" s="4" t="s">
        <v>84</v>
      </c>
    </row>
    <row r="53" spans="1:4" hidden="1" x14ac:dyDescent="0.25">
      <c r="A53" s="4" t="s">
        <v>4</v>
      </c>
      <c r="B53" s="4" t="s">
        <v>5</v>
      </c>
      <c r="C53" s="4" t="s">
        <v>6</v>
      </c>
    </row>
    <row r="54" spans="1:4" hidden="1" x14ac:dyDescent="0.25">
      <c r="A54" s="4" t="s">
        <v>4</v>
      </c>
      <c r="B54" s="4" t="s">
        <v>127</v>
      </c>
      <c r="C54" s="4" t="s">
        <v>128</v>
      </c>
    </row>
    <row r="55" spans="1:4" x14ac:dyDescent="0.25">
      <c r="A55" s="14" t="s">
        <v>4</v>
      </c>
      <c r="B55" s="14" t="s">
        <v>85</v>
      </c>
      <c r="C55" s="14" t="s">
        <v>334</v>
      </c>
      <c r="D55" s="5">
        <v>3</v>
      </c>
    </row>
    <row r="56" spans="1:4" hidden="1" x14ac:dyDescent="0.25">
      <c r="A56" s="4" t="s">
        <v>4</v>
      </c>
      <c r="B56" s="4" t="s">
        <v>184</v>
      </c>
      <c r="C56" s="4" t="s">
        <v>185</v>
      </c>
    </row>
    <row r="57" spans="1:4" hidden="1" x14ac:dyDescent="0.25">
      <c r="A57" s="4" t="s">
        <v>4</v>
      </c>
      <c r="B57" s="4" t="s">
        <v>186</v>
      </c>
      <c r="C57" s="4" t="s">
        <v>187</v>
      </c>
    </row>
    <row r="58" spans="1:4" hidden="1" x14ac:dyDescent="0.25">
      <c r="A58" s="10" t="s">
        <v>4</v>
      </c>
      <c r="B58" s="10" t="s">
        <v>188</v>
      </c>
      <c r="C58" s="10" t="s">
        <v>189</v>
      </c>
    </row>
    <row r="59" spans="1:4" hidden="1" x14ac:dyDescent="0.25">
      <c r="A59" s="4" t="s">
        <v>4</v>
      </c>
      <c r="B59" s="4" t="s">
        <v>190</v>
      </c>
      <c r="C59" s="4" t="s">
        <v>191</v>
      </c>
    </row>
    <row r="60" spans="1:4" hidden="1" x14ac:dyDescent="0.25">
      <c r="A60" s="4" t="s">
        <v>4</v>
      </c>
      <c r="B60" s="4" t="s">
        <v>192</v>
      </c>
      <c r="C60" s="4" t="s">
        <v>193</v>
      </c>
    </row>
    <row r="61" spans="1:4" hidden="1" x14ac:dyDescent="0.25">
      <c r="A61" s="4" t="s">
        <v>4</v>
      </c>
      <c r="B61" s="4" t="s">
        <v>194</v>
      </c>
      <c r="C61" s="4" t="s">
        <v>195</v>
      </c>
    </row>
    <row r="62" spans="1:4" hidden="1" x14ac:dyDescent="0.25">
      <c r="A62" s="4" t="s">
        <v>4</v>
      </c>
      <c r="B62" s="4" t="s">
        <v>291</v>
      </c>
      <c r="C62" s="4" t="s">
        <v>292</v>
      </c>
    </row>
    <row r="63" spans="1:4" hidden="1" x14ac:dyDescent="0.25">
      <c r="A63" s="4" t="s">
        <v>4</v>
      </c>
      <c r="B63" s="4" t="s">
        <v>244</v>
      </c>
      <c r="C63" s="4" t="s">
        <v>245</v>
      </c>
    </row>
    <row r="64" spans="1:4" hidden="1" x14ac:dyDescent="0.25">
      <c r="A64" s="4" t="s">
        <v>4</v>
      </c>
      <c r="B64" s="4" t="s">
        <v>246</v>
      </c>
      <c r="C64" s="4" t="s">
        <v>247</v>
      </c>
    </row>
    <row r="65" spans="1:35" hidden="1" x14ac:dyDescent="0.25">
      <c r="A65" s="4" t="s">
        <v>138</v>
      </c>
      <c r="B65" s="4" t="s">
        <v>158</v>
      </c>
      <c r="C65" s="4" t="s">
        <v>157</v>
      </c>
    </row>
    <row r="66" spans="1:35" hidden="1" x14ac:dyDescent="0.25">
      <c r="A66" s="10" t="s">
        <v>138</v>
      </c>
      <c r="B66" s="10" t="s">
        <v>160</v>
      </c>
      <c r="C66" s="10" t="s">
        <v>159</v>
      </c>
    </row>
    <row r="67" spans="1:35" hidden="1" x14ac:dyDescent="0.25">
      <c r="A67" s="10" t="s">
        <v>138</v>
      </c>
      <c r="B67" s="10" t="s">
        <v>162</v>
      </c>
      <c r="C67" s="10" t="s">
        <v>161</v>
      </c>
    </row>
    <row r="68" spans="1:35" hidden="1" x14ac:dyDescent="0.25">
      <c r="A68" s="10" t="s">
        <v>138</v>
      </c>
      <c r="B68" s="10" t="s">
        <v>139</v>
      </c>
      <c r="C68" s="10" t="s">
        <v>140</v>
      </c>
    </row>
    <row r="69" spans="1:35" hidden="1" x14ac:dyDescent="0.25">
      <c r="A69" s="10" t="s">
        <v>138</v>
      </c>
      <c r="B69" s="10" t="s">
        <v>149</v>
      </c>
      <c r="C69" s="10" t="s">
        <v>148</v>
      </c>
    </row>
    <row r="70" spans="1:35" hidden="1" x14ac:dyDescent="0.25">
      <c r="A70" s="4" t="s">
        <v>138</v>
      </c>
      <c r="B70" s="4" t="s">
        <v>141</v>
      </c>
      <c r="C70" s="4" t="s">
        <v>142</v>
      </c>
    </row>
    <row r="71" spans="1:35" x14ac:dyDescent="0.25">
      <c r="A71" s="14" t="s">
        <v>138</v>
      </c>
      <c r="B71" s="14" t="s">
        <v>143</v>
      </c>
      <c r="C71" s="14" t="s">
        <v>144</v>
      </c>
      <c r="D71" s="5">
        <v>3</v>
      </c>
    </row>
    <row r="72" spans="1:35" hidden="1" x14ac:dyDescent="0.25">
      <c r="A72" s="4" t="s">
        <v>7</v>
      </c>
      <c r="B72" s="4" t="s">
        <v>8</v>
      </c>
      <c r="C72" s="4" t="s">
        <v>303</v>
      </c>
    </row>
    <row r="73" spans="1:35" hidden="1" x14ac:dyDescent="0.25">
      <c r="A73" s="4" t="s">
        <v>7</v>
      </c>
      <c r="B73" s="4" t="s">
        <v>196</v>
      </c>
      <c r="C73" s="4" t="s">
        <v>302</v>
      </c>
    </row>
    <row r="74" spans="1:35" x14ac:dyDescent="0.25">
      <c r="A74" s="14" t="s">
        <v>129</v>
      </c>
      <c r="B74" s="14" t="s">
        <v>130</v>
      </c>
      <c r="C74" s="14" t="s">
        <v>131</v>
      </c>
      <c r="D74" s="5">
        <v>1</v>
      </c>
    </row>
    <row r="75" spans="1:35" hidden="1" x14ac:dyDescent="0.25">
      <c r="A75" s="4" t="s">
        <v>145</v>
      </c>
      <c r="B75" s="4" t="s">
        <v>146</v>
      </c>
      <c r="C75" s="4" t="s">
        <v>147</v>
      </c>
    </row>
    <row r="76" spans="1:35" hidden="1" x14ac:dyDescent="0.25">
      <c r="A76" s="4" t="s">
        <v>9</v>
      </c>
      <c r="B76" s="4" t="s">
        <v>87</v>
      </c>
      <c r="C76" s="4" t="s">
        <v>88</v>
      </c>
    </row>
    <row r="77" spans="1:35" hidden="1" x14ac:dyDescent="0.25">
      <c r="A77" s="4" t="s">
        <v>9</v>
      </c>
      <c r="B77" s="4" t="s">
        <v>89</v>
      </c>
      <c r="C77" s="4" t="s">
        <v>90</v>
      </c>
    </row>
    <row r="78" spans="1:35" hidden="1" x14ac:dyDescent="0.25">
      <c r="A78" s="4" t="s">
        <v>9</v>
      </c>
      <c r="B78" s="4" t="s">
        <v>10</v>
      </c>
      <c r="C78" s="4" t="s">
        <v>11</v>
      </c>
      <c r="Z78" s="3"/>
      <c r="AH78" s="3"/>
      <c r="AI78" s="3"/>
    </row>
    <row r="79" spans="1:35" hidden="1" x14ac:dyDescent="0.25">
      <c r="A79" s="4" t="s">
        <v>9</v>
      </c>
      <c r="B79" s="4" t="s">
        <v>12</v>
      </c>
      <c r="C79" s="4" t="s">
        <v>13</v>
      </c>
      <c r="Z79" s="3"/>
      <c r="AH79" s="3"/>
      <c r="AI79" s="3"/>
    </row>
    <row r="80" spans="1:35" hidden="1" x14ac:dyDescent="0.25">
      <c r="A80" s="10" t="s">
        <v>9</v>
      </c>
      <c r="B80" s="10" t="s">
        <v>25</v>
      </c>
      <c r="C80" s="10" t="s">
        <v>304</v>
      </c>
      <c r="Z80" s="3"/>
      <c r="AH80" s="3"/>
      <c r="AI80" s="3"/>
    </row>
    <row r="81" spans="1:35" hidden="1" x14ac:dyDescent="0.25">
      <c r="A81" s="4" t="s">
        <v>9</v>
      </c>
      <c r="B81" s="4" t="s">
        <v>19</v>
      </c>
      <c r="C81" s="4" t="s">
        <v>20</v>
      </c>
      <c r="Z81" s="3"/>
      <c r="AH81" s="3"/>
      <c r="AI81" s="3"/>
    </row>
    <row r="82" spans="1:35" hidden="1" x14ac:dyDescent="0.25">
      <c r="A82" s="4" t="s">
        <v>9</v>
      </c>
      <c r="B82" s="4" t="s">
        <v>21</v>
      </c>
      <c r="C82" s="4" t="s">
        <v>22</v>
      </c>
      <c r="Z82" s="3"/>
      <c r="AH82" s="3"/>
      <c r="AI82" s="3"/>
    </row>
    <row r="83" spans="1:35" hidden="1" x14ac:dyDescent="0.25">
      <c r="A83" s="4" t="s">
        <v>9</v>
      </c>
      <c r="B83" s="4" t="s">
        <v>132</v>
      </c>
      <c r="C83" s="4" t="s">
        <v>133</v>
      </c>
      <c r="Z83" s="3"/>
      <c r="AH83" s="3"/>
      <c r="AI83" s="3"/>
    </row>
    <row r="84" spans="1:35" hidden="1" x14ac:dyDescent="0.25">
      <c r="A84" s="4" t="s">
        <v>9</v>
      </c>
      <c r="B84" s="4" t="s">
        <v>23</v>
      </c>
      <c r="C84" s="4" t="s">
        <v>24</v>
      </c>
    </row>
    <row r="85" spans="1:35" hidden="1" x14ac:dyDescent="0.25">
      <c r="A85" s="4" t="s">
        <v>9</v>
      </c>
      <c r="B85" s="4" t="s">
        <v>91</v>
      </c>
      <c r="C85" s="4" t="s">
        <v>92</v>
      </c>
    </row>
    <row r="86" spans="1:35" hidden="1" x14ac:dyDescent="0.25">
      <c r="A86" s="4" t="s">
        <v>9</v>
      </c>
      <c r="B86" s="4" t="s">
        <v>93</v>
      </c>
      <c r="C86" s="4" t="s">
        <v>94</v>
      </c>
    </row>
    <row r="87" spans="1:35" hidden="1" x14ac:dyDescent="0.25">
      <c r="A87" s="4" t="s">
        <v>9</v>
      </c>
      <c r="B87" s="4" t="s">
        <v>164</v>
      </c>
      <c r="C87" s="4" t="s">
        <v>163</v>
      </c>
    </row>
    <row r="88" spans="1:35" hidden="1" x14ac:dyDescent="0.25">
      <c r="A88" s="10" t="s">
        <v>9</v>
      </c>
      <c r="B88" s="10" t="s">
        <v>166</v>
      </c>
      <c r="C88" s="10" t="s">
        <v>310</v>
      </c>
    </row>
    <row r="89" spans="1:35" hidden="1" x14ac:dyDescent="0.25">
      <c r="A89" s="10" t="s">
        <v>9</v>
      </c>
      <c r="B89" s="10" t="s">
        <v>168</v>
      </c>
      <c r="C89" s="10" t="s">
        <v>311</v>
      </c>
    </row>
    <row r="90" spans="1:35" hidden="1" x14ac:dyDescent="0.25">
      <c r="A90" s="4" t="s">
        <v>9</v>
      </c>
      <c r="B90" s="4" t="s">
        <v>293</v>
      </c>
      <c r="C90" s="4" t="s">
        <v>294</v>
      </c>
    </row>
    <row r="91" spans="1:35" hidden="1" x14ac:dyDescent="0.25">
      <c r="A91" s="4" t="s">
        <v>9</v>
      </c>
      <c r="B91" s="4" t="s">
        <v>248</v>
      </c>
      <c r="C91" s="4" t="s">
        <v>249</v>
      </c>
    </row>
    <row r="92" spans="1:35" x14ac:dyDescent="0.25">
      <c r="A92" s="14" t="s">
        <v>9</v>
      </c>
      <c r="B92" s="14" t="s">
        <v>155</v>
      </c>
      <c r="C92" s="14" t="s">
        <v>156</v>
      </c>
      <c r="D92" s="5">
        <v>1</v>
      </c>
    </row>
    <row r="93" spans="1:35" hidden="1" x14ac:dyDescent="0.25">
      <c r="A93" s="4" t="s">
        <v>27</v>
      </c>
      <c r="B93" s="4" t="s">
        <v>95</v>
      </c>
      <c r="C93" s="4" t="s">
        <v>96</v>
      </c>
    </row>
    <row r="94" spans="1:35" hidden="1" x14ac:dyDescent="0.25">
      <c r="A94" s="4" t="s">
        <v>27</v>
      </c>
      <c r="B94" s="4" t="s">
        <v>97</v>
      </c>
      <c r="C94" s="4" t="s">
        <v>98</v>
      </c>
    </row>
    <row r="95" spans="1:35" hidden="1" x14ac:dyDescent="0.25">
      <c r="A95" s="4" t="s">
        <v>27</v>
      </c>
      <c r="B95" s="4" t="s">
        <v>99</v>
      </c>
      <c r="C95" s="4" t="s">
        <v>100</v>
      </c>
    </row>
    <row r="96" spans="1:35" hidden="1" x14ac:dyDescent="0.25">
      <c r="A96" s="4" t="s">
        <v>27</v>
      </c>
      <c r="B96" s="4" t="s">
        <v>101</v>
      </c>
      <c r="C96" s="4" t="s">
        <v>102</v>
      </c>
    </row>
    <row r="97" spans="1:3" hidden="1" x14ac:dyDescent="0.25">
      <c r="A97" s="4" t="s">
        <v>27</v>
      </c>
      <c r="B97" s="4" t="s">
        <v>103</v>
      </c>
      <c r="C97" s="4" t="s">
        <v>104</v>
      </c>
    </row>
    <row r="98" spans="1:3" hidden="1" x14ac:dyDescent="0.25">
      <c r="A98" s="4" t="s">
        <v>27</v>
      </c>
      <c r="B98" s="4" t="s">
        <v>105</v>
      </c>
      <c r="C98" s="4" t="s">
        <v>106</v>
      </c>
    </row>
    <row r="99" spans="1:3" hidden="1" x14ac:dyDescent="0.25">
      <c r="A99" s="4" t="s">
        <v>27</v>
      </c>
      <c r="B99" s="4" t="s">
        <v>28</v>
      </c>
      <c r="C99" s="4" t="s">
        <v>29</v>
      </c>
    </row>
    <row r="100" spans="1:3" hidden="1" x14ac:dyDescent="0.25">
      <c r="A100" s="4" t="s">
        <v>107</v>
      </c>
      <c r="B100" s="4" t="s">
        <v>108</v>
      </c>
      <c r="C100" s="4" t="s">
        <v>109</v>
      </c>
    </row>
    <row r="101" spans="1:3" hidden="1" x14ac:dyDescent="0.25">
      <c r="A101" s="4" t="s">
        <v>107</v>
      </c>
      <c r="B101" s="4" t="s">
        <v>110</v>
      </c>
      <c r="C101" s="4" t="s">
        <v>111</v>
      </c>
    </row>
    <row r="102" spans="1:3" hidden="1" x14ac:dyDescent="0.25">
      <c r="A102" s="10" t="s">
        <v>107</v>
      </c>
      <c r="B102" s="10" t="s">
        <v>112</v>
      </c>
      <c r="C102" s="10" t="s">
        <v>312</v>
      </c>
    </row>
    <row r="103" spans="1:3" hidden="1" x14ac:dyDescent="0.25">
      <c r="A103" s="4" t="s">
        <v>107</v>
      </c>
      <c r="B103" s="4" t="s">
        <v>250</v>
      </c>
      <c r="C103" s="4" t="s">
        <v>251</v>
      </c>
    </row>
    <row r="104" spans="1:3" hidden="1" x14ac:dyDescent="0.25">
      <c r="A104" s="4" t="s">
        <v>107</v>
      </c>
      <c r="B104" s="4" t="s">
        <v>252</v>
      </c>
      <c r="C104" s="4" t="s">
        <v>253</v>
      </c>
    </row>
    <row r="105" spans="1:3" hidden="1" x14ac:dyDescent="0.25">
      <c r="A105" s="4" t="s">
        <v>107</v>
      </c>
      <c r="B105" s="4" t="s">
        <v>254</v>
      </c>
      <c r="C105" s="4" t="s">
        <v>255</v>
      </c>
    </row>
    <row r="106" spans="1:3" hidden="1" x14ac:dyDescent="0.25">
      <c r="A106" s="4" t="s">
        <v>107</v>
      </c>
      <c r="B106" s="4" t="s">
        <v>256</v>
      </c>
      <c r="C106" s="4" t="s">
        <v>257</v>
      </c>
    </row>
    <row r="107" spans="1:3" hidden="1" x14ac:dyDescent="0.25">
      <c r="A107" s="4" t="s">
        <v>33</v>
      </c>
      <c r="B107" s="4" t="s">
        <v>34</v>
      </c>
      <c r="C107" s="4" t="s">
        <v>35</v>
      </c>
    </row>
    <row r="108" spans="1:3" hidden="1" x14ac:dyDescent="0.25">
      <c r="A108" s="4" t="s">
        <v>258</v>
      </c>
      <c r="B108" s="4" t="s">
        <v>259</v>
      </c>
      <c r="C108" s="4" t="s">
        <v>260</v>
      </c>
    </row>
    <row r="109" spans="1:3" hidden="1" x14ac:dyDescent="0.25">
      <c r="A109" s="4" t="s">
        <v>258</v>
      </c>
      <c r="B109" s="4" t="s">
        <v>261</v>
      </c>
      <c r="C109" s="4" t="s">
        <v>262</v>
      </c>
    </row>
    <row r="110" spans="1:3" hidden="1" x14ac:dyDescent="0.25">
      <c r="A110" s="4" t="s">
        <v>41</v>
      </c>
      <c r="B110" s="4" t="s">
        <v>42</v>
      </c>
      <c r="C110" s="4" t="s">
        <v>43</v>
      </c>
    </row>
    <row r="111" spans="1:3" hidden="1" x14ac:dyDescent="0.25">
      <c r="A111" s="4" t="s">
        <v>263</v>
      </c>
      <c r="B111" s="4" t="s">
        <v>264</v>
      </c>
      <c r="C111" s="4" t="s">
        <v>265</v>
      </c>
    </row>
    <row r="112" spans="1:3" hidden="1" x14ac:dyDescent="0.25">
      <c r="A112" s="4" t="s">
        <v>263</v>
      </c>
      <c r="B112" s="4" t="s">
        <v>266</v>
      </c>
      <c r="C112" s="4" t="s">
        <v>267</v>
      </c>
    </row>
    <row r="113" spans="1:4" hidden="1" x14ac:dyDescent="0.25">
      <c r="A113" s="4" t="s">
        <v>114</v>
      </c>
      <c r="B113" s="4" t="s">
        <v>115</v>
      </c>
      <c r="C113" s="4" t="s">
        <v>116</v>
      </c>
    </row>
    <row r="114" spans="1:4" hidden="1" x14ac:dyDescent="0.25">
      <c r="A114" s="4" t="s">
        <v>44</v>
      </c>
      <c r="B114" s="4" t="s">
        <v>45</v>
      </c>
      <c r="C114" s="4" t="s">
        <v>46</v>
      </c>
    </row>
    <row r="115" spans="1:4" x14ac:dyDescent="0.25">
      <c r="A115" s="14" t="s">
        <v>268</v>
      </c>
      <c r="B115" s="14" t="s">
        <v>269</v>
      </c>
      <c r="C115" s="14" t="s">
        <v>335</v>
      </c>
      <c r="D115" s="5">
        <v>1</v>
      </c>
    </row>
    <row r="116" spans="1:4" hidden="1" x14ac:dyDescent="0.25">
      <c r="A116" s="10" t="s">
        <v>117</v>
      </c>
      <c r="B116" s="10" t="s">
        <v>118</v>
      </c>
      <c r="C116" s="10" t="s">
        <v>119</v>
      </c>
    </row>
    <row r="117" spans="1:4" hidden="1" x14ac:dyDescent="0.25">
      <c r="A117" s="4" t="s">
        <v>120</v>
      </c>
      <c r="B117" s="4" t="s">
        <v>271</v>
      </c>
      <c r="C117" s="4" t="s">
        <v>272</v>
      </c>
    </row>
    <row r="118" spans="1:4" hidden="1" x14ac:dyDescent="0.25">
      <c r="A118" s="4" t="s">
        <v>120</v>
      </c>
      <c r="B118" s="4" t="s">
        <v>273</v>
      </c>
      <c r="C118" s="4" t="s">
        <v>274</v>
      </c>
    </row>
    <row r="119" spans="1:4" hidden="1" x14ac:dyDescent="0.25">
      <c r="A119" s="4" t="s">
        <v>120</v>
      </c>
      <c r="B119" s="4" t="s">
        <v>121</v>
      </c>
      <c r="C119" s="4" t="s">
        <v>122</v>
      </c>
    </row>
    <row r="120" spans="1:4" hidden="1" x14ac:dyDescent="0.25">
      <c r="A120" s="4" t="s">
        <v>120</v>
      </c>
      <c r="B120" s="4" t="s">
        <v>275</v>
      </c>
      <c r="C120" s="4" t="s">
        <v>276</v>
      </c>
    </row>
    <row r="121" spans="1:4" hidden="1" x14ac:dyDescent="0.25">
      <c r="A121" s="4" t="s">
        <v>120</v>
      </c>
      <c r="B121" s="4" t="s">
        <v>198</v>
      </c>
      <c r="C121" s="4" t="s">
        <v>199</v>
      </c>
    </row>
    <row r="122" spans="1:4" hidden="1" x14ac:dyDescent="0.25">
      <c r="A122" s="4" t="s">
        <v>120</v>
      </c>
      <c r="B122" s="4" t="s">
        <v>277</v>
      </c>
      <c r="C122" s="4" t="s">
        <v>278</v>
      </c>
    </row>
    <row r="123" spans="1:4" hidden="1" x14ac:dyDescent="0.25">
      <c r="A123" s="10" t="s">
        <v>120</v>
      </c>
      <c r="B123" s="10" t="s">
        <v>123</v>
      </c>
      <c r="C123" s="10" t="s">
        <v>124</v>
      </c>
    </row>
    <row r="124" spans="1:4" hidden="1" x14ac:dyDescent="0.25">
      <c r="A124" s="10" t="s">
        <v>120</v>
      </c>
      <c r="B124" s="10" t="s">
        <v>125</v>
      </c>
      <c r="C124" s="10" t="s">
        <v>126</v>
      </c>
    </row>
    <row r="125" spans="1:4" hidden="1" x14ac:dyDescent="0.25">
      <c r="A125" s="4" t="s">
        <v>279</v>
      </c>
      <c r="B125" s="4" t="s">
        <v>280</v>
      </c>
      <c r="C125" s="4" t="s">
        <v>281</v>
      </c>
    </row>
    <row r="126" spans="1:4" hidden="1" x14ac:dyDescent="0.25">
      <c r="A126" s="4" t="s">
        <v>282</v>
      </c>
      <c r="B126" s="4" t="s">
        <v>283</v>
      </c>
      <c r="C126" s="4" t="s">
        <v>284</v>
      </c>
    </row>
    <row r="127" spans="1:4" hidden="1" x14ac:dyDescent="0.25">
      <c r="A127" s="4" t="s">
        <v>285</v>
      </c>
      <c r="B127" s="4" t="s">
        <v>286</v>
      </c>
      <c r="C127" s="4" t="s">
        <v>287</v>
      </c>
    </row>
    <row r="128" spans="1:4" hidden="1" x14ac:dyDescent="0.25">
      <c r="A128" s="4" t="s">
        <v>14</v>
      </c>
      <c r="B128" s="4" t="s">
        <v>15</v>
      </c>
      <c r="C128" s="4" t="s">
        <v>16</v>
      </c>
    </row>
    <row r="129" spans="1:4" hidden="1" x14ac:dyDescent="0.25">
      <c r="A129" s="4" t="s">
        <v>14</v>
      </c>
      <c r="B129" s="4" t="s">
        <v>17</v>
      </c>
      <c r="C129" s="4" t="s">
        <v>18</v>
      </c>
    </row>
    <row r="130" spans="1:4" hidden="1" x14ac:dyDescent="0.25">
      <c r="A130" s="4" t="s">
        <v>14</v>
      </c>
      <c r="B130" s="4" t="s">
        <v>201</v>
      </c>
      <c r="C130" s="4" t="s">
        <v>202</v>
      </c>
    </row>
    <row r="131" spans="1:4" hidden="1" x14ac:dyDescent="0.25">
      <c r="A131" s="4" t="s">
        <v>14</v>
      </c>
      <c r="B131" s="4" t="s">
        <v>203</v>
      </c>
      <c r="C131" s="4" t="s">
        <v>204</v>
      </c>
    </row>
    <row r="132" spans="1:4" hidden="1" x14ac:dyDescent="0.25">
      <c r="A132" s="4" t="s">
        <v>36</v>
      </c>
      <c r="B132" s="4" t="s">
        <v>37</v>
      </c>
      <c r="C132" s="4" t="s">
        <v>38</v>
      </c>
    </row>
    <row r="133" spans="1:4" hidden="1" x14ac:dyDescent="0.25">
      <c r="A133" s="14" t="s">
        <v>268</v>
      </c>
      <c r="B133" s="14" t="s">
        <v>337</v>
      </c>
      <c r="C133" s="14" t="s">
        <v>338</v>
      </c>
    </row>
    <row r="134" spans="1:4" x14ac:dyDescent="0.25">
      <c r="A134" s="14" t="s">
        <v>107</v>
      </c>
      <c r="B134" s="14" t="s">
        <v>252</v>
      </c>
      <c r="C134" s="14" t="s">
        <v>253</v>
      </c>
      <c r="D134" s="5">
        <v>1</v>
      </c>
    </row>
    <row r="136" spans="1:4" x14ac:dyDescent="0.25">
      <c r="D136" s="5" t="s">
        <v>349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921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9217" r:id="rId7" name="CommandButton1"/>
      </mc:Fallback>
    </mc:AlternateContent>
    <mc:AlternateContent xmlns:mc="http://schemas.openxmlformats.org/markup-compatibility/2006">
      <mc:Choice Requires="x14">
        <control shapeId="9218" r:id="rId9" name="CommandButton2">
          <controlPr autoLine="0" r:id="rId10">
            <anchor moveWithCells="1">
              <from>
                <xdr:col>7</xdr:col>
                <xdr:colOff>0</xdr:colOff>
                <xdr:row>0</xdr:row>
                <xdr:rowOff>133350</xdr:rowOff>
              </from>
              <to>
                <xdr:col>8</xdr:col>
                <xdr:colOff>276225</xdr:colOff>
                <xdr:row>0</xdr:row>
                <xdr:rowOff>438150</xdr:rowOff>
              </to>
            </anchor>
          </controlPr>
        </control>
      </mc:Choice>
      <mc:Fallback>
        <control shapeId="9218" r:id="rId9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 filterMode="1">
    <pageSetUpPr fitToPage="1"/>
  </sheetPr>
  <dimension ref="A1:AI137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26.42578125" style="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 t="s">
        <v>343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5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341</v>
      </c>
      <c r="D20" s="5">
        <v>4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2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8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3" hidden="1" x14ac:dyDescent="0.25">
      <c r="A33" s="4" t="s">
        <v>47</v>
      </c>
      <c r="B33" s="4" t="s">
        <v>50</v>
      </c>
      <c r="C33" s="4" t="s">
        <v>51</v>
      </c>
    </row>
    <row r="34" spans="1:3" hidden="1" x14ac:dyDescent="0.25">
      <c r="A34" s="4" t="s">
        <v>52</v>
      </c>
      <c r="B34" s="4" t="s">
        <v>213</v>
      </c>
      <c r="C34" s="4" t="s">
        <v>214</v>
      </c>
    </row>
    <row r="35" spans="1:3" hidden="1" x14ac:dyDescent="0.25">
      <c r="A35" s="4" t="s">
        <v>55</v>
      </c>
      <c r="B35" s="4" t="s">
        <v>56</v>
      </c>
      <c r="C35" s="4" t="s">
        <v>57</v>
      </c>
    </row>
    <row r="36" spans="1:3" hidden="1" x14ac:dyDescent="0.25">
      <c r="A36" s="4" t="s">
        <v>30</v>
      </c>
      <c r="B36" s="4" t="s">
        <v>58</v>
      </c>
      <c r="C36" s="4" t="s">
        <v>59</v>
      </c>
    </row>
    <row r="37" spans="1:3" hidden="1" x14ac:dyDescent="0.25">
      <c r="A37" s="4" t="s">
        <v>30</v>
      </c>
      <c r="B37" s="4" t="s">
        <v>60</v>
      </c>
      <c r="C37" s="4" t="s">
        <v>61</v>
      </c>
    </row>
    <row r="38" spans="1:3" hidden="1" x14ac:dyDescent="0.25">
      <c r="A38" s="4" t="s">
        <v>30</v>
      </c>
      <c r="B38" s="4" t="s">
        <v>62</v>
      </c>
      <c r="C38" s="4" t="s">
        <v>63</v>
      </c>
    </row>
    <row r="39" spans="1:3" hidden="1" x14ac:dyDescent="0.25">
      <c r="A39" s="4" t="s">
        <v>30</v>
      </c>
      <c r="B39" s="4" t="s">
        <v>31</v>
      </c>
      <c r="C39" s="4" t="s">
        <v>32</v>
      </c>
    </row>
    <row r="40" spans="1:3" hidden="1" x14ac:dyDescent="0.25">
      <c r="A40" s="4" t="s">
        <v>30</v>
      </c>
      <c r="B40" s="4" t="s">
        <v>39</v>
      </c>
      <c r="C40" s="4" t="s">
        <v>40</v>
      </c>
    </row>
    <row r="41" spans="1:3" hidden="1" x14ac:dyDescent="0.25">
      <c r="A41" s="4" t="s">
        <v>30</v>
      </c>
      <c r="B41" s="4" t="s">
        <v>217</v>
      </c>
      <c r="C41" s="4" t="s">
        <v>218</v>
      </c>
    </row>
    <row r="42" spans="1:3" hidden="1" x14ac:dyDescent="0.25">
      <c r="A42" s="4" t="s">
        <v>30</v>
      </c>
      <c r="B42" s="4" t="s">
        <v>219</v>
      </c>
      <c r="C42" s="4" t="s">
        <v>220</v>
      </c>
    </row>
    <row r="43" spans="1:3" hidden="1" x14ac:dyDescent="0.25">
      <c r="A43" s="4" t="s">
        <v>200</v>
      </c>
      <c r="B43" s="4" t="s">
        <v>221</v>
      </c>
      <c r="C43" s="4" t="s">
        <v>222</v>
      </c>
    </row>
    <row r="44" spans="1:3" hidden="1" x14ac:dyDescent="0.25">
      <c r="A44" s="4" t="s">
        <v>223</v>
      </c>
      <c r="B44" s="4" t="s">
        <v>224</v>
      </c>
      <c r="C44" s="4" t="s">
        <v>225</v>
      </c>
    </row>
    <row r="45" spans="1:3" hidden="1" x14ac:dyDescent="0.25">
      <c r="A45" s="4" t="s">
        <v>0</v>
      </c>
      <c r="B45" s="4" t="s">
        <v>134</v>
      </c>
      <c r="C45" s="4" t="s">
        <v>135</v>
      </c>
    </row>
    <row r="46" spans="1:3" hidden="1" x14ac:dyDescent="0.25">
      <c r="A46" s="4" t="s">
        <v>0</v>
      </c>
      <c r="B46" s="4" t="s">
        <v>1</v>
      </c>
      <c r="C46" s="4" t="s">
        <v>2</v>
      </c>
    </row>
    <row r="47" spans="1:3" hidden="1" x14ac:dyDescent="0.25">
      <c r="A47" s="4" t="s">
        <v>0</v>
      </c>
      <c r="B47" s="4" t="s">
        <v>174</v>
      </c>
      <c r="C47" s="4" t="s">
        <v>175</v>
      </c>
    </row>
    <row r="48" spans="1:3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3" hidden="1" x14ac:dyDescent="0.25">
      <c r="A65" s="4" t="s">
        <v>66</v>
      </c>
      <c r="B65" s="4" t="s">
        <v>71</v>
      </c>
      <c r="C65" s="4" t="s">
        <v>72</v>
      </c>
    </row>
    <row r="66" spans="1:3" hidden="1" x14ac:dyDescent="0.25">
      <c r="A66" s="4" t="s">
        <v>66</v>
      </c>
      <c r="B66" s="4" t="s">
        <v>73</v>
      </c>
      <c r="C66" s="4" t="s">
        <v>74</v>
      </c>
    </row>
    <row r="67" spans="1:3" hidden="1" x14ac:dyDescent="0.25">
      <c r="A67" s="4" t="s">
        <v>4</v>
      </c>
      <c r="B67" s="4" t="s">
        <v>75</v>
      </c>
      <c r="C67" s="4" t="s">
        <v>76</v>
      </c>
    </row>
    <row r="68" spans="1:3" hidden="1" x14ac:dyDescent="0.25">
      <c r="A68" s="4" t="s">
        <v>4</v>
      </c>
      <c r="B68" s="4" t="s">
        <v>77</v>
      </c>
      <c r="C68" s="4" t="s">
        <v>78</v>
      </c>
    </row>
    <row r="69" spans="1:3" hidden="1" x14ac:dyDescent="0.25">
      <c r="A69" s="4" t="s">
        <v>4</v>
      </c>
      <c r="B69" s="4" t="s">
        <v>79</v>
      </c>
      <c r="C69" s="4" t="s">
        <v>80</v>
      </c>
    </row>
    <row r="70" spans="1:3" hidden="1" x14ac:dyDescent="0.25">
      <c r="A70" s="4" t="s">
        <v>4</v>
      </c>
      <c r="B70" s="4" t="s">
        <v>136</v>
      </c>
      <c r="C70" s="4" t="s">
        <v>137</v>
      </c>
    </row>
    <row r="71" spans="1:3" hidden="1" x14ac:dyDescent="0.25">
      <c r="A71" s="4" t="s">
        <v>4</v>
      </c>
      <c r="B71" s="4" t="s">
        <v>81</v>
      </c>
      <c r="C71" s="4" t="s">
        <v>82</v>
      </c>
    </row>
    <row r="72" spans="1:3" hidden="1" x14ac:dyDescent="0.25">
      <c r="A72" s="4" t="s">
        <v>4</v>
      </c>
      <c r="B72" s="4" t="s">
        <v>83</v>
      </c>
      <c r="C72" s="4" t="s">
        <v>84</v>
      </c>
    </row>
    <row r="73" spans="1:3" hidden="1" x14ac:dyDescent="0.25">
      <c r="A73" s="4" t="s">
        <v>4</v>
      </c>
      <c r="B73" s="4" t="s">
        <v>5</v>
      </c>
      <c r="C73" s="4" t="s">
        <v>6</v>
      </c>
    </row>
    <row r="74" spans="1:3" hidden="1" x14ac:dyDescent="0.25">
      <c r="A74" s="4" t="s">
        <v>4</v>
      </c>
      <c r="B74" s="4" t="s">
        <v>127</v>
      </c>
      <c r="C74" s="4" t="s">
        <v>128</v>
      </c>
    </row>
    <row r="75" spans="1:3" hidden="1" x14ac:dyDescent="0.25">
      <c r="A75" s="4" t="s">
        <v>4</v>
      </c>
      <c r="B75" s="4" t="s">
        <v>85</v>
      </c>
      <c r="C75" s="4" t="s">
        <v>86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4" hidden="1" x14ac:dyDescent="0.25">
      <c r="A129" s="4" t="s">
        <v>14</v>
      </c>
      <c r="B129" s="4" t="s">
        <v>15</v>
      </c>
      <c r="C129" s="4" t="s">
        <v>16</v>
      </c>
    </row>
    <row r="130" spans="1:4" hidden="1" x14ac:dyDescent="0.25">
      <c r="A130" s="4" t="s">
        <v>14</v>
      </c>
      <c r="B130" s="4" t="s">
        <v>17</v>
      </c>
      <c r="C130" s="4" t="s">
        <v>18</v>
      </c>
    </row>
    <row r="131" spans="1:4" hidden="1" x14ac:dyDescent="0.25">
      <c r="A131" s="4" t="s">
        <v>14</v>
      </c>
      <c r="B131" s="4" t="s">
        <v>201</v>
      </c>
      <c r="C131" s="4" t="s">
        <v>202</v>
      </c>
    </row>
    <row r="132" spans="1:4" hidden="1" x14ac:dyDescent="0.25">
      <c r="A132" s="4" t="s">
        <v>14</v>
      </c>
      <c r="B132" s="4" t="s">
        <v>203</v>
      </c>
      <c r="C132" s="4" t="s">
        <v>204</v>
      </c>
    </row>
    <row r="133" spans="1:4" hidden="1" x14ac:dyDescent="0.25">
      <c r="A133" s="4" t="s">
        <v>36</v>
      </c>
      <c r="B133" s="4" t="s">
        <v>37</v>
      </c>
      <c r="C133" s="4" t="s">
        <v>38</v>
      </c>
    </row>
    <row r="134" spans="1:4" hidden="1" x14ac:dyDescent="0.25">
      <c r="C134" s="7" t="s">
        <v>342</v>
      </c>
    </row>
    <row r="135" spans="1:4" x14ac:dyDescent="0.25">
      <c r="C135" s="7" t="s">
        <v>344</v>
      </c>
      <c r="D135" s="5" t="s">
        <v>346</v>
      </c>
    </row>
    <row r="136" spans="1:4" x14ac:dyDescent="0.25">
      <c r="D136" s="5" t="s">
        <v>347</v>
      </c>
    </row>
    <row r="137" spans="1:4" x14ac:dyDescent="0.25">
      <c r="D137" s="5" t="s">
        <v>348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0242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0242" r:id="rId7" name="CommandButton2"/>
      </mc:Fallback>
    </mc:AlternateContent>
    <mc:AlternateContent xmlns:mc="http://schemas.openxmlformats.org/markup-compatibility/2006">
      <mc:Choice Requires="x14">
        <control shapeId="10241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4</xdr:col>
                <xdr:colOff>114300</xdr:colOff>
                <xdr:row>0</xdr:row>
                <xdr:rowOff>428625</xdr:rowOff>
              </to>
            </anchor>
          </controlPr>
        </control>
      </mc:Choice>
      <mc:Fallback>
        <control shapeId="10241" r:id="rId9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10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D8" s="5">
        <v>70062.016000000003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D13" s="5">
        <v>1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D19" s="10">
        <v>2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10">
        <v>5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4" hidden="1" x14ac:dyDescent="0.25">
      <c r="A33" s="4" t="s">
        <v>47</v>
      </c>
      <c r="B33" s="4" t="s">
        <v>50</v>
      </c>
      <c r="C33" s="4" t="s">
        <v>51</v>
      </c>
    </row>
    <row r="34" spans="1:4" x14ac:dyDescent="0.25">
      <c r="A34" s="10" t="s">
        <v>52</v>
      </c>
      <c r="B34" s="10" t="s">
        <v>213</v>
      </c>
      <c r="C34" s="10" t="s">
        <v>214</v>
      </c>
      <c r="D34" s="10">
        <v>3</v>
      </c>
    </row>
    <row r="35" spans="1:4" hidden="1" x14ac:dyDescent="0.25">
      <c r="A35" s="4" t="s">
        <v>55</v>
      </c>
      <c r="B35" s="4" t="s">
        <v>56</v>
      </c>
      <c r="C35" s="4" t="s">
        <v>57</v>
      </c>
    </row>
    <row r="36" spans="1:4" hidden="1" x14ac:dyDescent="0.25">
      <c r="A36" s="4" t="s">
        <v>30</v>
      </c>
      <c r="B36" s="4" t="s">
        <v>58</v>
      </c>
      <c r="C36" s="4" t="s">
        <v>59</v>
      </c>
    </row>
    <row r="37" spans="1:4" hidden="1" x14ac:dyDescent="0.25">
      <c r="A37" s="4" t="s">
        <v>30</v>
      </c>
      <c r="B37" s="4" t="s">
        <v>60</v>
      </c>
      <c r="C37" s="4" t="s">
        <v>61</v>
      </c>
    </row>
    <row r="38" spans="1:4" hidden="1" x14ac:dyDescent="0.25">
      <c r="A38" s="4" t="s">
        <v>30</v>
      </c>
      <c r="B38" s="4" t="s">
        <v>62</v>
      </c>
      <c r="C38" s="4" t="s">
        <v>63</v>
      </c>
    </row>
    <row r="39" spans="1:4" hidden="1" x14ac:dyDescent="0.25">
      <c r="A39" s="4" t="s">
        <v>30</v>
      </c>
      <c r="B39" s="4" t="s">
        <v>31</v>
      </c>
      <c r="C39" s="4" t="s">
        <v>32</v>
      </c>
    </row>
    <row r="40" spans="1:4" hidden="1" x14ac:dyDescent="0.25">
      <c r="A40" s="4" t="s">
        <v>30</v>
      </c>
      <c r="B40" s="4" t="s">
        <v>39</v>
      </c>
      <c r="C40" s="4" t="s">
        <v>40</v>
      </c>
    </row>
    <row r="41" spans="1:4" hidden="1" x14ac:dyDescent="0.25">
      <c r="A41" s="4" t="s">
        <v>30</v>
      </c>
      <c r="B41" s="4" t="s">
        <v>217</v>
      </c>
      <c r="C41" s="4" t="s">
        <v>218</v>
      </c>
    </row>
    <row r="42" spans="1:4" hidden="1" x14ac:dyDescent="0.25">
      <c r="A42" s="4" t="s">
        <v>30</v>
      </c>
      <c r="B42" s="4" t="s">
        <v>219</v>
      </c>
      <c r="C42" s="4" t="s">
        <v>220</v>
      </c>
    </row>
    <row r="43" spans="1:4" hidden="1" x14ac:dyDescent="0.25">
      <c r="A43" s="4" t="s">
        <v>200</v>
      </c>
      <c r="B43" s="4" t="s">
        <v>221</v>
      </c>
      <c r="C43" s="4" t="s">
        <v>222</v>
      </c>
    </row>
    <row r="44" spans="1:4" hidden="1" x14ac:dyDescent="0.25">
      <c r="A44" s="4" t="s">
        <v>223</v>
      </c>
      <c r="B44" s="4" t="s">
        <v>224</v>
      </c>
      <c r="C44" s="4" t="s">
        <v>225</v>
      </c>
    </row>
    <row r="45" spans="1:4" hidden="1" x14ac:dyDescent="0.25">
      <c r="A45" s="4" t="s">
        <v>0</v>
      </c>
      <c r="B45" s="4" t="s">
        <v>134</v>
      </c>
      <c r="C45" s="4" t="s">
        <v>135</v>
      </c>
    </row>
    <row r="46" spans="1:4" hidden="1" x14ac:dyDescent="0.25">
      <c r="A46" s="4" t="s">
        <v>0</v>
      </c>
      <c r="B46" s="4" t="s">
        <v>1</v>
      </c>
      <c r="C46" s="4" t="s">
        <v>2</v>
      </c>
    </row>
    <row r="47" spans="1:4" hidden="1" x14ac:dyDescent="0.25">
      <c r="A47" s="4" t="s">
        <v>0</v>
      </c>
      <c r="B47" s="4" t="s">
        <v>174</v>
      </c>
      <c r="C47" s="4" t="s">
        <v>175</v>
      </c>
    </row>
    <row r="48" spans="1:4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5" hidden="1" x14ac:dyDescent="0.25">
      <c r="A65" s="4" t="s">
        <v>66</v>
      </c>
      <c r="B65" s="4" t="s">
        <v>71</v>
      </c>
      <c r="C65" s="4" t="s">
        <v>72</v>
      </c>
    </row>
    <row r="66" spans="1:5" hidden="1" x14ac:dyDescent="0.25">
      <c r="A66" s="4" t="s">
        <v>66</v>
      </c>
      <c r="B66" s="4" t="s">
        <v>73</v>
      </c>
      <c r="C66" s="4" t="s">
        <v>74</v>
      </c>
    </row>
    <row r="67" spans="1:5" hidden="1" x14ac:dyDescent="0.25">
      <c r="A67" s="4" t="s">
        <v>4</v>
      </c>
      <c r="B67" s="4" t="s">
        <v>75</v>
      </c>
      <c r="C67" s="4" t="s">
        <v>76</v>
      </c>
    </row>
    <row r="68" spans="1:5" hidden="1" x14ac:dyDescent="0.25">
      <c r="A68" s="4" t="s">
        <v>4</v>
      </c>
      <c r="B68" s="4" t="s">
        <v>77</v>
      </c>
      <c r="C68" s="4" t="s">
        <v>78</v>
      </c>
    </row>
    <row r="69" spans="1:5" hidden="1" x14ac:dyDescent="0.25">
      <c r="A69" s="4" t="s">
        <v>4</v>
      </c>
      <c r="B69" s="4" t="s">
        <v>79</v>
      </c>
      <c r="C69" s="4" t="s">
        <v>80</v>
      </c>
    </row>
    <row r="70" spans="1:5" hidden="1" x14ac:dyDescent="0.25">
      <c r="A70" s="4" t="s">
        <v>4</v>
      </c>
      <c r="B70" s="4" t="s">
        <v>136</v>
      </c>
      <c r="C70" s="4" t="s">
        <v>137</v>
      </c>
    </row>
    <row r="71" spans="1:5" hidden="1" x14ac:dyDescent="0.25">
      <c r="A71" s="4" t="s">
        <v>4</v>
      </c>
      <c r="B71" s="4" t="s">
        <v>81</v>
      </c>
      <c r="C71" s="4" t="s">
        <v>82</v>
      </c>
    </row>
    <row r="72" spans="1:5" hidden="1" x14ac:dyDescent="0.25">
      <c r="A72" s="4" t="s">
        <v>4</v>
      </c>
      <c r="B72" s="4" t="s">
        <v>83</v>
      </c>
      <c r="C72" s="4" t="s">
        <v>84</v>
      </c>
    </row>
    <row r="73" spans="1:5" hidden="1" x14ac:dyDescent="0.25">
      <c r="A73" s="4" t="s">
        <v>4</v>
      </c>
      <c r="B73" s="4" t="s">
        <v>5</v>
      </c>
      <c r="C73" s="4" t="s">
        <v>6</v>
      </c>
    </row>
    <row r="74" spans="1:5" hidden="1" x14ac:dyDescent="0.25">
      <c r="A74" s="4" t="s">
        <v>4</v>
      </c>
      <c r="B74" s="4" t="s">
        <v>127</v>
      </c>
      <c r="C74" s="4" t="s">
        <v>128</v>
      </c>
    </row>
    <row r="75" spans="1:5" x14ac:dyDescent="0.25">
      <c r="A75" s="10" t="s">
        <v>4</v>
      </c>
      <c r="B75" s="10" t="s">
        <v>85</v>
      </c>
      <c r="C75" s="10" t="s">
        <v>350</v>
      </c>
      <c r="D75" s="10">
        <v>6</v>
      </c>
      <c r="E75" s="10" t="s">
        <v>371</v>
      </c>
    </row>
    <row r="76" spans="1:5" hidden="1" x14ac:dyDescent="0.25">
      <c r="A76" s="4" t="s">
        <v>4</v>
      </c>
      <c r="B76" s="4" t="s">
        <v>184</v>
      </c>
      <c r="C76" s="4" t="s">
        <v>185</v>
      </c>
    </row>
    <row r="77" spans="1:5" hidden="1" x14ac:dyDescent="0.25">
      <c r="A77" s="4" t="s">
        <v>4</v>
      </c>
      <c r="B77" s="4" t="s">
        <v>186</v>
      </c>
      <c r="C77" s="4" t="s">
        <v>187</v>
      </c>
    </row>
    <row r="78" spans="1:5" hidden="1" x14ac:dyDescent="0.25">
      <c r="A78" s="4" t="s">
        <v>4</v>
      </c>
      <c r="B78" s="4" t="s">
        <v>190</v>
      </c>
      <c r="C78" s="4" t="s">
        <v>191</v>
      </c>
    </row>
    <row r="79" spans="1:5" hidden="1" x14ac:dyDescent="0.25">
      <c r="A79" s="4" t="s">
        <v>4</v>
      </c>
      <c r="B79" s="4" t="s">
        <v>192</v>
      </c>
      <c r="C79" s="4" t="s">
        <v>193</v>
      </c>
    </row>
    <row r="80" spans="1:5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1265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1265" r:id="rId7" name="CommandButton1"/>
      </mc:Fallback>
    </mc:AlternateContent>
    <mc:AlternateContent xmlns:mc="http://schemas.openxmlformats.org/markup-compatibility/2006">
      <mc:Choice Requires="x14">
        <control shapeId="11266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1266" r:id="rId9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4" filterMode="1">
    <pageSetUpPr fitToPage="1"/>
  </sheetPr>
  <dimension ref="A1:AM135"/>
  <sheetViews>
    <sheetView topLeftCell="D1"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C1" s="7" t="str">
        <f ca="1">MID(CELL("filename",A1),FIND("]",CELL("filename",A1))+1,256)</f>
        <v>rgo190006</v>
      </c>
      <c r="F1" s="6" t="s">
        <v>339</v>
      </c>
      <c r="J1" s="6" t="s">
        <v>288</v>
      </c>
      <c r="K1" s="15" t="s">
        <v>354</v>
      </c>
      <c r="L1" s="16"/>
      <c r="M1" s="16" t="s">
        <v>355</v>
      </c>
      <c r="N1" s="17"/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373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F24" s="10" t="s">
        <v>358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3314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3314" r:id="rId7" name="CommandButton2"/>
      </mc:Fallback>
    </mc:AlternateContent>
    <mc:AlternateContent xmlns:mc="http://schemas.openxmlformats.org/markup-compatibility/2006">
      <mc:Choice Requires="x14">
        <control shapeId="13313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3313" r:id="rId9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F1" s="6" t="s">
        <v>339</v>
      </c>
      <c r="J1" s="6" t="s">
        <v>288</v>
      </c>
      <c r="L1" s="15" t="s">
        <v>353</v>
      </c>
      <c r="M1" s="16">
        <v>1004</v>
      </c>
      <c r="N1" s="17">
        <v>1015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2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2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372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6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4</v>
      </c>
      <c r="F24" s="18"/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/>
      <c r="B134" s="4"/>
      <c r="C134" s="4"/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  <row r="136" spans="1:39" x14ac:dyDescent="0.25">
      <c r="Q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9" scale="47" orientation="landscape" r:id="rId4"/>
  <drawing r:id="rId5"/>
  <legacyDrawing r:id="rId6"/>
  <controls>
    <mc:AlternateContent xmlns:mc="http://schemas.openxmlformats.org/markup-compatibility/2006">
      <mc:Choice Requires="x14">
        <control shapeId="4098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098" r:id="rId7" name="CommandButton2"/>
      </mc:Fallback>
    </mc:AlternateContent>
    <mc:AlternateContent xmlns:mc="http://schemas.openxmlformats.org/markup-compatibility/2006">
      <mc:Choice Requires="x14">
        <control shapeId="409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097" r:id="rId9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5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4338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4338" r:id="rId7" name="CommandButton2"/>
      </mc:Fallback>
    </mc:AlternateContent>
    <mc:AlternateContent xmlns:mc="http://schemas.openxmlformats.org/markup-compatibility/2006">
      <mc:Choice Requires="x14">
        <control shapeId="1433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4337" r:id="rId9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26</vt:i4>
      </vt:variant>
    </vt:vector>
  </HeadingPairs>
  <TitlesOfParts>
    <vt:vector size="26" baseType="lpstr">
      <vt:lpstr>rgo190030sabrina</vt:lpstr>
      <vt:lpstr>rde190006</vt:lpstr>
      <vt:lpstr>batch50</vt:lpstr>
      <vt:lpstr>rgo190021</vt:lpstr>
      <vt:lpstr>rgo190023</vt:lpstr>
      <vt:lpstr>batch49</vt:lpstr>
      <vt:lpstr>mst rijschoolkortrijk</vt:lpstr>
      <vt:lpstr>batch48</vt:lpstr>
      <vt:lpstr>rgo190016</vt:lpstr>
      <vt:lpstr>rgo190015</vt:lpstr>
      <vt:lpstr>batch47</vt:lpstr>
      <vt:lpstr>batch46</vt:lpstr>
      <vt:lpstr>mst (template)save-as (6)</vt:lpstr>
      <vt:lpstr>rgo190011</vt:lpstr>
      <vt:lpstr>rgo190010</vt:lpstr>
      <vt:lpstr>RGO190009 a-s.be kris buyl.</vt:lpstr>
      <vt:lpstr>rgo180032</vt:lpstr>
      <vt:lpstr>batch43</vt:lpstr>
      <vt:lpstr>rgo190003</vt:lpstr>
      <vt:lpstr>rgo180008-batch3</vt:lpstr>
      <vt:lpstr>batch44</vt:lpstr>
      <vt:lpstr>RGO190005 batchv5</vt:lpstr>
      <vt:lpstr>batch45</vt:lpstr>
      <vt:lpstr>rgo190006</vt:lpstr>
      <vt:lpstr>rgo190007</vt:lpstr>
      <vt:lpstr>rgo190008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2019-08-12T13:17:04Z</cp:lastPrinted>
  <dcterms:created xsi:type="dcterms:W3CDTF">2018-12-18T07:43:50Z</dcterms:created>
  <dcterms:modified xsi:type="dcterms:W3CDTF">2019-09-18T13:21:47Z</dcterms:modified>
</cp:coreProperties>
</file>