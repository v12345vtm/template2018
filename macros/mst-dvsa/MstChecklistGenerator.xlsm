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Props/core0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openxmlformats.org/officedocument/2006/relationships/metadata/core-properties" Target="docProps/core0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mst-dvsa\"/>
    </mc:Choice>
  </mc:AlternateContent>
  <bookViews>
    <workbookView xWindow="0" yWindow="0" windowWidth="16380" windowHeight="8190" tabRatio="500" activeTab="1"/>
  </bookViews>
  <sheets>
    <sheet name="checklijstDVSA" sheetId="1" r:id="rId1"/>
    <sheet name="batch" sheetId="5" r:id="rId2"/>
    <sheet name="Blad5" sheetId="9" r:id="rId3"/>
    <sheet name="Blad4" sheetId="8" r:id="rId4"/>
    <sheet name="Blad2" sheetId="4" r:id="rId5"/>
    <sheet name="Blad1" sheetId="6" r:id="rId6"/>
    <sheet name="Blad3" sheetId="7" r:id="rId7"/>
  </sheets>
  <functionGroups builtInGroupCount="18"/>
  <definedNames>
    <definedName name="_xlnm._FilterDatabase" localSheetId="1" hidden="1">batch!$A$1:$Z$271</definedName>
    <definedName name="_Toc168375894_2">"$#VERW!.$A$58"</definedName>
    <definedName name="_Toc168375895_2">"$#VERW!.$A$64"</definedName>
    <definedName name="_xlnm.Print_Area" localSheetId="1">batch!$A$1:$P$268</definedName>
    <definedName name="_xlnm.Print_Area" localSheetId="0">checklijstDVSA!$A$1:$H$64</definedName>
    <definedName name="Print_Area" localSheetId="0">checklijstDVSA!$A$1:$G$161</definedName>
  </definedNames>
  <calcPr calcId="162913"/>
  <extLs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D258" i="5" l="1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G2" i="9"/>
  <c r="G7" i="9"/>
  <c r="G8" i="9"/>
  <c r="G12" i="9"/>
  <c r="G13" i="9"/>
  <c r="G14" i="9"/>
  <c r="G21" i="9"/>
  <c r="G23" i="9"/>
  <c r="G26" i="9"/>
  <c r="G27" i="9"/>
  <c r="G28" i="9"/>
  <c r="G29" i="9"/>
  <c r="G30" i="9"/>
  <c r="G31" i="9"/>
  <c r="G32" i="9"/>
  <c r="G39" i="9"/>
  <c r="G40" i="9"/>
  <c r="G41" i="9"/>
  <c r="G42" i="9"/>
  <c r="G43" i="9"/>
  <c r="G45" i="9"/>
  <c r="G46" i="9"/>
  <c r="G47" i="9"/>
  <c r="G48" i="9"/>
  <c r="O66" i="7" l="1"/>
  <c r="AL66" i="7"/>
  <c r="O67" i="7"/>
  <c r="AL67" i="7"/>
  <c r="O68" i="7"/>
  <c r="AL68" i="7"/>
  <c r="AL69" i="7"/>
  <c r="AL70" i="7"/>
  <c r="AL71" i="7"/>
  <c r="O72" i="7"/>
  <c r="AL72" i="7"/>
  <c r="O73" i="7"/>
  <c r="AL73" i="7"/>
  <c r="O74" i="7"/>
  <c r="AL74" i="7"/>
  <c r="AL75" i="7"/>
  <c r="AL76" i="7"/>
  <c r="O77" i="7"/>
  <c r="AL77" i="7"/>
  <c r="O78" i="7"/>
  <c r="AL78" i="7"/>
  <c r="O79" i="7"/>
  <c r="AL79" i="7"/>
  <c r="AL80" i="7"/>
  <c r="AL81" i="7"/>
  <c r="AL82" i="7"/>
  <c r="O83" i="7"/>
  <c r="AL83" i="7"/>
  <c r="O84" i="7"/>
  <c r="AL84" i="7"/>
  <c r="O85" i="7"/>
  <c r="AL85" i="7"/>
  <c r="O86" i="7"/>
  <c r="AL86" i="7"/>
  <c r="O87" i="7"/>
  <c r="AL87" i="7"/>
  <c r="O88" i="7"/>
  <c r="AL88" i="7"/>
  <c r="AL89" i="7"/>
  <c r="AL90" i="7"/>
  <c r="O91" i="7"/>
  <c r="AL91" i="7"/>
  <c r="D172" i="5" l="1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P17" i="7"/>
  <c r="P24" i="7"/>
  <c r="P35" i="7"/>
  <c r="P36" i="7"/>
  <c r="P37" i="7"/>
  <c r="P40" i="7"/>
  <c r="P42" i="7"/>
  <c r="P45" i="7"/>
  <c r="P46" i="7"/>
  <c r="P47" i="7"/>
  <c r="P48" i="7"/>
  <c r="P49" i="7"/>
  <c r="P52" i="7"/>
  <c r="P53" i="7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2" i="4"/>
  <c r="B2" i="1" l="1"/>
  <c r="D35" i="5" l="1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</calcChain>
</file>

<file path=xl/sharedStrings.xml><?xml version="1.0" encoding="utf-8"?>
<sst xmlns="http://schemas.openxmlformats.org/spreadsheetml/2006/main" count="3059" uniqueCount="1004">
  <si>
    <t>Refurbishment - SPEEDOSCOPE DVSA – 060392A00-G3N01_</t>
  </si>
  <si>
    <t>Date:</t>
  </si>
  <si>
    <t>By:</t>
  </si>
  <si>
    <t>….......VT.........................…</t>
  </si>
  <si>
    <t>MST2-R sn°:</t>
  </si>
  <si>
    <t>Software:</t>
  </si>
  <si>
    <t>…...................................</t>
  </si>
  <si>
    <t>rolmeter klasse || (C0061)</t>
  </si>
  <si>
    <t>C0061</t>
  </si>
  <si>
    <t>testtoestel (Speedocal GOCA)</t>
  </si>
  <si>
    <t>R0032</t>
  </si>
  <si>
    <t>testtoestel (Speedocal DSA mst2)</t>
  </si>
  <si>
    <t>R0025</t>
  </si>
  <si>
    <t>Kalibratiekaliber speedosoop</t>
  </si>
  <si>
    <t>R0030</t>
  </si>
  <si>
    <t>Nieuwe SerieNR-sticker</t>
  </si>
  <si>
    <t>Nieuwe Batterij</t>
  </si>
  <si>
    <t>Nieuwe Voedingsconnector + voeding</t>
  </si>
  <si>
    <t>Nieuwe On/Off Knop</t>
  </si>
  <si>
    <t>Drop time 15min</t>
  </si>
  <si>
    <t>Nieuwe Handleiding</t>
  </si>
  <si>
    <t>Nieuw Certificaat</t>
  </si>
  <si>
    <t>Repair</t>
  </si>
  <si>
    <t>Tijd</t>
  </si>
  <si>
    <t>3 Inox voetjes (3x DRFR-050910_00MST)</t>
  </si>
  <si>
    <t>visuele controle condensator onderkant voedingsprint + 5x azijnsilicone pcb</t>
  </si>
  <si>
    <t>alle connectoren met silicone</t>
  </si>
  <si>
    <t>Standard Checks</t>
  </si>
  <si>
    <t>Voeding (opladen+batterijspanning)</t>
  </si>
  <si>
    <t>Spanning:</t>
  </si>
  <si>
    <t>Luchtdchtheid en stikstof</t>
  </si>
  <si>
    <t>LCD (Contrast/helderheid/damp)</t>
  </si>
  <si>
    <t>On/Off knop (werking/LED/automatisch uitschakelen)</t>
  </si>
  <si>
    <t>Select knop (werking)</t>
  </si>
  <si>
    <t>Seriele uitgang (werking)</t>
  </si>
  <si>
    <t>Bluetooth (werking)</t>
  </si>
  <si>
    <t>BRC-R sn°:</t>
  </si>
  <si>
    <t>Refurbisment</t>
  </si>
  <si>
    <t>Nieuwe Batterijen + klemrubber</t>
  </si>
  <si>
    <t>LCD (Contrast/helderheid)</t>
  </si>
  <si>
    <t>On/Off knop (werking/automatisch uitschakelen 1min)</t>
  </si>
  <si>
    <t>Meegeleverde Adapter (werking)</t>
  </si>
  <si>
    <t>Bluetooth (werking 15m)</t>
  </si>
  <si>
    <t>werk</t>
  </si>
  <si>
    <t>extrawerk buiten forfait in minuten</t>
  </si>
  <si>
    <t>ZZZ</t>
  </si>
  <si>
    <t>O-miniccal</t>
  </si>
  <si>
    <t>O-Speedo</t>
  </si>
  <si>
    <t>COMP</t>
  </si>
  <si>
    <t>BOAR-BLUETOOTH</t>
  </si>
  <si>
    <t>TBH -BLUETOOTH-ANTENNE</t>
  </si>
  <si>
    <t>Bluetooth antenne BT STUBBY ST SMA</t>
  </si>
  <si>
    <t>TBH -BLUETOOTHKABEL-15CM</t>
  </si>
  <si>
    <t>Bluetoothkabel 15 cm</t>
  </si>
  <si>
    <t>BAT</t>
  </si>
  <si>
    <t>Batterijpak NiMh 7,20V 9000mAh  Blok 195x35x60mm - kabel 15cm</t>
  </si>
  <si>
    <t>DRKKN</t>
  </si>
  <si>
    <t>APE-PIE-22MM-LED-GR</t>
  </si>
  <si>
    <t>Drukknop Apem piezo 22mm - Led green</t>
  </si>
  <si>
    <t>APE-PIE-22MM-LED-NO</t>
  </si>
  <si>
    <t>Drukknop Apem piezo 22mm - No led</t>
  </si>
  <si>
    <t>EAO-CON-84-8510.0020</t>
  </si>
  <si>
    <t>Drukknop EAO contactblok mom. 1NO dia.22,5mm</t>
  </si>
  <si>
    <t>ORING</t>
  </si>
  <si>
    <t>189,0X02,5-NBR70-G</t>
  </si>
  <si>
    <t>O-ring 189x 2.5 mm NBR70 - gelijmd</t>
  </si>
  <si>
    <t>510,0X02,5-NBR70-G</t>
  </si>
  <si>
    <t>O-ring 510x 2.5 mm NBR70 - gelijmd</t>
  </si>
  <si>
    <t>LCD</t>
  </si>
  <si>
    <t>GRA-WG160128B-YYH-T</t>
  </si>
  <si>
    <t>naakte LCD-display 5' voor MST</t>
  </si>
  <si>
    <t>GRA-WG12864E-NYG-V</t>
  </si>
  <si>
    <t>lcd voor brc</t>
  </si>
  <si>
    <t>MONTB</t>
  </si>
  <si>
    <t>PLA-BORGRING-4.2X8X2.5</t>
  </si>
  <si>
    <t>HFPRI</t>
  </si>
  <si>
    <t>020495A00MST/</t>
  </si>
  <si>
    <t>LCD display MST Rev A met weerstand erbij</t>
  </si>
  <si>
    <t>HF</t>
  </si>
  <si>
    <t>070235A00MST</t>
  </si>
  <si>
    <t>Knop module ON/C MST2 (Piezo) met kabeltje aan</t>
  </si>
  <si>
    <t>070237A00MST</t>
  </si>
  <si>
    <t>Knop module Select MST (Piezo) met kabeltje aan</t>
  </si>
  <si>
    <t>150310_01MST</t>
  </si>
  <si>
    <t xml:space="preserve">refurbischkit </t>
  </si>
  <si>
    <t>EAO-CON-84-8512.4620</t>
  </si>
  <si>
    <t>Drukknop EAO contactblok mom. 1NO vmet ledje dia.22,5mm</t>
  </si>
  <si>
    <t>DRFR</t>
  </si>
  <si>
    <t>070214_00MST</t>
  </si>
  <si>
    <t>Staaf handvat speedoscope MST2</t>
  </si>
  <si>
    <t>FOCEL</t>
  </si>
  <si>
    <t>IND- -PL30ASICK</t>
  </si>
  <si>
    <t>Industriële fotocel  reflector 58x28mm PL30A Sick</t>
  </si>
  <si>
    <t>EAO-LIC-84-1101.0</t>
  </si>
  <si>
    <t>Drukknop EAO lichaam dia.22,5mm</t>
  </si>
  <si>
    <t>050910_00MST</t>
  </si>
  <si>
    <t>Steunvoet klein MST - RVS</t>
  </si>
  <si>
    <t>020511_00MST</t>
  </si>
  <si>
    <t>Transformator en laadkabel MST GOCA lader</t>
  </si>
  <si>
    <t>NIM-01,20V-02,00Ah-AA-ENELOOP</t>
  </si>
  <si>
    <t>Batterij NiMh 01,20V 02,00Ah   -AA - Eneloop</t>
  </si>
  <si>
    <t>EAO-KAP-84-7111.400</t>
  </si>
  <si>
    <t>Lens EAO geel dia.22,5mm</t>
  </si>
  <si>
    <t>ELEM</t>
  </si>
  <si>
    <t>HAND-ELESA-M.443/140-8-CH</t>
  </si>
  <si>
    <t>Handvat ELESA oranje (goca)</t>
  </si>
  <si>
    <t>HAND-NYLON-KORT</t>
  </si>
  <si>
    <t>Handvat zwart ( niet de buis maar hoek)</t>
  </si>
  <si>
    <t>AFBUS</t>
  </si>
  <si>
    <t>NY-D-02,2X04,0</t>
  </si>
  <si>
    <t>Afstandsbus nylon D 2,2 x 4 mm</t>
  </si>
  <si>
    <t>NY-D-02,6X05,0-BD04</t>
  </si>
  <si>
    <t>Afstandsbus nylon D 2.6 x 5 mm - buitendiameter 4</t>
  </si>
  <si>
    <t>NY-D-02,6X07,5</t>
  </si>
  <si>
    <t>Afstandsbus nylon D 2.6 x 7.5 mm - buitendiameter 4</t>
  </si>
  <si>
    <t>NY-D-03,0X04,0</t>
  </si>
  <si>
    <t>Afstandsbus nylon D 3 x 4 mm</t>
  </si>
  <si>
    <t>NY-D-03,0X06,0</t>
  </si>
  <si>
    <t>Afstandsbus nylon D 3 x 6 mm</t>
  </si>
  <si>
    <t>NY-D-03,2X02,1-AR</t>
  </si>
  <si>
    <t>Afstandsbus nylon D 3.2 x 2.1 mm - antiverliesring</t>
  </si>
  <si>
    <t>BEWKO</t>
  </si>
  <si>
    <t>020579_00MST</t>
  </si>
  <si>
    <t>Afdichtschroef gasvulling MST GOCA</t>
  </si>
  <si>
    <t>CONRO</t>
  </si>
  <si>
    <t>M08-00P- - ZWARTKAPJE</t>
  </si>
  <si>
    <t>Zwart kapje M8</t>
  </si>
  <si>
    <t>M12-00P- - GEELAFDEKKAPJE</t>
  </si>
  <si>
    <t>Geel afdekkapje</t>
  </si>
  <si>
    <t>M12-00P- - ZWARTKAPJE</t>
  </si>
  <si>
    <t>Zwart kapje M12</t>
  </si>
  <si>
    <t>M12-04P-R-V</t>
  </si>
  <si>
    <t>Ronde connector M12 04P recht Vrl.</t>
  </si>
  <si>
    <t>M12-05P-R-M</t>
  </si>
  <si>
    <t>Ronde connector M12 05P recht Mnl.</t>
  </si>
  <si>
    <t>MET-03P-C-V-LEMO</t>
  </si>
  <si>
    <t>Ronde connector metaal 03P chassis Vrl. -LEMO</t>
  </si>
  <si>
    <t>PLA-03P- - AFDEKKAPJE-LEMO</t>
  </si>
  <si>
    <t>Afdekkapje Lemo 3P</t>
  </si>
  <si>
    <t>DICHT</t>
  </si>
  <si>
    <t>DPR-SR-NEOPRENE</t>
  </si>
  <si>
    <t>Sponsrubberprofiel Neoprene</t>
  </si>
  <si>
    <t>DIVKO</t>
  </si>
  <si>
    <t>OMHANGKOORD</t>
  </si>
  <si>
    <t>LanyardSafety omhangkoord donkerblauw</t>
  </si>
  <si>
    <t>DIVMA</t>
  </si>
  <si>
    <t>020533_00MST</t>
  </si>
  <si>
    <t>Rubber groot MST</t>
  </si>
  <si>
    <t>020536_00MST</t>
  </si>
  <si>
    <t>Venster LCD display MST Goca</t>
  </si>
  <si>
    <t>070211_00MST</t>
  </si>
  <si>
    <t>Venster display speedoscope MST2</t>
  </si>
  <si>
    <t>070212A00MST</t>
  </si>
  <si>
    <t>Afdichtrubber inkijkvenster speedoscope MST2</t>
  </si>
  <si>
    <t>080045_00MST</t>
  </si>
  <si>
    <t>Afdichtrubber SD-card opening BRC</t>
  </si>
  <si>
    <t>DNBOU</t>
  </si>
  <si>
    <t>0912-M02X06-RVS</t>
  </si>
  <si>
    <t>Binnenzeskantbout cylinderkop DIN0912  M 2x06mm A2</t>
  </si>
  <si>
    <t>0912-M03X08-RVS</t>
  </si>
  <si>
    <t>Binnenzeskantbout cylinderkop DIN0912  M 3x08mm A2</t>
  </si>
  <si>
    <t>0912-M04X08-RVS</t>
  </si>
  <si>
    <t>Binnenzeskantbout cylinderkop DIN0912  M 4x08mm A2</t>
  </si>
  <si>
    <t>0912-M04X60-RVS</t>
  </si>
  <si>
    <t>Binnenzeskantbout cylinderkop DIN0912  M 4x60mm A2</t>
  </si>
  <si>
    <t>7991-M08X10-RVS</t>
  </si>
  <si>
    <t>Binnenzeskantbout met verz.kop DIN7991  M 8x10mm A2</t>
  </si>
  <si>
    <t>9999-M02X06-RVS</t>
  </si>
  <si>
    <t>Laagbolkopschroef met flens M2x6 RVS</t>
  </si>
  <si>
    <t>DNSCH</t>
  </si>
  <si>
    <t>0084-M02X08-RVS</t>
  </si>
  <si>
    <t>Metaalschroef cylinderkop DIN0084 M 2x 08mm A2</t>
  </si>
  <si>
    <t>0916-M02X16-RVS-2.5</t>
  </si>
  <si>
    <t>Stelschroef binnenzesk.kraterp DIN0916 M 2.5 x 16mm A2</t>
  </si>
  <si>
    <t>0916-M05X12-RVS</t>
  </si>
  <si>
    <t>Stelschroef binnenzesk.kraterp DIN0916 M 5x 12mm A2</t>
  </si>
  <si>
    <t>0963-M02X12-RVS</t>
  </si>
  <si>
    <t>Metaalschroef verzonken kop DIN0963 M 2x 12mm A2</t>
  </si>
  <si>
    <t>0965-M02X10-RVS-2.5</t>
  </si>
  <si>
    <t>Metaalschroef verz.kop kruis DIN0965 M 2.5 x 10mm A2</t>
  </si>
  <si>
    <t>0965-M03X08-RVS</t>
  </si>
  <si>
    <t>Metaalschroef verz.kop kruis DIN0965 M 3x 08mm A2</t>
  </si>
  <si>
    <t>0965-M04X10-RVS</t>
  </si>
  <si>
    <t>Metaalschroef verz.kop kruis DIN0965 M 4x 10mm A2</t>
  </si>
  <si>
    <t>7985-M02X06-RVS2.5</t>
  </si>
  <si>
    <t>Metaalschroef cyl.kop kruisin. DIN7985 M 2.5x 06mm A2</t>
  </si>
  <si>
    <t>7985-M02X10-RVS-2.5</t>
  </si>
  <si>
    <t>Metaalschroef cyl.kop kruisin. DIN7985 M 2.5 x 10mm A2</t>
  </si>
  <si>
    <t>7985-M03X06-RVS</t>
  </si>
  <si>
    <t>Metaalschroef cyl.kop kruisin. DIN7985 M 3x 06mm A2</t>
  </si>
  <si>
    <t>7985-M03X12-RVS</t>
  </si>
  <si>
    <t>Metaalschroef cyl.kop kruisin. DIN7985 M 3x 12mm A2</t>
  </si>
  <si>
    <t>020525_00MST</t>
  </si>
  <si>
    <t>Batterijklem MST GOCA</t>
  </si>
  <si>
    <t>020526_00MST</t>
  </si>
  <si>
    <t>Regelplaat fotocel MST GOCA</t>
  </si>
  <si>
    <t>020527_00MST</t>
  </si>
  <si>
    <t>Rondsel speciaal MST GOCA</t>
  </si>
  <si>
    <t>020532B00MST</t>
  </si>
  <si>
    <t>Steunvoet refectorhouder MST !!! WIJZIGT 02/09/2015 !!!</t>
  </si>
  <si>
    <t>030080_00MST</t>
  </si>
  <si>
    <t>Behuizing speedoscope MST</t>
  </si>
  <si>
    <t>030081_00MST</t>
  </si>
  <si>
    <t>Batterijdeksel speedoscope MST</t>
  </si>
  <si>
    <t>030084_00MST</t>
  </si>
  <si>
    <t>Deksel behuizing speedoscope MST</t>
  </si>
  <si>
    <t>030087_00MST</t>
  </si>
  <si>
    <t>Steun reflector main speedoscope MST</t>
  </si>
  <si>
    <t>070174_00MST</t>
  </si>
  <si>
    <t>Deksel behuizing speedoscope MST2 (DSA)</t>
  </si>
  <si>
    <t>070213_00MST</t>
  </si>
  <si>
    <t>Kader display speedoscope MST2</t>
  </si>
  <si>
    <t>070215_00MST</t>
  </si>
  <si>
    <t>Beschermhuls antenne speedoscope MST2</t>
  </si>
  <si>
    <t>070216_00MST</t>
  </si>
  <si>
    <t>Draadbus antenne speedoscope MST2</t>
  </si>
  <si>
    <t>070217_00MST</t>
  </si>
  <si>
    <t>Klemring antennehouder speedoscope MST2</t>
  </si>
  <si>
    <t>070218_00MST</t>
  </si>
  <si>
    <t>Geraamte dubbele reflector speedoscope MST2</t>
  </si>
  <si>
    <t>080043_00MST</t>
  </si>
  <si>
    <t>Steun SD-card opening BRC</t>
  </si>
  <si>
    <t>080044_00MST</t>
  </si>
  <si>
    <t>Deksel SD-card opening BRC</t>
  </si>
  <si>
    <t>APE-PIE-16MM-LED-GR/RD</t>
  </si>
  <si>
    <t>Drukknop Apem piezo 16mm - Led groen/rood</t>
  </si>
  <si>
    <t>HEAD</t>
  </si>
  <si>
    <t>2.54-V-1-02P-R-KBL</t>
  </si>
  <si>
    <t>Header 2.54 Vrl. 1 rij 02P recht kabel</t>
  </si>
  <si>
    <t>020497_00MST</t>
  </si>
  <si>
    <t>Fotocel module 1 MST Goca</t>
  </si>
  <si>
    <t>020498_00MST</t>
  </si>
  <si>
    <t>Fotocel module 2 MST Goca</t>
  </si>
  <si>
    <t>020504_00MST</t>
  </si>
  <si>
    <t>Knop module ON/C MST Goca</t>
  </si>
  <si>
    <t>020505_00MST</t>
  </si>
  <si>
    <t>Knop module select MST Goca</t>
  </si>
  <si>
    <t>020558_00MST</t>
  </si>
  <si>
    <t>Externe kabelset module MST</t>
  </si>
  <si>
    <t>020637_00MST</t>
  </si>
  <si>
    <t>Koffer MST Goca</t>
  </si>
  <si>
    <t>030089A00MST</t>
  </si>
  <si>
    <t>Steunvoet refectorhouder MST</t>
  </si>
  <si>
    <t>030093_00MST</t>
  </si>
  <si>
    <t>Main unit speedoscope MST</t>
  </si>
  <si>
    <t>030098_00MST</t>
  </si>
  <si>
    <t>Dekselmodule speedoscope MST</t>
  </si>
  <si>
    <t>030099_00MST</t>
  </si>
  <si>
    <t>Houder venster fotocel speedoscope MST</t>
  </si>
  <si>
    <t>070159A00MST</t>
  </si>
  <si>
    <t>Dekselmodule speedoscope MST2 (Piezo)</t>
  </si>
  <si>
    <t>070242_00MST</t>
  </si>
  <si>
    <t>Steunvoet reflectorhouder MST2 grote ronde voetje</t>
  </si>
  <si>
    <t>080051_00MST</t>
  </si>
  <si>
    <t>Voedingsadapter BRC</t>
  </si>
  <si>
    <t>HFKAB</t>
  </si>
  <si>
    <t>020501_00MST</t>
  </si>
  <si>
    <t>Kabel flatcable LCP-UP PCB</t>
  </si>
  <si>
    <t>020502_00MST</t>
  </si>
  <si>
    <t>Kabel power input MST Goca</t>
  </si>
  <si>
    <t>020506_00MST</t>
  </si>
  <si>
    <t>Kabel batt-power supply MST</t>
  </si>
  <si>
    <t>020507_00MST</t>
  </si>
  <si>
    <t>Kabel serieel UP PCB MST Goca</t>
  </si>
  <si>
    <t>020508_00MST</t>
  </si>
  <si>
    <t>Kabel I/O power supply-up MST</t>
  </si>
  <si>
    <t>020509_00MST</t>
  </si>
  <si>
    <t>Kabel fotocel 3 intern MST</t>
  </si>
  <si>
    <t>020512_00MST</t>
  </si>
  <si>
    <t>020462_00MST/</t>
  </si>
  <si>
    <t>020494_00MST/</t>
  </si>
  <si>
    <t>Processor board MST Goca</t>
  </si>
  <si>
    <t>070195_00MST/</t>
  </si>
  <si>
    <t>Processorprint MST PDA</t>
  </si>
  <si>
    <t>070196_00MST/</t>
  </si>
  <si>
    <t>Laderprint MST PDA</t>
  </si>
  <si>
    <t>070197_00MST/</t>
  </si>
  <si>
    <t>Ezurio print MST PDA</t>
  </si>
  <si>
    <t>070290_00MST/</t>
  </si>
  <si>
    <t>SD kaart MST PDA</t>
  </si>
  <si>
    <t>KABAS</t>
  </si>
  <si>
    <t>NET-01,8-MV10A</t>
  </si>
  <si>
    <t>Net-kabel 01,8m M/V 10A</t>
  </si>
  <si>
    <t>KABFL</t>
  </si>
  <si>
    <t>10P-G-N</t>
  </si>
  <si>
    <t>Flatcable 10P grijs</t>
  </si>
  <si>
    <t>20P-G-N</t>
  </si>
  <si>
    <t>Flatcable 20P grijs</t>
  </si>
  <si>
    <t>KABFX</t>
  </si>
  <si>
    <t>05P-0,25-J06.7-SUPERFLEX</t>
  </si>
  <si>
    <t>Soepele kabel 05P sectie : 0,25 afgeschermd 6,7 mm -SUPERFLEX</t>
  </si>
  <si>
    <t>KAST</t>
  </si>
  <si>
    <t>BOP-BS600-DICHTING</t>
  </si>
  <si>
    <t>Dichting BOS behuizing blauw</t>
  </si>
  <si>
    <t>BOP-BS603DIS-7024</t>
  </si>
  <si>
    <t>BOS behuizing met display - RAL7024</t>
  </si>
  <si>
    <t>KOEL</t>
  </si>
  <si>
    <t>TO220-MICA</t>
  </si>
  <si>
    <t>Mica TO220</t>
  </si>
  <si>
    <t>KOF</t>
  </si>
  <si>
    <t>075X045X020CM</t>
  </si>
  <si>
    <t>Koffer lichtgrau 750x450x200 mm</t>
  </si>
  <si>
    <t>001,8X01,0-NBR70</t>
  </si>
  <si>
    <t>O-ring 1,8x 1 mm NBR70</t>
  </si>
  <si>
    <t>002,5X01,2-NBR70</t>
  </si>
  <si>
    <t>O-ring 2,5x 1.2 mm NBR70</t>
  </si>
  <si>
    <t>005,0X01,5-NBR70</t>
  </si>
  <si>
    <t>O-ring 5x 1.5 mm NBR70</t>
  </si>
  <si>
    <t>008,0X01,0-NBR70</t>
  </si>
  <si>
    <t>O-ring 8x 1 mm NBR70</t>
  </si>
  <si>
    <t>025,0X01,0-NBR70</t>
  </si>
  <si>
    <t>O-ring 25x 1 mm NBR70</t>
  </si>
  <si>
    <t>070197_00MST</t>
  </si>
  <si>
    <t>PCB</t>
  </si>
  <si>
    <t>070198_00MST</t>
  </si>
  <si>
    <t>Support voor Ezurio print MST PDA</t>
  </si>
  <si>
    <t>PLTW</t>
  </si>
  <si>
    <t>080046_00MST</t>
  </si>
  <si>
    <t>Steunprofiel ophanghaakje BRC</t>
  </si>
  <si>
    <t>STICK</t>
  </si>
  <si>
    <t>050907_00MST</t>
  </si>
  <si>
    <t>Sticker speedoscope MST</t>
  </si>
  <si>
    <t>060050_00MST</t>
  </si>
  <si>
    <t>Sticker on/select speedoscope MST</t>
  </si>
  <si>
    <t>070238_00MST</t>
  </si>
  <si>
    <t>Sticker speedoscope MST2</t>
  </si>
  <si>
    <t>070239_00MST</t>
  </si>
  <si>
    <t>Sticker ON/SELECT speedoscope MST2</t>
  </si>
  <si>
    <t>VOED</t>
  </si>
  <si>
    <t>NET-230    V-024VDC-50W  -UK</t>
  </si>
  <si>
    <t>Netadaptor in : 230V uit : 024 VDC 50W -UK</t>
  </si>
  <si>
    <t>ICDIG</t>
  </si>
  <si>
    <t>MIC-MB90F543       -S-QFP100</t>
  </si>
  <si>
    <t>Digitale IC microcontroller proc print goca</t>
  </si>
  <si>
    <t>M08-03P-C-V-KABEL</t>
  </si>
  <si>
    <t>Ronde connector M8 03P chassis Vrl. + 0.5m kabel</t>
  </si>
  <si>
    <t>BOAR-BLUETOOTH-EXTANT</t>
  </si>
  <si>
    <t>Board Bluetooth BISM II</t>
  </si>
  <si>
    <t>M12-03P-R-M-BINDER720</t>
  </si>
  <si>
    <t>fische binder voor aan de lader</t>
  </si>
  <si>
    <t>070244A00MST</t>
  </si>
  <si>
    <t>ALK-01,50V-02,25AhLIJN14X50</t>
  </si>
  <si>
    <t>BAT AA duracel</t>
  </si>
  <si>
    <t>070240_00MST</t>
  </si>
  <si>
    <t>reflectorbalk</t>
  </si>
  <si>
    <t>M12-04P-C-M-KABEL</t>
  </si>
  <si>
    <t>Ronde connector M12 04P chassis Mnl. + 0.5m kabel</t>
  </si>
  <si>
    <t>part</t>
  </si>
  <si>
    <t>van de klant</t>
  </si>
  <si>
    <t>oplossing LET</t>
  </si>
  <si>
    <t>klacht</t>
  </si>
  <si>
    <t>oplossing</t>
  </si>
  <si>
    <t>mst</t>
  </si>
  <si>
    <t>serienr</t>
  </si>
  <si>
    <t>dichting wit rond plastiek - borgring 4.2x8x2.5 mm</t>
  </si>
  <si>
    <t>silicone</t>
  </si>
  <si>
    <t>brc</t>
  </si>
  <si>
    <t>geen</t>
  </si>
  <si>
    <t>Verschil:</t>
  </si>
  <si>
    <t>☐</t>
  </si>
  <si>
    <t>Refurb</t>
  </si>
  <si>
    <t>Cellen (werking + uitlijning)</t>
  </si>
  <si>
    <t>3 Inox voetjes</t>
  </si>
  <si>
    <t>visuele controle condensator onderkant voedingsprint</t>
  </si>
  <si>
    <t>xxx</t>
  </si>
  <si>
    <t>werkurenregie</t>
  </si>
  <si>
    <t>toestel</t>
  </si>
  <si>
    <t>a8</t>
  </si>
  <si>
    <t>a9</t>
  </si>
  <si>
    <t>a10</t>
  </si>
  <si>
    <t>a11</t>
  </si>
  <si>
    <t>a12</t>
  </si>
  <si>
    <t>a13</t>
  </si>
  <si>
    <t>a14</t>
  </si>
  <si>
    <t>a18</t>
  </si>
  <si>
    <t>a19</t>
  </si>
  <si>
    <t>a20</t>
  </si>
  <si>
    <t>a40</t>
  </si>
  <si>
    <t>a41</t>
  </si>
  <si>
    <t>a42</t>
  </si>
  <si>
    <t>a43</t>
  </si>
  <si>
    <t>a44</t>
  </si>
  <si>
    <t>a45</t>
  </si>
  <si>
    <t>a46</t>
  </si>
  <si>
    <t>a47</t>
  </si>
  <si>
    <t>g40</t>
  </si>
  <si>
    <t>g41</t>
  </si>
  <si>
    <t>a52</t>
  </si>
  <si>
    <t>a53</t>
  </si>
  <si>
    <t>b16 /b54</t>
  </si>
  <si>
    <t>b17 /b55</t>
  </si>
  <si>
    <t>b3 /b49</t>
  </si>
  <si>
    <t>h17 / h54</t>
  </si>
  <si>
    <t>a58</t>
  </si>
  <si>
    <t>a59</t>
  </si>
  <si>
    <t>a60</t>
  </si>
  <si>
    <t>a61</t>
  </si>
  <si>
    <t>a62</t>
  </si>
  <si>
    <t>a63</t>
  </si>
  <si>
    <t>NieuweSerienrSticker</t>
  </si>
  <si>
    <t>NieuweBatterij</t>
  </si>
  <si>
    <t>NieuweVoedingsconnectorVoeding</t>
  </si>
  <si>
    <t>NieuweOnOffKnop</t>
  </si>
  <si>
    <t>DropTime15min</t>
  </si>
  <si>
    <t>NieuweHandleiding</t>
  </si>
  <si>
    <t>NieuwCertificaat</t>
  </si>
  <si>
    <t>InoxVoetjes</t>
  </si>
  <si>
    <t>VisueleControleCondensatorOnderkantVoedingsprint</t>
  </si>
  <si>
    <t>Silicone</t>
  </si>
  <si>
    <t>VoedingOpladenBatterijspanning</t>
  </si>
  <si>
    <t>CellenWerkingUitlijning</t>
  </si>
  <si>
    <t>LuchtdchtheidEnStikstof</t>
  </si>
  <si>
    <t>LcdContrastHelderheidDamp</t>
  </si>
  <si>
    <t>OnOffKnopWerkingLedAutomatischUitschakelen</t>
  </si>
  <si>
    <t>SelectKnopWerking</t>
  </si>
  <si>
    <t>SerieleUitgangWerking</t>
  </si>
  <si>
    <t>BluetoothWerking</t>
  </si>
  <si>
    <t>Spanning</t>
  </si>
  <si>
    <t>Verschil</t>
  </si>
  <si>
    <t>NieuweBatterijenKlemrubber</t>
  </si>
  <si>
    <t>LcdContrastHelderheid</t>
  </si>
  <si>
    <t>OnOffKnopWerkingAutomatischUitschakelen1min</t>
  </si>
  <si>
    <t>MeegeleverdeAdapterWerking</t>
  </si>
  <si>
    <t>BluetoothWerking15m</t>
  </si>
  <si>
    <t>Xxx</t>
  </si>
  <si>
    <t>Pos</t>
  </si>
  <si>
    <t>Posserienr</t>
  </si>
  <si>
    <t>=*b3 /b49*</t>
  </si>
  <si>
    <t>Poswerkurenregie</t>
  </si>
  <si>
    <t>=*h17 / h54*</t>
  </si>
  <si>
    <t>Posklacht</t>
  </si>
  <si>
    <t>=*b16 /b54*</t>
  </si>
  <si>
    <t>Posoplossing</t>
  </si>
  <si>
    <t>=*b17 /b55*</t>
  </si>
  <si>
    <t>PosNieuweSerienrSticker</t>
  </si>
  <si>
    <t>=*a8*</t>
  </si>
  <si>
    <t>PosNieuweBatterij</t>
  </si>
  <si>
    <t>=*a9*</t>
  </si>
  <si>
    <t>PosNieuweVoedingsconnectorVoeding</t>
  </si>
  <si>
    <t>=*a10*</t>
  </si>
  <si>
    <t>PosNieuweOnOffKnop</t>
  </si>
  <si>
    <t>=*a11*</t>
  </si>
  <si>
    <t>PosDropTime15min</t>
  </si>
  <si>
    <t>=*a12*</t>
  </si>
  <si>
    <t>PosNieuweHandleiding</t>
  </si>
  <si>
    <t>=*a13*</t>
  </si>
  <si>
    <t>PosNieuwCertificaat</t>
  </si>
  <si>
    <t>=*a14*</t>
  </si>
  <si>
    <t>PosInoxVoetjes</t>
  </si>
  <si>
    <t>=*a18*</t>
  </si>
  <si>
    <t>PosVisueleControleCondensatorOnderkantVoedingsprint</t>
  </si>
  <si>
    <t>=*a19*</t>
  </si>
  <si>
    <t>PosSilicone</t>
  </si>
  <si>
    <t>=*a20*</t>
  </si>
  <si>
    <t>PosVoedingOpladenBatterijspanning</t>
  </si>
  <si>
    <t>=*a40*</t>
  </si>
  <si>
    <t>PosCellenWerkingUitlijning</t>
  </si>
  <si>
    <t>=*a41*</t>
  </si>
  <si>
    <t>PosLuchtdchtheidEnStikstof</t>
  </si>
  <si>
    <t>=*a42*</t>
  </si>
  <si>
    <t>PosLcdContrastHelderheidDamp</t>
  </si>
  <si>
    <t>=*a43*</t>
  </si>
  <si>
    <t>PosOnOffKnopWerkingLedAutomatischUitschakelen</t>
  </si>
  <si>
    <t>=*a44*</t>
  </si>
  <si>
    <t>PosSelectKnopWerking</t>
  </si>
  <si>
    <t>=*a45*</t>
  </si>
  <si>
    <t>PosSerieleUitgangWerking</t>
  </si>
  <si>
    <t>=*a46*</t>
  </si>
  <si>
    <t>PosBluetoothWerking</t>
  </si>
  <si>
    <t>=*a47*</t>
  </si>
  <si>
    <t>PosSpanning</t>
  </si>
  <si>
    <t>=*g40*</t>
  </si>
  <si>
    <t>PosVerschil</t>
  </si>
  <si>
    <t>=*g41*</t>
  </si>
  <si>
    <t>PosNieuweBatterijenKlemrubber</t>
  </si>
  <si>
    <t>=*a52*</t>
  </si>
  <si>
    <t>=*a53*</t>
  </si>
  <si>
    <t>PosLcdContrastHelderheid</t>
  </si>
  <si>
    <t>=*a58*</t>
  </si>
  <si>
    <t>PosOnOffKnopWerkingAutomatischUitschakelen1min</t>
  </si>
  <si>
    <t>=*a59*</t>
  </si>
  <si>
    <t>=*a60*</t>
  </si>
  <si>
    <t>=*a61*</t>
  </si>
  <si>
    <t>PosMeegeleverdeAdapterWerking</t>
  </si>
  <si>
    <t>=*a62*</t>
  </si>
  <si>
    <t>PosBluetoothWerking15m</t>
  </si>
  <si>
    <t>=*a63*</t>
  </si>
  <si>
    <t>Sheets("checklijstDVSA").Range(Posserienr).Value = serienr</t>
  </si>
  <si>
    <t>BRCNieuwe SerieNR-sticker</t>
  </si>
  <si>
    <t>BRCSelect knop (werking)</t>
  </si>
  <si>
    <t>brc refurb</t>
  </si>
  <si>
    <t>brc refurbiosch</t>
  </si>
  <si>
    <t>calibratieforfait  minical</t>
  </si>
  <si>
    <t>calibratieforfait  (+/-224euro)</t>
  </si>
  <si>
    <t>Board Bluetooth module Ezurio</t>
  </si>
  <si>
    <t>start niet</t>
  </si>
  <si>
    <t>ep80050.049r</t>
  </si>
  <si>
    <t>ep080049.019r</t>
  </si>
  <si>
    <t>ep070112.007r</t>
  </si>
  <si>
    <t>ep070062.023r</t>
  </si>
  <si>
    <t>ep070112.019r</t>
  </si>
  <si>
    <t>ep070087.012r</t>
  </si>
  <si>
    <t>ep080049.013r</t>
  </si>
  <si>
    <t>ep070112.014r</t>
  </si>
  <si>
    <t>ep090021.015r</t>
  </si>
  <si>
    <t>ep070097.004r</t>
  </si>
  <si>
    <t>ep080026.038</t>
  </si>
  <si>
    <t>ep080026.056r</t>
  </si>
  <si>
    <t>batch</t>
  </si>
  <si>
    <t>serienr op b3 /b49</t>
  </si>
  <si>
    <t>RDE150006</t>
  </si>
  <si>
    <t>EP080049.019R</t>
  </si>
  <si>
    <t>ep080050.049r</t>
  </si>
  <si>
    <t>Transformator en laadkabel MST2 (Binder) lader engelse mst</t>
  </si>
  <si>
    <t>EP080050.049R</t>
  </si>
  <si>
    <t>Power board MST Goca voeding</t>
  </si>
  <si>
    <t>+</t>
  </si>
  <si>
    <t>Aantal</t>
  </si>
  <si>
    <t>Enh</t>
  </si>
  <si>
    <t>Art.groep</t>
  </si>
  <si>
    <t>Artikelsymbool</t>
  </si>
  <si>
    <t>Omschrijving</t>
  </si>
  <si>
    <t>Alternatief Nummer</t>
  </si>
  <si>
    <t>Code hoofdsoort</t>
  </si>
  <si>
    <t>Code soort</t>
  </si>
  <si>
    <t>Totaal variabelekosten</t>
  </si>
  <si>
    <t>Totaal vastekosten</t>
  </si>
  <si>
    <t>4,00</t>
  </si>
  <si>
    <t>ST</t>
  </si>
  <si>
    <t>0FAS322030006</t>
  </si>
  <si>
    <t>MECHCO</t>
  </si>
  <si>
    <t>BEV</t>
  </si>
  <si>
    <t>0,29</t>
  </si>
  <si>
    <t>0,00</t>
  </si>
  <si>
    <t>1,00</t>
  </si>
  <si>
    <t>BAT-L</t>
  </si>
  <si>
    <t>NIM-07,20V-07,00Ah-KORT     /</t>
  </si>
  <si>
    <t>Batterijpak NiMh 7,20V 7500mAh  Blok 195x35x60mm - kabel 15cm</t>
  </si>
  <si>
    <t>0BAT220907000</t>
  </si>
  <si>
    <t>ELCOM</t>
  </si>
  <si>
    <t>37,92</t>
  </si>
  <si>
    <t>0DN0912060082020579</t>
  </si>
  <si>
    <t>MAAK</t>
  </si>
  <si>
    <t>MST</t>
  </si>
  <si>
    <t>4,07</t>
  </si>
  <si>
    <t>CON</t>
  </si>
  <si>
    <t>PAB</t>
  </si>
  <si>
    <t>0,19</t>
  </si>
  <si>
    <t>020535_00MST</t>
  </si>
  <si>
    <t>Kurk strip MST</t>
  </si>
  <si>
    <t>3MST000205350</t>
  </si>
  <si>
    <t>1,22</t>
  </si>
  <si>
    <t>8,00</t>
  </si>
  <si>
    <t>0DN0912030082</t>
  </si>
  <si>
    <t>0,26</t>
  </si>
  <si>
    <t>2,00</t>
  </si>
  <si>
    <t>0DN0912040082</t>
  </si>
  <si>
    <t>0,09</t>
  </si>
  <si>
    <t>16,00</t>
  </si>
  <si>
    <t>0DN0912040602</t>
  </si>
  <si>
    <t>1,73</t>
  </si>
  <si>
    <t>0912-M05X12-RVS</t>
  </si>
  <si>
    <t>Binnenzeskantbout cylinderkop DIN0912  M 5x12mm A2</t>
  </si>
  <si>
    <t>0DN0912050122</t>
  </si>
  <si>
    <t>6,00</t>
  </si>
  <si>
    <t>0912-M05X30-RVS</t>
  </si>
  <si>
    <t>Binnenzeskantbout cylinderkop DIN0912  M 5x30mm A2</t>
  </si>
  <si>
    <t>0DN0912050302</t>
  </si>
  <si>
    <t>0,49</t>
  </si>
  <si>
    <t>DNPEN</t>
  </si>
  <si>
    <t>0007-04X10-RVS</t>
  </si>
  <si>
    <t>Cylindrische pen DIN0007  4x10mm A2</t>
  </si>
  <si>
    <t>0,18</t>
  </si>
  <si>
    <t>DNRON</t>
  </si>
  <si>
    <t>0125-03-POL</t>
  </si>
  <si>
    <t>Vlakke sluitring DIN0125 3mm polyamide</t>
  </si>
  <si>
    <t>0DN0125030005</t>
  </si>
  <si>
    <t>0084-M03X08-POL</t>
  </si>
  <si>
    <t>Schroef cylinderkop DIN0084 M 3x 08mm polyamide</t>
  </si>
  <si>
    <t>0DN0084030085</t>
  </si>
  <si>
    <t>0,08</t>
  </si>
  <si>
    <t>10,00</t>
  </si>
  <si>
    <t>0965-M04X08-RVS</t>
  </si>
  <si>
    <t>Metaalschroef verz.kop kruis DIN0965 M 4x 08mm A2</t>
  </si>
  <si>
    <t>0DN0965040082</t>
  </si>
  <si>
    <t>0DN7985030062</t>
  </si>
  <si>
    <t>7985-M03X08-RVS</t>
  </si>
  <si>
    <t>Metaalschroef cyl.kop kruisin. DIN7985 M 3x 08mm A2</t>
  </si>
  <si>
    <t>0DN7985030082</t>
  </si>
  <si>
    <t>0,06</t>
  </si>
  <si>
    <t>0DN7985030122</t>
  </si>
  <si>
    <t>020524A00MST</t>
  </si>
  <si>
    <t>Batterijdeksel MST2</t>
  </si>
  <si>
    <t>3MST000205240</t>
  </si>
  <si>
    <t>6,90</t>
  </si>
  <si>
    <t>3MST000205250</t>
  </si>
  <si>
    <t>7,51</t>
  </si>
  <si>
    <t>3MST000205260</t>
  </si>
  <si>
    <t>15,40</t>
  </si>
  <si>
    <t>3MST000205270</t>
  </si>
  <si>
    <t>070193_00MST</t>
  </si>
  <si>
    <t>Behuizing speedoscope MST2</t>
  </si>
  <si>
    <t>228,65</t>
  </si>
  <si>
    <t>020497A00MST</t>
  </si>
  <si>
    <t>Fotocel module 1 MST2</t>
  </si>
  <si>
    <t>87,68</t>
  </si>
  <si>
    <t>020498A00MST</t>
  </si>
  <si>
    <t>Fotocel module 2 MST2</t>
  </si>
  <si>
    <t>76,40</t>
  </si>
  <si>
    <t>020540_00MST</t>
  </si>
  <si>
    <t>Houder venster fotocel module</t>
  </si>
  <si>
    <t>3MST01G100500</t>
  </si>
  <si>
    <t>89,32</t>
  </si>
  <si>
    <t>5,00</t>
  </si>
  <si>
    <t>030090_00MST</t>
  </si>
  <si>
    <t>Steunvoet klein MST</t>
  </si>
  <si>
    <t>3MST01G400200</t>
  </si>
  <si>
    <t>29,56</t>
  </si>
  <si>
    <t>286,33</t>
  </si>
  <si>
    <t>3CAB020501000</t>
  </si>
  <si>
    <t>4,53</t>
  </si>
  <si>
    <t>020502B00MST</t>
  </si>
  <si>
    <t>Kabel power input MST2 (Binder)</t>
  </si>
  <si>
    <t>18,67</t>
  </si>
  <si>
    <t>3CAB020506000</t>
  </si>
  <si>
    <t>24,95</t>
  </si>
  <si>
    <t>3CAB020507000</t>
  </si>
  <si>
    <t>10,79</t>
  </si>
  <si>
    <t>070008_00MST</t>
  </si>
  <si>
    <t>I/O Kabel MST2</t>
  </si>
  <si>
    <t>6,57</t>
  </si>
  <si>
    <t>070234_00MST</t>
  </si>
  <si>
    <t>Kabel temperatuursensor MST2</t>
  </si>
  <si>
    <t>8,58</t>
  </si>
  <si>
    <t>LCD display MST Rev A</t>
  </si>
  <si>
    <t>44,97</t>
  </si>
  <si>
    <t>070173_00MST/</t>
  </si>
  <si>
    <t>Power board MST2 - MST3</t>
  </si>
  <si>
    <t>75,81</t>
  </si>
  <si>
    <t>070188_00MST/</t>
  </si>
  <si>
    <t>Processorprint MST2 met Ezurio</t>
  </si>
  <si>
    <t>138,63</t>
  </si>
  <si>
    <t>0FAS599900220</t>
  </si>
  <si>
    <t>MONT</t>
  </si>
  <si>
    <t>5,30</t>
  </si>
  <si>
    <t>Montage-toebehoren plastiek - borgring 4.2x8x2.5 mm</t>
  </si>
  <si>
    <t>0MEC701610400</t>
  </si>
  <si>
    <t>OND</t>
  </si>
  <si>
    <t>0,82</t>
  </si>
  <si>
    <t>NIP</t>
  </si>
  <si>
    <t>NIPP-M12,0-MS-AFGEROND</t>
  </si>
  <si>
    <t>Nippel M 12 messing -AFGEROND</t>
  </si>
  <si>
    <t>1,93</t>
  </si>
  <si>
    <t>STOP-M16,0-MS-ORING</t>
  </si>
  <si>
    <t>Stop M 16 --&gt; IP68 met O-ring</t>
  </si>
  <si>
    <t>0,68</t>
  </si>
  <si>
    <t>0MEC240200051</t>
  </si>
  <si>
    <t>0,32</t>
  </si>
  <si>
    <t>0MEC240218925</t>
  </si>
  <si>
    <t>2,10</t>
  </si>
  <si>
    <t>0MEC240251025</t>
  </si>
  <si>
    <t>2,24</t>
  </si>
  <si>
    <t>Power board MST2 - MST3 voeding dvsa</t>
  </si>
  <si>
    <t>EP070097.004R</t>
  </si>
  <si>
    <t>Gemiddeldekostprijs</t>
  </si>
  <si>
    <t>Alternatiefnummer</t>
  </si>
  <si>
    <t>Voorraadbijhouden</t>
  </si>
  <si>
    <t>VbEnh</t>
  </si>
  <si>
    <t>VkEnh</t>
  </si>
  <si>
    <t>AkEnh</t>
  </si>
  <si>
    <t>PrsEnh</t>
  </si>
  <si>
    <t>Verkoopprijs</t>
  </si>
  <si>
    <t>PercVk</t>
  </si>
  <si>
    <t>Basisaankoopwaarde</t>
  </si>
  <si>
    <t>Categorie</t>
  </si>
  <si>
    <t>Basisgewicht</t>
  </si>
  <si>
    <t>VrdEnh</t>
  </si>
  <si>
    <t>UniekVolgnummer</t>
  </si>
  <si>
    <t>MagazijnIN</t>
  </si>
  <si>
    <t>MagazijnlocatieIN</t>
  </si>
  <si>
    <t>MagazijnUIT</t>
  </si>
  <si>
    <t>MagazijnlocatieUIT</t>
  </si>
  <si>
    <t>Soortelijkgewicht</t>
  </si>
  <si>
    <t>Datum vanaanpassing</t>
  </si>
  <si>
    <t>Uur vanaanpassing</t>
  </si>
  <si>
    <t>Aangepastdoor</t>
  </si>
  <si>
    <t>Lotnr.leverancier</t>
  </si>
  <si>
    <t>BOM</t>
  </si>
  <si>
    <t>EAN13-code</t>
  </si>
  <si>
    <t>Externe Omschrijving</t>
  </si>
  <si>
    <t>Werknemer</t>
  </si>
  <si>
    <t>Vervaldatum</t>
  </si>
  <si>
    <t>Vervaldatumherziening</t>
  </si>
  <si>
    <t>Aankoop-code</t>
  </si>
  <si>
    <t>Soortartikel</t>
  </si>
  <si>
    <t>Linkdocumentcenter</t>
  </si>
  <si>
    <t>Laatste bestelprijs</t>
  </si>
  <si>
    <t>Gevaarlijk en/of veiligheidsvoorschriften</t>
  </si>
  <si>
    <t>Allergeen</t>
  </si>
  <si>
    <t>Type artikel</t>
  </si>
  <si>
    <t>Laatste ontvangstprijs</t>
  </si>
  <si>
    <t>Netto gewicht</t>
  </si>
  <si>
    <t>Standaardop voorraad</t>
  </si>
  <si>
    <t>Budgetprijs</t>
  </si>
  <si>
    <t>Afdeling</t>
  </si>
  <si>
    <t>Verkoop-code</t>
  </si>
  <si>
    <t>Halal</t>
  </si>
  <si>
    <t>Bestemming</t>
  </si>
  <si>
    <t>Batterijhouder voor CR2032</t>
  </si>
  <si>
    <t>ACC-00,00V-00,00Ah-CR2032-HOUDER</t>
  </si>
  <si>
    <t>2,3400</t>
  </si>
  <si>
    <t>0,0000</t>
  </si>
  <si>
    <t>HMAG</t>
  </si>
  <si>
    <t>MR4K1</t>
  </si>
  <si>
    <t>16,12</t>
  </si>
  <si>
    <t>msoft</t>
  </si>
  <si>
    <t>?</t>
  </si>
  <si>
    <t>Bestelbaar</t>
  </si>
  <si>
    <t>Grondstof</t>
  </si>
  <si>
    <t>Standaardartikel</t>
  </si>
  <si>
    <t>2,34</t>
  </si>
  <si>
    <t>Verkoopbaar aan klan</t>
  </si>
  <si>
    <t>Niet HALAL</t>
  </si>
  <si>
    <t>Accessoire kabel met stekker (M) 110cm</t>
  </si>
  <si>
    <t>ACC-00,00V-00,00Ah-KBL-M-110CM</t>
  </si>
  <si>
    <t>1,9600</t>
  </si>
  <si>
    <t>GEEN</t>
  </si>
  <si>
    <t>15,16</t>
  </si>
  <si>
    <t>MSE</t>
  </si>
  <si>
    <t>1,96</t>
  </si>
  <si>
    <t>Accessoire kabel met stekker (M) 40cm</t>
  </si>
  <si>
    <t>ACC-00,00V-00,00Ah-KBL-M-40CM</t>
  </si>
  <si>
    <t>1,5000</t>
  </si>
  <si>
    <t>14,07</t>
  </si>
  <si>
    <t>mro</t>
  </si>
  <si>
    <t>1,50</t>
  </si>
  <si>
    <t>Accessoire kabel met stekker (V) 10cm</t>
  </si>
  <si>
    <t>ACC-00,00V-00,00Ah-KBL-V-10CM</t>
  </si>
  <si>
    <t>0,5000</t>
  </si>
  <si>
    <t>0BAT220907001</t>
  </si>
  <si>
    <t>BBAT</t>
  </si>
  <si>
    <t>14,21</t>
  </si>
  <si>
    <t>0,50</t>
  </si>
  <si>
    <t>Accessoire kabel met stekker (V) 35cm</t>
  </si>
  <si>
    <t>ACC-00,00V-00,00Ah-KBL-V-35CM</t>
  </si>
  <si>
    <t>1,3738</t>
  </si>
  <si>
    <t>0BAT229600601</t>
  </si>
  <si>
    <t>0,6200</t>
  </si>
  <si>
    <t>13,49</t>
  </si>
  <si>
    <t>1,705</t>
  </si>
  <si>
    <t>Accessoire Batterijhouder Blok 62x20x25mm 1xAA</t>
  </si>
  <si>
    <t>ACC-00,00V-00,00AhBLOK62X20X25AA</t>
  </si>
  <si>
    <t>2,8700</t>
  </si>
  <si>
    <t>0BAT990000001</t>
  </si>
  <si>
    <t>7,0000</t>
  </si>
  <si>
    <t>2,2400</t>
  </si>
  <si>
    <t>10,24</t>
  </si>
  <si>
    <t>vpa</t>
  </si>
  <si>
    <t>2,87</t>
  </si>
  <si>
    <t>Krimpkous 8000mAh/7.2V HR</t>
  </si>
  <si>
    <t>ACC-07,20V-07,00Ah-KRIMPKOUS</t>
  </si>
  <si>
    <t>08,12</t>
  </si>
  <si>
    <t>Maxell battery alkaline 4x AAA micro type LR03</t>
  </si>
  <si>
    <t>ALK-01,50V-00,00Ah-AAA</t>
  </si>
  <si>
    <t>1,0800</t>
  </si>
  <si>
    <t>VE</t>
  </si>
  <si>
    <t>EK69</t>
  </si>
  <si>
    <t>08,04</t>
  </si>
  <si>
    <t>0,295</t>
  </si>
  <si>
    <t>Alkaline-batterij 1,50V LR44</t>
  </si>
  <si>
    <t>ALK-01,50V-00,00Ah-LR44</t>
  </si>
  <si>
    <t>0,0793</t>
  </si>
  <si>
    <t>11,48</t>
  </si>
  <si>
    <t>vth</t>
  </si>
  <si>
    <t>0,69</t>
  </si>
  <si>
    <t>Alkaline-batterij 01,50V 02,25Ah  Lijn 14x50mm AA</t>
  </si>
  <si>
    <t>7,5908</t>
  </si>
  <si>
    <t>0BAT015000000</t>
  </si>
  <si>
    <t>6,5000</t>
  </si>
  <si>
    <t>1,8800</t>
  </si>
  <si>
    <t>12,25</t>
  </si>
  <si>
    <t>7,742</t>
  </si>
  <si>
    <t>7,502</t>
  </si>
  <si>
    <t>Alkaline-batterij 09,00V 00,50Ah   Blok 49x27x18mm</t>
  </si>
  <si>
    <t>ALK-09,00V-00,50AhBLOK49X27X18</t>
  </si>
  <si>
    <t>1,3603</t>
  </si>
  <si>
    <t>0BAT090000000</t>
  </si>
  <si>
    <t>4,0000</t>
  </si>
  <si>
    <t>2,2250</t>
  </si>
  <si>
    <t>10,21</t>
  </si>
  <si>
    <t>1,34</t>
  </si>
  <si>
    <t>Lithium-batterij rechtopstaand CR2025V</t>
  </si>
  <si>
    <t>LIT-03,00V-00,17Ah-CR2025V</t>
  </si>
  <si>
    <t>2,5200</t>
  </si>
  <si>
    <t>2,2800</t>
  </si>
  <si>
    <t>2,52</t>
  </si>
  <si>
    <t>Lithium-batterij 3V 0,2 Ah   -CR2032</t>
  </si>
  <si>
    <t>LIT-03,00V-00,20Ah-CR2032</t>
  </si>
  <si>
    <t>1,9500</t>
  </si>
  <si>
    <t>1,0000</t>
  </si>
  <si>
    <t>13,25</t>
  </si>
  <si>
    <t>1,95</t>
  </si>
  <si>
    <t>Li-ion batterij 3,7V - 3,4Ah  type Panasonic - NCR18650B</t>
  </si>
  <si>
    <t>LIT-03,70V-03,40Ah-NCR18650B</t>
  </si>
  <si>
    <t>11,7630</t>
  </si>
  <si>
    <t>10,06</t>
  </si>
  <si>
    <t>11,763</t>
  </si>
  <si>
    <t>Lood-batterij 12,00V 02,30Ah   Blok 177x35x65mm</t>
  </si>
  <si>
    <t>LOO-12,00V-02,30AhBLOK177X35X65</t>
  </si>
  <si>
    <t>10,8599</t>
  </si>
  <si>
    <t>0BAT012019000</t>
  </si>
  <si>
    <t>28,0000</t>
  </si>
  <si>
    <t>7,4850</t>
  </si>
  <si>
    <t>10,57</t>
  </si>
  <si>
    <t>EMA</t>
  </si>
  <si>
    <t>10,73</t>
  </si>
  <si>
    <t>10,875</t>
  </si>
  <si>
    <t>Lood-batterij 12,00V 07,20Ah   Blok 150X60X100mm</t>
  </si>
  <si>
    <t>LOO-12,00V-07,20AhBLOK150X60X100</t>
  </si>
  <si>
    <t>13,6201</t>
  </si>
  <si>
    <t>0BAT012006000</t>
  </si>
  <si>
    <t>38,0000</t>
  </si>
  <si>
    <t>12,8035</t>
  </si>
  <si>
    <t>10,58</t>
  </si>
  <si>
    <t>13,5576</t>
  </si>
  <si>
    <t>Batterijpak Nicd 2,4V 700mA</t>
  </si>
  <si>
    <t>NIC-02,40V-00,70Ah</t>
  </si>
  <si>
    <t>5,6435</t>
  </si>
  <si>
    <t>0BAT224002700</t>
  </si>
  <si>
    <t>32,0000</t>
  </si>
  <si>
    <t>8,2200</t>
  </si>
  <si>
    <t>09,13</t>
  </si>
  <si>
    <t>5,655</t>
  </si>
  <si>
    <t>5,643</t>
  </si>
  <si>
    <t>20,7100</t>
  </si>
  <si>
    <t>SE</t>
  </si>
  <si>
    <t>65,5000</t>
  </si>
  <si>
    <t>13,47</t>
  </si>
  <si>
    <t>20,71</t>
  </si>
  <si>
    <t>Batterijpak NiMh herlaadbaar 01,20V 02,50Ah   -AA</t>
  </si>
  <si>
    <t>NIM-01,20V-02,50Ah-AA</t>
  </si>
  <si>
    <t>8,6200</t>
  </si>
  <si>
    <t>26,1000</t>
  </si>
  <si>
    <t>8,7000</t>
  </si>
  <si>
    <t>8,70</t>
  </si>
  <si>
    <t>8,62</t>
  </si>
  <si>
    <t>Batterijpak B4 AA eneloop 4,8V 2000mAh</t>
  </si>
  <si>
    <t>NIM-04,80V-02,00Ah-AA-ENELOOP</t>
  </si>
  <si>
    <t>12,9530</t>
  </si>
  <si>
    <t>33,0000</t>
  </si>
  <si>
    <t>08,31</t>
  </si>
  <si>
    <t>12,953</t>
  </si>
  <si>
    <t>Spare batteries kit - MY Printer</t>
  </si>
  <si>
    <t>NIM-06,00V-00,80Ah-45X30X20-SPARE</t>
  </si>
  <si>
    <t>18,0000</t>
  </si>
  <si>
    <t>10,02</t>
  </si>
  <si>
    <t>18,00</t>
  </si>
  <si>
    <t>Batterijpak NiMh 07,20V 3500mAh  Blok 68x46x46 - kabel 15cm</t>
  </si>
  <si>
    <t>NIM-07,20V-03,50Ah68X46X46-KORT</t>
  </si>
  <si>
    <t>18,9698</t>
  </si>
  <si>
    <t>18,383</t>
  </si>
  <si>
    <t>Batterijpak NiMh AA 9,60V 2000mAh</t>
  </si>
  <si>
    <t>NIM-09,60V-02,00AhBLOK105X60X15</t>
  </si>
  <si>
    <t>11,5830</t>
  </si>
  <si>
    <t>45,0000</t>
  </si>
  <si>
    <t>11,583</t>
  </si>
  <si>
    <t>Batterijpak NiMh 12,00V 01,20Ah   Blok 70x50x28mm</t>
  </si>
  <si>
    <t>NIM-12,00V-01,20AhBLOK70X50X28</t>
  </si>
  <si>
    <t>36,6880</t>
  </si>
  <si>
    <t>0BAT220401100</t>
  </si>
  <si>
    <t>110,0000</t>
  </si>
  <si>
    <t>17,02</t>
  </si>
  <si>
    <t>SDP</t>
  </si>
  <si>
    <t>38,5030</t>
  </si>
  <si>
    <t>120,0000</t>
  </si>
  <si>
    <t>59,0000</t>
  </si>
  <si>
    <t>10,30</t>
  </si>
  <si>
    <t>38,503</t>
  </si>
  <si>
    <t>Blanco lotartikel</t>
  </si>
  <si>
    <t>Batterijpak NiMh 7,20V 7.500mAh  Blok 195x35x60mm - kabel 60cm</t>
  </si>
  <si>
    <t>NIM-07,20V-07,00Ah-LANG     /</t>
  </si>
  <si>
    <t>38,7631</t>
  </si>
  <si>
    <t>116,5000</t>
  </si>
  <si>
    <t>38,953</t>
  </si>
  <si>
    <t>EP070087.012R</t>
  </si>
  <si>
    <t>EP070112.019R</t>
  </si>
  <si>
    <t>kabel 10m a 12m derde cel goca</t>
  </si>
  <si>
    <t>EP080082.019</t>
  </si>
  <si>
    <t>EP070087.004</t>
  </si>
  <si>
    <t>EP070112.015</t>
  </si>
  <si>
    <t>EP070062.002</t>
  </si>
  <si>
    <t>EP070062.020</t>
  </si>
  <si>
    <t>EP070112.021</t>
  </si>
  <si>
    <t>laad niet</t>
  </si>
  <si>
    <t>EP080082.013</t>
  </si>
  <si>
    <t>startniet</t>
  </si>
  <si>
    <t>align</t>
  </si>
  <si>
    <t>y</t>
  </si>
  <si>
    <t>n</t>
  </si>
  <si>
    <t>uitlijnen</t>
  </si>
  <si>
    <t xml:space="preserve">start niet op </t>
  </si>
  <si>
    <t>lcd defect</t>
  </si>
  <si>
    <t>3000+oxidatie</t>
  </si>
  <si>
    <t>silicone+repair</t>
  </si>
  <si>
    <t>3,00</t>
  </si>
  <si>
    <t>0,10</t>
  </si>
  <si>
    <t>0MEC700260405</t>
  </si>
  <si>
    <t>0,14</t>
  </si>
  <si>
    <t>0FAS322260475</t>
  </si>
  <si>
    <t>0FAS322030004</t>
  </si>
  <si>
    <t>0,05</t>
  </si>
  <si>
    <t>12,00</t>
  </si>
  <si>
    <t>0MEC701501030</t>
  </si>
  <si>
    <t>0,21</t>
  </si>
  <si>
    <t>8,15</t>
  </si>
  <si>
    <t>39,65</t>
  </si>
  <si>
    <t>0CON130122003</t>
  </si>
  <si>
    <t>CHAS</t>
  </si>
  <si>
    <t>6,87</t>
  </si>
  <si>
    <t>0CON130400003</t>
  </si>
  <si>
    <t>KABEL</t>
  </si>
  <si>
    <t>2,94</t>
  </si>
  <si>
    <t>0,03</t>
  </si>
  <si>
    <t>M</t>
  </si>
  <si>
    <t>0MEC240494399</t>
  </si>
  <si>
    <t>0,80</t>
  </si>
  <si>
    <t>DNMOE</t>
  </si>
  <si>
    <t>0934-M02RVS</t>
  </si>
  <si>
    <t>Zeskantmoer DIN0934  M 2mm A2</t>
  </si>
  <si>
    <t>0DN0934020002</t>
  </si>
  <si>
    <t>0934-M02RVS2.5</t>
  </si>
  <si>
    <t>Zeskantmoer DIN0934  M 2.5 mm A2</t>
  </si>
  <si>
    <t>0DN0934025002</t>
  </si>
  <si>
    <t>0125-02-RVS</t>
  </si>
  <si>
    <t>Vlakke sluitring DIN0125 2mm A2</t>
  </si>
  <si>
    <t>0DN0125020002</t>
  </si>
  <si>
    <t>0125-02-RVS2.5</t>
  </si>
  <si>
    <t>Vlakke sluitring DIN0125 2.5mm A2</t>
  </si>
  <si>
    <t>0DN0125025002</t>
  </si>
  <si>
    <t>0DN0084020082</t>
  </si>
  <si>
    <t>0,04</t>
  </si>
  <si>
    <t>0DN0916025162</t>
  </si>
  <si>
    <t>0,23</t>
  </si>
  <si>
    <t>0,41</t>
  </si>
  <si>
    <t>0DN0965025102</t>
  </si>
  <si>
    <t>0,24</t>
  </si>
  <si>
    <t>7380-M02X06-RVS-FLENS</t>
  </si>
  <si>
    <t>Laagbolkopschroef DIN7380 M 2x 06mm A2 met flens</t>
  </si>
  <si>
    <t>1,53</t>
  </si>
  <si>
    <t>0DN7985025006</t>
  </si>
  <si>
    <t>0DN7985025102</t>
  </si>
  <si>
    <t>5,55</t>
  </si>
  <si>
    <t>42,80</t>
  </si>
  <si>
    <t>35,02</t>
  </si>
  <si>
    <t>20,56</t>
  </si>
  <si>
    <t>7,39</t>
  </si>
  <si>
    <t>20,39</t>
  </si>
  <si>
    <t>KABDR</t>
  </si>
  <si>
    <t>BRU-0,22MM</t>
  </si>
  <si>
    <t>Kableerdraad bruin 0.22 mm</t>
  </si>
  <si>
    <t>0CAB100022001</t>
  </si>
  <si>
    <t>0,01</t>
  </si>
  <si>
    <t>0,085</t>
  </si>
  <si>
    <t>GEE-0,22MM</t>
  </si>
  <si>
    <t>Kableerdraad geel 0.22 mm</t>
  </si>
  <si>
    <t>0CAB100022004</t>
  </si>
  <si>
    <t>0,12</t>
  </si>
  <si>
    <t>ROO-0,22MM</t>
  </si>
  <si>
    <t>Kableerdraad rood 0.25 mm</t>
  </si>
  <si>
    <t>0CAB100022002</t>
  </si>
  <si>
    <t>0,115</t>
  </si>
  <si>
    <t>ZWA-0,22MM</t>
  </si>
  <si>
    <t>Kableerdraad zwart 0.25 mm</t>
  </si>
  <si>
    <t>0CAB100022000</t>
  </si>
  <si>
    <t>0,095</t>
  </si>
  <si>
    <t>0CAB200100010</t>
  </si>
  <si>
    <t>0,075</t>
  </si>
  <si>
    <t>0CAB200100020</t>
  </si>
  <si>
    <t>6,04</t>
  </si>
  <si>
    <t>36,15</t>
  </si>
  <si>
    <t>LCD-scherm grafisch WG12864E-NYG-V</t>
  </si>
  <si>
    <t>6,65</t>
  </si>
  <si>
    <t>0,93</t>
  </si>
  <si>
    <t>0,63</t>
  </si>
  <si>
    <t>0MEC240200081</t>
  </si>
  <si>
    <t>0,34</t>
  </si>
  <si>
    <t>PANEL</t>
  </si>
  <si>
    <t>070278_00MST</t>
  </si>
  <si>
    <t>Keypad voor BS603</t>
  </si>
  <si>
    <t>22,46</t>
  </si>
  <si>
    <t>2,70</t>
  </si>
  <si>
    <t>2,91</t>
  </si>
  <si>
    <t xml:space="preserve">Keypad voor BS603 toetsen knoppen folie brc on </t>
  </si>
  <si>
    <t>batt kapot</t>
  </si>
  <si>
    <t>moederbord en keypadvervangen en lcd</t>
  </si>
  <si>
    <t>geen klacht</t>
  </si>
  <si>
    <t>checkup</t>
  </si>
  <si>
    <t>O-ring 5x 1.5 mm NBR70 vijs luchtdivhtmaken</t>
  </si>
  <si>
    <t>BATCH58</t>
  </si>
  <si>
    <t xml:space="preserve">☑ </t>
  </si>
  <si>
    <t xml:space="preserve">☐ </t>
  </si>
  <si>
    <t>klacht:startniet</t>
  </si>
  <si>
    <t>oplossing:batt kapot</t>
  </si>
  <si>
    <t>1x: BAT-L-NIM-07,20V-07,00Ah-KORT     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</si>
</sst>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0\ [$€-813];[Red]\-#,##0.00\ [$€-813]"/>
    <numFmt numFmtId="165" formatCode="dd/mm/yy"/>
    <numFmt numFmtId="166" formatCode="dd/mm/yyyy"/>
  </numFmts>
  <fonts count="19">
    <font>
      <sz val="11"/>
      <color rgb="FF000000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sz val="10"/>
      <name val="Arial"/>
      <family val="2"/>
    </font>
    <font>
      <sz val="14"/>
      <color rgb="FF000000"/>
      <name val="Arial1"/>
    </font>
    <font>
      <sz val="8"/>
      <color rgb="FF000000"/>
      <name val="Arial"/>
      <family val="2"/>
    </font>
    <font>
      <sz val="8"/>
      <color rgb="FF000000"/>
      <name val="Arial1"/>
    </font>
    <font>
      <sz val="10"/>
      <color rgb="FF000000"/>
      <name val="Calibri"/>
      <family val="2"/>
    </font>
    <font>
      <sz val="14"/>
      <color rgb="FF000000"/>
      <name val="Arial3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9"/>
      <color rgb="FF000000"/>
      <name val="Arial3"/>
    </font>
    <font>
      <b/>
      <sz val="10"/>
      <color rgb="FF000000"/>
      <name val="Calibri"/>
      <family val="2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4"/>
      <color theme="0"/>
      <name val="Calibri"/>
      <family val="2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u/>
      <sz val="11"/>
      <color theme="1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rgb="FF9933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8">
    <xf numFmtId="0" fontId="0" fillId="0" borderId="0"/>
    <xf numFmtId="0" fontId="1" fillId="0" borderId="0" applyBorder="0" applyProtection="0">
      <alignment horizontal="center"/>
    </xf>
    <xf numFmtId="0" fontId="1" fillId="0" borderId="0" applyBorder="0" applyProtection="0">
      <alignment horizontal="center" textRotation="90"/>
    </xf>
    <xf numFmtId="0" fontId="2" fillId="0" borderId="0" applyBorder="0" applyProtection="0"/>
    <xf numFmtId="164" fontId="2" fillId="0" borderId="0" applyBorder="0" applyProtection="0"/>
    <xf numFmtId="0" fontId="9" fillId="2" borderId="0" applyBorder="0" applyProtection="0"/>
    <xf numFmtId="0" fontId="3" fillId="0" borderId="0"/>
    <xf numFmtId="0" fontId="18" fillId="0" borderId="0" applyNumberFormat="0" applyFill="0" applyBorder="0" applyAlignment="0" applyProtection="0"/>
  </cellStyleXfs>
  <cellXfs count="7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/>
    <xf numFmtId="0" fontId="0" fillId="0" borderId="2" xfId="0" applyFont="1" applyBorder="1" applyAlignment="1">
      <alignment horizontal="right"/>
    </xf>
    <xf numFmtId="0" fontId="0" fillId="0" borderId="4" xfId="0" applyBorder="1" applyAlignment="1">
      <alignment horizontal="right"/>
    </xf>
    <xf numFmtId="0" fontId="7" fillId="0" borderId="0" xfId="0" applyFont="1" applyAlignment="1">
      <alignment horizontal="left"/>
    </xf>
    <xf numFmtId="0" fontId="4" fillId="0" borderId="0" xfId="0" applyFont="1" applyAlignment="1"/>
    <xf numFmtId="0" fontId="6" fillId="0" borderId="5" xfId="0" applyFont="1" applyBorder="1"/>
    <xf numFmtId="0" fontId="8" fillId="0" borderId="0" xfId="0" applyFont="1" applyAlignment="1">
      <alignment horizontal="right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0" fontId="0" fillId="3" borderId="0" xfId="0" applyFill="1"/>
    <xf numFmtId="0" fontId="11" fillId="0" borderId="0" xfId="0" applyFont="1" applyAlignment="1">
      <alignment horizontal="right"/>
    </xf>
    <xf numFmtId="0" fontId="0" fillId="5" borderId="0" xfId="0" applyFill="1"/>
    <xf numFmtId="0" fontId="0" fillId="3" borderId="0" xfId="0" applyFill="1" applyAlignment="1">
      <alignment horizontal="right"/>
    </xf>
    <xf numFmtId="0" fontId="0" fillId="4" borderId="5" xfId="0" applyFill="1" applyBorder="1" applyAlignment="1">
      <alignment horizont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0" fontId="14" fillId="0" borderId="0" xfId="0" applyFont="1" applyAlignment="1"/>
    <xf numFmtId="0" fontId="14" fillId="0" borderId="0" xfId="0" applyFont="1"/>
    <xf numFmtId="0" fontId="14" fillId="0" borderId="0" xfId="0" applyFont="1" applyAlignment="1">
      <alignment vertical="center"/>
    </xf>
    <xf numFmtId="0" fontId="14" fillId="0" borderId="6" xfId="0" applyFont="1" applyBorder="1" applyAlignment="1">
      <alignment horizontal="left" vertical="center" wrapText="1"/>
    </xf>
    <xf numFmtId="0" fontId="14" fillId="0" borderId="0" xfId="0" applyFont="1" applyAlignment="1">
      <alignment vertical="center" wrapText="1"/>
    </xf>
    <xf numFmtId="0" fontId="0" fillId="9" borderId="0" xfId="0" applyFill="1"/>
    <xf numFmtId="0" fontId="15" fillId="10" borderId="0" xfId="0" applyFont="1" applyFill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6" fillId="8" borderId="0" xfId="0" applyFont="1" applyFill="1"/>
    <xf numFmtId="0" fontId="17" fillId="0" borderId="0" xfId="0" applyFont="1"/>
    <xf numFmtId="0" fontId="16" fillId="8" borderId="0" xfId="0" applyFont="1" applyFill="1" applyAlignment="1">
      <alignment horizontal="right"/>
    </xf>
    <xf numFmtId="0" fontId="16" fillId="8" borderId="5" xfId="0" applyFont="1" applyFill="1" applyBorder="1" applyAlignment="1">
      <alignment horizontal="center"/>
    </xf>
    <xf numFmtId="0" fontId="17" fillId="3" borderId="0" xfId="0" applyFont="1" applyFill="1"/>
    <xf numFmtId="0" fontId="17" fillId="3" borderId="0" xfId="0" applyFont="1" applyFill="1" applyAlignment="1">
      <alignment horizontal="right"/>
    </xf>
    <xf numFmtId="0" fontId="17" fillId="5" borderId="0" xfId="0" applyFont="1" applyFill="1"/>
    <xf numFmtId="0" fontId="17" fillId="4" borderId="5" xfId="0" applyFont="1" applyFill="1" applyBorder="1" applyAlignment="1">
      <alignment horizontal="center"/>
    </xf>
    <xf numFmtId="0" fontId="17" fillId="7" borderId="0" xfId="0" applyFont="1" applyFill="1"/>
    <xf numFmtId="0" fontId="17" fillId="4" borderId="15" xfId="0" applyFont="1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17" fillId="6" borderId="7" xfId="0" applyFont="1" applyFill="1" applyBorder="1"/>
    <xf numFmtId="0" fontId="17" fillId="4" borderId="17" xfId="0" applyFont="1" applyFill="1" applyBorder="1" applyAlignment="1">
      <alignment horizontal="center"/>
    </xf>
    <xf numFmtId="0" fontId="17" fillId="4" borderId="18" xfId="0" applyFont="1" applyFill="1" applyBorder="1" applyAlignment="1">
      <alignment horizontal="center"/>
    </xf>
    <xf numFmtId="0" fontId="17" fillId="6" borderId="10" xfId="0" applyFont="1" applyFill="1" applyBorder="1"/>
    <xf numFmtId="0" fontId="17" fillId="4" borderId="19" xfId="0" applyFont="1" applyFill="1" applyBorder="1" applyAlignment="1">
      <alignment horizontal="center"/>
    </xf>
    <xf numFmtId="0" fontId="17" fillId="6" borderId="12" xfId="0" applyFont="1" applyFill="1" applyBorder="1"/>
    <xf numFmtId="0" fontId="17" fillId="4" borderId="20" xfId="0" applyFont="1" applyFill="1" applyBorder="1" applyAlignment="1">
      <alignment horizontal="center"/>
    </xf>
    <xf numFmtId="0" fontId="17" fillId="4" borderId="21" xfId="0" applyFont="1" applyFill="1" applyBorder="1" applyAlignment="1">
      <alignment horizontal="center"/>
    </xf>
    <xf numFmtId="14" fontId="0" fillId="0" borderId="0" xfId="0" applyNumberFormat="1"/>
    <xf numFmtId="0" fontId="18" fillId="0" borderId="22" xfId="7" applyBorder="1"/>
    <xf numFmtId="0" fontId="0" fillId="0" borderId="0" xfId="0" applyFont="1" applyAlignment="1">
      <alignment horizontal="left" vertical="center"/>
    </xf>
    <xf numFmtId="0" fontId="6" fillId="0" borderId="5" xfId="0" applyFont="1" applyBorder="1" applyAlignment="1">
      <alignment horizontal="justify" wrapText="1"/>
    </xf>
    <xf numFmtId="0" fontId="4" fillId="0" borderId="1" xfId="0" applyFont="1" applyBorder="1" applyAlignment="1">
      <alignment horizontal="center"/>
    </xf>
    <xf numFmtId="165" fontId="5" fillId="0" borderId="3" xfId="0" applyNumberFormat="1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2" fillId="0" borderId="0" xfId="0" applyFont="1" applyAlignment="1">
      <alignment vertical="center"/>
    </xf>
    <xf numFmtId="0" fontId="4" fillId="0" borderId="0" xfId="0" applyFont="1" applyAlignment="1">
      <alignment horizontal="center"/>
    </xf>
  </cellXfs>
  <cellStyles count="8">
    <cellStyle name="cf1" xfId="5"/>
    <cellStyle name="Hyperlink" xfId="7" builtinId="8"/>
    <cellStyle name="Kop" xfId="1"/>
    <cellStyle name="Kop1" xfId="2"/>
    <cellStyle name="Resultaat" xfId="3"/>
    <cellStyle name="Resultaat2" xfId="4"/>
    <cellStyle name="Standaard" xfId="0" builtinId="0"/>
    <cellStyle name="Standaard 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2943225</xdr:colOff>
          <xdr:row>0</xdr:row>
          <xdr:rowOff>85725</xdr:rowOff>
        </xdr:from>
        <xdr:to>
          <xdr:col>3</xdr:col>
          <xdr:colOff>333375</xdr:colOff>
          <xdr:row>0</xdr:row>
          <xdr:rowOff>390525</xdr:rowOff>
        </xdr:to>
        <xdr:sp macro="" textlink="">
          <xdr:nvSpPr>
            <xdr:cNvPr id="2060" name="CommandButton1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1876425</xdr:colOff>
          <xdr:row>0</xdr:row>
          <xdr:rowOff>85725</xdr:rowOff>
        </xdr:from>
        <xdr:to>
          <xdr:col>2</xdr:col>
          <xdr:colOff>2790825</xdr:colOff>
          <xdr:row>0</xdr:row>
          <xdr:rowOff>390525</xdr:rowOff>
        </xdr:to>
        <xdr:sp macro="" textlink="">
          <xdr:nvSpPr>
            <xdr:cNvPr id="2061" name="CommandButton2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2667000</xdr:colOff>
          <xdr:row>0</xdr:row>
          <xdr:rowOff>85725</xdr:rowOff>
        </xdr:from>
        <xdr:to>
          <xdr:col>4</xdr:col>
          <xdr:colOff>561975</xdr:colOff>
          <xdr:row>0</xdr:row>
          <xdr:rowOff>390525</xdr:rowOff>
        </xdr:to>
        <xdr:sp macro="" textlink="">
          <xdr:nvSpPr>
            <xdr:cNvPr id="2062" name="CommandButton3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0</xdr:row>
          <xdr:rowOff>85725</xdr:rowOff>
        </xdr:from>
        <xdr:to>
          <xdr:col>3</xdr:col>
          <xdr:colOff>2562225</xdr:colOff>
          <xdr:row>0</xdr:row>
          <xdr:rowOff>390525</xdr:rowOff>
        </xdr:to>
        <xdr:sp macro="" textlink="">
          <xdr:nvSpPr>
            <xdr:cNvPr id="2063" name="CommandButton4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QNAP01\Temporary\PRODUKTIE\SOFTWARE\Transfer\MST%20Speedoscope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theme="4" tint="0.39997558519241921"/>
  </sheetPr>
  <dimension ref="A1:BL166"/>
  <sheetViews>
    <sheetView view="pageBreakPreview" zoomScale="115" zoomScaleNormal="80" zoomScaleSheetLayoutView="115" workbookViewId="0">
      <selection activeCell="E27" sqref="E27"/>
    </sheetView>
  </sheetViews>
  <sheetFormatPr defaultColWidth="9.7109375" defaultRowHeight="15"/>
  <cols>
    <col min="1" max="1" width="19.28515625" style="1" customWidth="1"/>
    <col min="2" max="3" width="11.7109375" style="1" customWidth="1"/>
    <col min="4" max="7" width="11.7109375" style="2" customWidth="1"/>
    <col min="8" max="8" width="11.42578125" style="3" customWidth="1"/>
    <col min="9" max="64" width="9.7109375" style="3"/>
  </cols>
  <sheetData>
    <row r="1" spans="1:8" ht="18">
      <c r="A1" s="62" t="s">
        <v>0</v>
      </c>
      <c r="B1" s="62"/>
      <c r="C1" s="62"/>
      <c r="D1" s="62"/>
      <c r="E1" s="62"/>
      <c r="F1" s="62"/>
      <c r="G1" s="62"/>
    </row>
    <row r="2" spans="1:8" ht="21.6" customHeight="1">
      <c r="A2" s="4" t="s">
        <v>1</v>
      </c>
      <c r="B2" s="63">
        <f ca="1">TODAY()</f>
        <v>44104</v>
      </c>
      <c r="C2" s="63"/>
      <c r="D2" s="5"/>
      <c r="E2" s="4" t="s">
        <v>2</v>
      </c>
      <c r="F2" s="64" t="s">
        <v>3</v>
      </c>
      <c r="G2" s="64"/>
    </row>
    <row r="3" spans="1:8" ht="21.6" customHeight="1">
      <c r="A3" s="4" t="s">
        <v>4</v>
      </c>
      <c r="B3" s="6" t="s">
        <v>892</v>
      </c>
      <c r="D3" s="7"/>
      <c r="E3" s="4" t="s">
        <v>5</v>
      </c>
      <c r="F3" s="64" t="s">
        <v>6</v>
      </c>
      <c r="G3" s="64"/>
    </row>
    <row r="4" spans="1:8" ht="17.25" customHeight="1">
      <c r="A4"/>
      <c r="B4" s="61" t="s">
        <v>7</v>
      </c>
      <c r="C4" s="61"/>
      <c r="D4" s="61"/>
      <c r="E4" s="8" t="s">
        <v>8</v>
      </c>
      <c r="F4"/>
      <c r="G4"/>
      <c r="H4" s="3" t="s">
        <v>998</v>
      </c>
    </row>
    <row r="5" spans="1:8" ht="15.75" customHeight="1">
      <c r="A5"/>
      <c r="B5" s="61" t="s">
        <v>9</v>
      </c>
      <c r="C5" s="61"/>
      <c r="D5" s="61"/>
      <c r="E5" s="8" t="s">
        <v>10</v>
      </c>
      <c r="F5"/>
      <c r="G5"/>
    </row>
    <row r="6" spans="1:8" ht="15.75" customHeight="1">
      <c r="A6"/>
      <c r="B6" s="61" t="s">
        <v>11</v>
      </c>
      <c r="C6" s="61"/>
      <c r="D6" s="61"/>
      <c r="E6" s="8" t="s">
        <v>12</v>
      </c>
      <c r="F6"/>
      <c r="G6"/>
    </row>
    <row r="7" spans="1:8" ht="15.75" customHeight="1">
      <c r="A7" s="11" t="s">
        <v>360</v>
      </c>
      <c r="B7" s="61" t="s">
        <v>13</v>
      </c>
      <c r="C7" s="61"/>
      <c r="D7" s="61"/>
      <c r="E7" s="8" t="s">
        <v>14</v>
      </c>
      <c r="F7"/>
      <c r="G7"/>
    </row>
    <row r="8" spans="1:8" ht="12.75" customHeight="1">
      <c r="A8" s="17" t="s">
        <v>1000</v>
      </c>
      <c r="B8" s="60" t="s">
        <v>15</v>
      </c>
      <c r="C8" s="60"/>
      <c r="D8" s="60"/>
      <c r="E8" s="60"/>
      <c r="F8" s="60"/>
      <c r="G8" s="60"/>
    </row>
    <row r="9" spans="1:8" ht="12.75" customHeight="1">
      <c r="A9" s="17" t="s">
        <v>1000</v>
      </c>
      <c r="B9" s="60" t="s">
        <v>16</v>
      </c>
      <c r="C9" s="60"/>
      <c r="D9" s="60"/>
      <c r="E9" s="60"/>
      <c r="F9" s="60"/>
      <c r="G9" s="60"/>
    </row>
    <row r="10" spans="1:8" ht="12.75" customHeight="1">
      <c r="A10" s="17" t="s">
        <v>1000</v>
      </c>
      <c r="B10" s="60" t="s">
        <v>17</v>
      </c>
      <c r="C10" s="60"/>
      <c r="D10" s="60"/>
      <c r="E10" s="60"/>
      <c r="F10" s="60"/>
      <c r="G10" s="60"/>
    </row>
    <row r="11" spans="1:8" ht="12.75" customHeight="1">
      <c r="A11" s="17" t="s">
        <v>1000</v>
      </c>
      <c r="B11" s="60" t="s">
        <v>18</v>
      </c>
      <c r="C11" s="60"/>
      <c r="D11" s="60"/>
      <c r="E11" s="60"/>
      <c r="F11" s="60"/>
      <c r="G11" s="60"/>
    </row>
    <row r="12" spans="1:8" ht="12.75" customHeight="1">
      <c r="A12" s="17" t="s">
        <v>1000</v>
      </c>
      <c r="B12" s="60" t="s">
        <v>19</v>
      </c>
      <c r="C12" s="60"/>
      <c r="D12" s="60"/>
      <c r="E12" s="60"/>
      <c r="F12" s="60"/>
      <c r="G12" s="60"/>
    </row>
    <row r="13" spans="1:8" ht="12.75" customHeight="1">
      <c r="A13" s="17" t="s">
        <v>1000</v>
      </c>
      <c r="B13" s="60" t="s">
        <v>20</v>
      </c>
      <c r="C13" s="60"/>
      <c r="D13" s="60"/>
      <c r="E13" s="60"/>
      <c r="F13" s="60"/>
      <c r="G13" s="60"/>
    </row>
    <row r="14" spans="1:8" s="3" customFormat="1" ht="12.75" customHeight="1">
      <c r="A14" s="17" t="s">
        <v>1000</v>
      </c>
      <c r="B14" s="60" t="s">
        <v>21</v>
      </c>
      <c r="C14" s="60"/>
      <c r="D14" s="60"/>
      <c r="E14" s="60"/>
      <c r="F14" s="60"/>
      <c r="G14" s="60"/>
    </row>
    <row r="15" spans="1:8" s="3" customFormat="1" ht="14.1" customHeight="1">
      <c r="A15" s="9"/>
      <c r="B15" s="65"/>
      <c r="C15" s="65"/>
      <c r="D15" s="65"/>
      <c r="E15" s="65"/>
      <c r="F15" s="65"/>
      <c r="G15" s="10"/>
    </row>
    <row r="16" spans="1:8" ht="14.1" customHeight="1">
      <c r="B16" s="66" t="s">
        <v>1001</v>
      </c>
      <c r="C16" s="66"/>
      <c r="D16" s="66"/>
      <c r="E16" s="66"/>
      <c r="F16" s="66"/>
    </row>
    <row r="17" spans="1:8" ht="15" customHeight="1">
      <c r="A17" s="11" t="s">
        <v>22</v>
      </c>
      <c r="B17" s="67" t="s">
        <v>1002</v>
      </c>
      <c r="C17" s="67"/>
      <c r="D17" s="67"/>
      <c r="E17" s="67"/>
      <c r="F17" s="67"/>
      <c r="G17" s="12" t="s">
        <v>23</v>
      </c>
      <c r="H17" s="2">
        <v>120</v>
      </c>
    </row>
    <row r="18" spans="1:8" ht="11.25" customHeight="1">
      <c r="A18" s="17" t="s">
        <v>1000</v>
      </c>
      <c r="B18" s="10" t="s">
        <v>24</v>
      </c>
      <c r="C18" s="12"/>
      <c r="D18" s="12"/>
      <c r="E18" s="12"/>
      <c r="F18" s="12"/>
      <c r="G18" s="10"/>
    </row>
    <row r="19" spans="1:8" ht="11.25" customHeight="1">
      <c r="A19" s="17" t="s">
        <v>999</v>
      </c>
      <c r="B19" s="10" t="s">
        <v>25</v>
      </c>
      <c r="C19" s="12"/>
      <c r="D19" s="12"/>
      <c r="E19" s="12"/>
      <c r="F19" s="12"/>
      <c r="G19" s="12"/>
    </row>
    <row r="20" spans="1:8" ht="11.25" customHeight="1">
      <c r="A20" s="17" t="s">
        <v>999</v>
      </c>
      <c r="B20" s="10" t="s">
        <v>26</v>
      </c>
      <c r="C20" s="12"/>
      <c r="D20" s="12"/>
      <c r="E20" s="12"/>
      <c r="F20" s="12"/>
      <c r="G20" s="12"/>
    </row>
    <row r="21" spans="1:8" s="3" customFormat="1" ht="11.25" customHeight="1">
      <c r="A21" s="17"/>
      <c r="B21" s="21" t="s">
        <v>1003</v>
      </c>
      <c r="C21" s="13"/>
      <c r="D21" s="13"/>
      <c r="E21" s="13"/>
      <c r="F21" s="13"/>
      <c r="G21" s="13"/>
    </row>
    <row r="22" spans="1:8" s="3" customFormat="1" ht="11.25" customHeight="1">
      <c r="A22" s="17"/>
      <c r="B22" s="21"/>
      <c r="C22" s="13"/>
      <c r="D22" s="13"/>
      <c r="E22" s="13"/>
      <c r="F22" s="13"/>
      <c r="G22" s="13"/>
    </row>
    <row r="23" spans="1:8" s="3" customFormat="1" ht="10.5" customHeight="1">
      <c r="A23" s="17"/>
      <c r="B23" s="21"/>
      <c r="C23" s="13"/>
      <c r="D23" s="13"/>
      <c r="E23" s="13"/>
      <c r="F23" s="13"/>
      <c r="G23" s="13"/>
    </row>
    <row r="24" spans="1:8" s="3" customFormat="1" ht="10.5" customHeight="1">
      <c r="A24" s="17"/>
      <c r="B24" s="21"/>
      <c r="C24" s="13"/>
      <c r="D24" s="13"/>
      <c r="E24" s="13"/>
      <c r="F24" s="13"/>
      <c r="G24" s="13"/>
    </row>
    <row r="25" spans="1:8" s="3" customFormat="1" ht="10.5" customHeight="1">
      <c r="A25" s="17"/>
      <c r="B25" s="21"/>
      <c r="C25" s="13"/>
      <c r="D25" s="13"/>
      <c r="E25" s="13"/>
      <c r="F25" s="13"/>
      <c r="G25" s="13"/>
    </row>
    <row r="26" spans="1:8" s="3" customFormat="1" ht="10.5" customHeight="1">
      <c r="A26" s="17"/>
      <c r="B26" s="21"/>
      <c r="C26" s="13"/>
      <c r="D26" s="13"/>
      <c r="E26" s="13"/>
      <c r="F26" s="13"/>
      <c r="G26" s="13"/>
    </row>
    <row r="27" spans="1:8" s="3" customFormat="1" ht="10.5" customHeight="1">
      <c r="A27" s="17"/>
      <c r="B27" s="21"/>
      <c r="C27" s="13"/>
      <c r="D27" s="13"/>
      <c r="E27" s="13"/>
      <c r="F27" s="13"/>
      <c r="G27" s="13"/>
    </row>
    <row r="28" spans="1:8" s="3" customFormat="1" ht="10.5" customHeight="1">
      <c r="A28" s="17"/>
      <c r="B28" s="21"/>
      <c r="C28" s="13"/>
      <c r="D28" s="13"/>
      <c r="E28" s="13"/>
      <c r="F28" s="13"/>
      <c r="G28" s="13"/>
    </row>
    <row r="29" spans="1:8" s="3" customFormat="1" ht="10.5" customHeight="1">
      <c r="A29" s="17"/>
      <c r="B29" s="21"/>
      <c r="C29" s="13"/>
      <c r="D29" s="13"/>
      <c r="E29" s="13"/>
      <c r="F29" s="13"/>
      <c r="G29" s="13"/>
    </row>
    <row r="30" spans="1:8" s="3" customFormat="1" ht="10.5" customHeight="1">
      <c r="A30" s="17"/>
      <c r="B30" s="21"/>
      <c r="C30" s="13"/>
      <c r="D30" s="13"/>
      <c r="E30" s="13"/>
      <c r="F30" s="13"/>
      <c r="G30" s="13"/>
    </row>
    <row r="31" spans="1:8" s="3" customFormat="1" ht="10.5" customHeight="1">
      <c r="A31" s="17"/>
      <c r="B31" s="21"/>
      <c r="C31" s="13"/>
      <c r="D31" s="13"/>
      <c r="E31" s="13"/>
      <c r="F31" s="13"/>
      <c r="G31" s="13"/>
    </row>
    <row r="32" spans="1:8" s="3" customFormat="1" ht="10.5" customHeight="1">
      <c r="A32" s="17"/>
      <c r="B32" s="21"/>
      <c r="C32" s="13"/>
      <c r="D32" s="13"/>
      <c r="E32" s="13"/>
      <c r="F32" s="13"/>
      <c r="G32" s="13"/>
    </row>
    <row r="33" spans="1:64" s="3" customFormat="1" ht="10.5" customHeight="1">
      <c r="A33" s="17"/>
      <c r="B33" s="21"/>
      <c r="C33" s="13"/>
      <c r="D33" s="13"/>
      <c r="E33" s="13"/>
      <c r="F33" s="13"/>
      <c r="G33" s="13"/>
    </row>
    <row r="34" spans="1:64" s="3" customFormat="1" ht="10.5" customHeight="1">
      <c r="A34" s="17"/>
      <c r="B34" s="21"/>
      <c r="C34" s="13"/>
      <c r="D34" s="13"/>
      <c r="E34" s="13"/>
      <c r="F34" s="13"/>
      <c r="G34" s="13"/>
    </row>
    <row r="35" spans="1:64" ht="10.5" customHeight="1">
      <c r="A35"/>
      <c r="B35" s="21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</row>
    <row r="36" spans="1:64" ht="10.5" customHeight="1">
      <c r="A36"/>
      <c r="B36" s="21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</row>
    <row r="37" spans="1:64" ht="10.5" customHeight="1">
      <c r="A37"/>
      <c r="B37" s="21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</row>
    <row r="38" spans="1:64" ht="10.5" customHeight="1">
      <c r="A38"/>
      <c r="B38" s="21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</row>
    <row r="39" spans="1:64" ht="15.75" customHeight="1">
      <c r="A39" s="11" t="s">
        <v>27</v>
      </c>
      <c r="B39" s="7"/>
      <c r="C39" s="7"/>
      <c r="D39" s="7"/>
      <c r="E39" s="7"/>
      <c r="F39" s="7"/>
      <c r="G39" s="7"/>
    </row>
    <row r="40" spans="1:64" ht="14.1" customHeight="1">
      <c r="A40" s="17" t="s">
        <v>999</v>
      </c>
      <c r="B40" s="60" t="s">
        <v>28</v>
      </c>
      <c r="C40" s="60"/>
      <c r="D40" s="60"/>
      <c r="E40" s="60"/>
      <c r="F40" s="10" t="s">
        <v>29</v>
      </c>
      <c r="G40" s="10">
        <v>7.7</v>
      </c>
    </row>
    <row r="41" spans="1:64" ht="14.1" customHeight="1">
      <c r="A41" s="17" t="s">
        <v>999</v>
      </c>
      <c r="B41" s="60" t="s">
        <v>361</v>
      </c>
      <c r="C41" s="60"/>
      <c r="D41" s="60"/>
      <c r="E41" s="60"/>
      <c r="F41" s="10" t="s">
        <v>358</v>
      </c>
      <c r="G41" s="10">
        <v>0.443</v>
      </c>
    </row>
    <row r="42" spans="1:64" ht="14.1" customHeight="1">
      <c r="A42" s="17" t="s">
        <v>999</v>
      </c>
      <c r="B42" s="60" t="s">
        <v>30</v>
      </c>
      <c r="C42" s="60"/>
      <c r="D42" s="60"/>
      <c r="E42" s="60"/>
      <c r="F42" s="60"/>
      <c r="G42" s="60"/>
    </row>
    <row r="43" spans="1:64" ht="14.1" customHeight="1">
      <c r="A43" s="17" t="s">
        <v>999</v>
      </c>
      <c r="B43" s="60" t="s">
        <v>31</v>
      </c>
      <c r="C43" s="60"/>
      <c r="D43" s="60"/>
      <c r="E43" s="60"/>
      <c r="F43" s="60"/>
      <c r="G43" s="60"/>
    </row>
    <row r="44" spans="1:64" ht="14.1" customHeight="1">
      <c r="A44" s="17" t="s">
        <v>999</v>
      </c>
      <c r="B44" s="60" t="s">
        <v>32</v>
      </c>
      <c r="C44" s="60"/>
      <c r="D44" s="60"/>
      <c r="E44" s="60"/>
      <c r="F44" s="60"/>
      <c r="G44" s="60"/>
    </row>
    <row r="45" spans="1:64" ht="14.1" customHeight="1">
      <c r="A45" s="17" t="s">
        <v>999</v>
      </c>
      <c r="B45" s="60" t="s">
        <v>33</v>
      </c>
      <c r="C45" s="60"/>
      <c r="D45" s="60"/>
      <c r="E45" s="60"/>
      <c r="F45" s="60"/>
      <c r="G45" s="60"/>
    </row>
    <row r="46" spans="1:64" ht="14.1" customHeight="1">
      <c r="A46" s="17" t="s">
        <v>999</v>
      </c>
      <c r="B46" s="60" t="s">
        <v>34</v>
      </c>
      <c r="C46" s="60"/>
      <c r="D46" s="60"/>
      <c r="E46" s="60"/>
      <c r="F46" s="60"/>
      <c r="G46" s="60"/>
    </row>
    <row r="47" spans="1:64" ht="14.1" customHeight="1">
      <c r="A47" s="17" t="s">
        <v>999</v>
      </c>
      <c r="B47" s="60" t="s">
        <v>35</v>
      </c>
      <c r="C47" s="60"/>
      <c r="D47" s="60"/>
      <c r="E47" s="60"/>
      <c r="F47" s="60"/>
      <c r="G47" s="60"/>
    </row>
    <row r="48" spans="1:64" ht="18">
      <c r="A48" s="9"/>
      <c r="B48" s="10"/>
      <c r="C48" s="12"/>
      <c r="D48" s="12"/>
      <c r="E48" s="12"/>
      <c r="F48" s="12"/>
      <c r="G48" s="12"/>
    </row>
    <row r="49" spans="1:8" ht="18">
      <c r="A49" s="4" t="s">
        <v>36</v>
      </c>
      <c r="B49" s="6"/>
      <c r="D49" s="7"/>
      <c r="E49" s="4" t="s">
        <v>5</v>
      </c>
      <c r="F49" s="64" t="s">
        <v>6</v>
      </c>
      <c r="G49" s="64"/>
    </row>
    <row r="50" spans="1:8" ht="18">
      <c r="A50" s="11"/>
      <c r="B50" s="7"/>
      <c r="C50" s="7"/>
      <c r="D50" s="7"/>
      <c r="E50" s="7"/>
      <c r="F50" s="7"/>
      <c r="G50" s="7"/>
    </row>
    <row r="51" spans="1:8" ht="18">
      <c r="A51" s="11" t="s">
        <v>37</v>
      </c>
      <c r="B51" s="7"/>
      <c r="C51" s="7"/>
      <c r="D51" s="7"/>
      <c r="E51" s="7"/>
      <c r="F51" s="7"/>
      <c r="G51" s="7"/>
    </row>
    <row r="52" spans="1:8" ht="14.1" customHeight="1">
      <c r="A52" s="17" t="s">
        <v>359</v>
      </c>
      <c r="B52" s="60" t="s">
        <v>38</v>
      </c>
      <c r="C52" s="60"/>
      <c r="D52" s="60"/>
      <c r="E52" s="60"/>
      <c r="F52" s="60"/>
      <c r="G52" s="60"/>
    </row>
    <row r="53" spans="1:8" ht="14.1" customHeight="1">
      <c r="A53" s="17" t="s">
        <v>359</v>
      </c>
      <c r="B53" s="60" t="s">
        <v>15</v>
      </c>
      <c r="C53" s="60"/>
      <c r="D53" s="60"/>
      <c r="E53" s="60"/>
      <c r="F53" s="60"/>
      <c r="G53" s="60"/>
      <c r="H53" s="12"/>
    </row>
    <row r="54" spans="1:8" ht="18">
      <c r="A54" s="11" t="s">
        <v>22</v>
      </c>
      <c r="B54" s="68"/>
      <c r="C54" s="68"/>
      <c r="D54" s="68"/>
      <c r="E54" s="68"/>
      <c r="F54" s="68"/>
      <c r="G54" s="12" t="s">
        <v>23</v>
      </c>
      <c r="H54" s="2"/>
    </row>
    <row r="55" spans="1:8" ht="11.25" customHeight="1">
      <c r="A55" s="11"/>
      <c r="B55" s="68"/>
      <c r="C55" s="68"/>
      <c r="D55" s="68"/>
      <c r="E55" s="68"/>
      <c r="F55" s="68"/>
      <c r="G55" s="12"/>
    </row>
    <row r="56" spans="1:8" ht="18">
      <c r="A56" s="11"/>
      <c r="B56" s="69"/>
      <c r="C56" s="69"/>
      <c r="D56" s="69"/>
      <c r="E56" s="69"/>
      <c r="F56" s="69"/>
      <c r="G56" s="12"/>
    </row>
    <row r="57" spans="1:8" ht="18">
      <c r="A57" s="11" t="s">
        <v>27</v>
      </c>
      <c r="B57" s="7"/>
      <c r="C57" s="7"/>
      <c r="D57" s="7"/>
      <c r="E57" s="7"/>
      <c r="F57" s="23"/>
      <c r="G57" s="23"/>
      <c r="H57" s="24"/>
    </row>
    <row r="58" spans="1:8" ht="14.1" customHeight="1">
      <c r="A58" s="17" t="s">
        <v>359</v>
      </c>
      <c r="B58" s="22" t="s">
        <v>39</v>
      </c>
      <c r="C58" s="22"/>
      <c r="D58" s="22"/>
      <c r="E58" s="22"/>
      <c r="F58" s="25"/>
      <c r="G58" s="25"/>
      <c r="H58" s="24"/>
    </row>
    <row r="59" spans="1:8" ht="14.1" customHeight="1">
      <c r="A59" s="17" t="s">
        <v>359</v>
      </c>
      <c r="B59" s="22" t="s">
        <v>40</v>
      </c>
      <c r="C59" s="22"/>
      <c r="D59" s="22"/>
      <c r="E59" s="22"/>
      <c r="F59" s="25"/>
      <c r="G59" s="25"/>
      <c r="H59" s="24"/>
    </row>
    <row r="60" spans="1:8" ht="14.1" customHeight="1">
      <c r="A60" s="17" t="s">
        <v>359</v>
      </c>
      <c r="B60" s="22" t="s">
        <v>33</v>
      </c>
      <c r="C60" s="22"/>
      <c r="D60" s="22"/>
      <c r="E60" s="22"/>
      <c r="F60" s="25"/>
      <c r="G60" s="25"/>
      <c r="H60" s="24"/>
    </row>
    <row r="61" spans="1:8" ht="14.1" customHeight="1">
      <c r="A61" s="17" t="s">
        <v>359</v>
      </c>
      <c r="B61" s="22" t="s">
        <v>28</v>
      </c>
      <c r="C61" s="22"/>
      <c r="D61" s="22"/>
      <c r="E61" s="22"/>
      <c r="F61" s="25"/>
      <c r="G61" s="25"/>
      <c r="H61" s="24"/>
    </row>
    <row r="62" spans="1:8" ht="14.1" customHeight="1">
      <c r="A62" s="17" t="s">
        <v>359</v>
      </c>
      <c r="B62" s="22" t="s">
        <v>41</v>
      </c>
      <c r="C62" s="22"/>
      <c r="D62" s="22"/>
      <c r="E62" s="22"/>
      <c r="F62" s="25"/>
      <c r="G62" s="25"/>
      <c r="H62" s="24"/>
    </row>
    <row r="63" spans="1:8" ht="14.1" customHeight="1">
      <c r="A63" s="17" t="s">
        <v>359</v>
      </c>
      <c r="B63" s="22" t="s">
        <v>42</v>
      </c>
      <c r="C63" s="22"/>
      <c r="D63" s="22"/>
      <c r="E63" s="22"/>
      <c r="F63" s="25"/>
      <c r="G63" s="25"/>
      <c r="H63" s="24"/>
    </row>
    <row r="64" spans="1:8">
      <c r="A64" s="3"/>
      <c r="B64" s="3"/>
      <c r="C64" s="3"/>
      <c r="D64" s="14"/>
      <c r="E64" s="15"/>
      <c r="F64" s="26"/>
      <c r="G64" s="27"/>
      <c r="H64" s="24"/>
    </row>
    <row r="65" spans="1:7" ht="15.75" customHeight="1">
      <c r="A65"/>
      <c r="B65"/>
      <c r="C65"/>
      <c r="D65"/>
      <c r="E65"/>
      <c r="F65"/>
      <c r="G65"/>
    </row>
    <row r="66" spans="1:7">
      <c r="A66"/>
      <c r="B66"/>
      <c r="C66"/>
      <c r="D66"/>
      <c r="E66"/>
      <c r="F66"/>
      <c r="G66"/>
    </row>
    <row r="67" spans="1:7">
      <c r="A67"/>
      <c r="B67"/>
      <c r="C67"/>
      <c r="D67"/>
      <c r="E67"/>
      <c r="F67"/>
      <c r="G67"/>
    </row>
    <row r="68" spans="1:7">
      <c r="A68"/>
      <c r="B68"/>
      <c r="C68"/>
      <c r="D68"/>
      <c r="E68"/>
      <c r="F68"/>
      <c r="G68"/>
    </row>
    <row r="69" spans="1:7" ht="15.75" customHeight="1">
      <c r="A69"/>
      <c r="B69"/>
      <c r="C69"/>
      <c r="D69"/>
      <c r="E69"/>
      <c r="F69"/>
      <c r="G69"/>
    </row>
    <row r="70" spans="1:7">
      <c r="A70"/>
      <c r="B70"/>
      <c r="C70"/>
      <c r="D70"/>
      <c r="E70"/>
      <c r="F70"/>
      <c r="G70"/>
    </row>
    <row r="71" spans="1:7">
      <c r="A71"/>
      <c r="B71"/>
      <c r="C71"/>
      <c r="D71"/>
      <c r="E71"/>
      <c r="F71"/>
      <c r="G71"/>
    </row>
    <row r="72" spans="1:7">
      <c r="A72"/>
      <c r="B72"/>
      <c r="C72"/>
      <c r="D72"/>
      <c r="E72"/>
      <c r="F72"/>
      <c r="G72"/>
    </row>
    <row r="73" spans="1:7">
      <c r="A73"/>
      <c r="B73"/>
      <c r="C73"/>
      <c r="D73"/>
      <c r="E73"/>
      <c r="F73"/>
      <c r="G73"/>
    </row>
    <row r="74" spans="1:7">
      <c r="A74"/>
      <c r="B74"/>
      <c r="C74"/>
      <c r="D74"/>
      <c r="E74"/>
      <c r="F74"/>
      <c r="G74"/>
    </row>
    <row r="75" spans="1:7">
      <c r="A75"/>
      <c r="B75"/>
      <c r="C75"/>
      <c r="D75"/>
      <c r="E75"/>
      <c r="F75"/>
      <c r="G75"/>
    </row>
    <row r="76" spans="1:7">
      <c r="A76"/>
      <c r="B76"/>
      <c r="C76"/>
      <c r="D76"/>
      <c r="E76"/>
      <c r="F76"/>
      <c r="G76"/>
    </row>
    <row r="77" spans="1:7">
      <c r="A77"/>
      <c r="B77"/>
      <c r="C77"/>
      <c r="D77"/>
      <c r="E77"/>
      <c r="F77"/>
      <c r="G77"/>
    </row>
    <row r="78" spans="1:7">
      <c r="A78"/>
      <c r="B78"/>
      <c r="C78"/>
      <c r="D78"/>
      <c r="E78"/>
      <c r="F78"/>
      <c r="G78"/>
    </row>
    <row r="79" spans="1:7">
      <c r="A79"/>
      <c r="B79"/>
      <c r="C79"/>
      <c r="D79"/>
      <c r="E79"/>
      <c r="F79"/>
      <c r="G79"/>
    </row>
    <row r="80" spans="1:7">
      <c r="A80"/>
      <c r="B80"/>
      <c r="C80"/>
      <c r="D80"/>
      <c r="E80"/>
      <c r="F80"/>
      <c r="G80"/>
    </row>
    <row r="81" spans="1:7">
      <c r="A81"/>
      <c r="B81"/>
      <c r="C81"/>
      <c r="D81"/>
      <c r="E81"/>
      <c r="F81"/>
      <c r="G81"/>
    </row>
    <row r="82" spans="1:7">
      <c r="A82"/>
      <c r="B82"/>
      <c r="C82"/>
      <c r="D82"/>
      <c r="E82"/>
      <c r="F82"/>
      <c r="G82"/>
    </row>
    <row r="83" spans="1:7">
      <c r="A83"/>
      <c r="B83"/>
      <c r="C83"/>
      <c r="D83"/>
      <c r="E83"/>
      <c r="F83"/>
      <c r="G83"/>
    </row>
    <row r="84" spans="1:7">
      <c r="A84"/>
      <c r="B84"/>
      <c r="C84"/>
      <c r="D84"/>
      <c r="E84"/>
      <c r="F84"/>
      <c r="G84"/>
    </row>
    <row r="85" spans="1:7">
      <c r="A85"/>
      <c r="B85"/>
      <c r="C85"/>
      <c r="D85"/>
      <c r="E85"/>
      <c r="F85"/>
      <c r="G85"/>
    </row>
    <row r="86" spans="1:7">
      <c r="A86"/>
      <c r="B86"/>
      <c r="C86"/>
      <c r="D86"/>
      <c r="E86"/>
      <c r="F86"/>
      <c r="G86"/>
    </row>
    <row r="87" spans="1:7">
      <c r="A87"/>
      <c r="B87"/>
      <c r="C87"/>
      <c r="D87"/>
      <c r="E87"/>
      <c r="F87"/>
      <c r="G87"/>
    </row>
    <row r="88" spans="1:7">
      <c r="A88"/>
      <c r="B88"/>
      <c r="C88"/>
      <c r="D88"/>
      <c r="E88"/>
      <c r="F88"/>
      <c r="G88"/>
    </row>
    <row r="89" spans="1:7">
      <c r="A89"/>
      <c r="B89"/>
      <c r="C89"/>
      <c r="D89"/>
      <c r="E89"/>
      <c r="F89"/>
      <c r="G89"/>
    </row>
    <row r="90" spans="1:7">
      <c r="A90"/>
      <c r="B90"/>
      <c r="C90"/>
      <c r="D90"/>
      <c r="E90"/>
      <c r="F90"/>
      <c r="G90"/>
    </row>
    <row r="91" spans="1:7">
      <c r="A91"/>
      <c r="B91"/>
      <c r="C91"/>
      <c r="D91"/>
      <c r="E91"/>
      <c r="F91"/>
      <c r="G91"/>
    </row>
    <row r="92" spans="1:7">
      <c r="A92"/>
      <c r="B92"/>
      <c r="C92"/>
      <c r="D92"/>
      <c r="E92"/>
      <c r="F92"/>
      <c r="G92"/>
    </row>
    <row r="93" spans="1:7">
      <c r="A93"/>
      <c r="B93"/>
      <c r="C93"/>
      <c r="D93"/>
      <c r="E93"/>
      <c r="F93"/>
      <c r="G93"/>
    </row>
    <row r="94" spans="1:7">
      <c r="A94"/>
      <c r="B94"/>
      <c r="C94"/>
      <c r="D94"/>
      <c r="E94"/>
      <c r="F94"/>
      <c r="G94"/>
    </row>
    <row r="95" spans="1:7">
      <c r="A95"/>
      <c r="B95"/>
      <c r="C95"/>
      <c r="D95"/>
      <c r="E95"/>
      <c r="F95"/>
      <c r="G95"/>
    </row>
    <row r="96" spans="1:7">
      <c r="A96"/>
      <c r="B96"/>
      <c r="C96"/>
      <c r="D96"/>
      <c r="E96"/>
      <c r="F96"/>
      <c r="G96"/>
    </row>
    <row r="97" spans="1:7">
      <c r="A97"/>
      <c r="B97"/>
      <c r="C97"/>
      <c r="D97"/>
      <c r="E97"/>
      <c r="F97"/>
      <c r="G97"/>
    </row>
    <row r="98" spans="1:7">
      <c r="A98"/>
      <c r="B98"/>
      <c r="C98"/>
      <c r="D98"/>
      <c r="E98"/>
      <c r="F98"/>
      <c r="G98"/>
    </row>
    <row r="99" spans="1:7">
      <c r="A99"/>
      <c r="B99"/>
      <c r="C99"/>
      <c r="D99"/>
      <c r="E99"/>
      <c r="F99"/>
      <c r="G99"/>
    </row>
    <row r="100" spans="1:7">
      <c r="A100"/>
      <c r="B100"/>
      <c r="C100"/>
      <c r="D100"/>
      <c r="E100"/>
      <c r="F100"/>
      <c r="G100"/>
    </row>
    <row r="101" spans="1:7">
      <c r="A101"/>
      <c r="B101"/>
      <c r="C101"/>
      <c r="D101"/>
      <c r="E101"/>
      <c r="F101"/>
      <c r="G101"/>
    </row>
    <row r="102" spans="1:7">
      <c r="A102"/>
      <c r="B102"/>
      <c r="C102"/>
      <c r="D102"/>
      <c r="E102"/>
      <c r="F102"/>
      <c r="G102"/>
    </row>
    <row r="103" spans="1:7">
      <c r="A103"/>
      <c r="B103"/>
      <c r="C103"/>
      <c r="D103"/>
      <c r="E103"/>
      <c r="F103"/>
      <c r="G103"/>
    </row>
    <row r="104" spans="1:7">
      <c r="A104"/>
      <c r="B104"/>
      <c r="C104"/>
      <c r="D104"/>
      <c r="E104"/>
      <c r="F104"/>
      <c r="G104"/>
    </row>
    <row r="105" spans="1:7">
      <c r="A105"/>
      <c r="B105"/>
      <c r="C105"/>
      <c r="D105"/>
      <c r="E105"/>
      <c r="F105"/>
      <c r="G105"/>
    </row>
    <row r="106" spans="1:7">
      <c r="A106"/>
      <c r="B106"/>
      <c r="C106"/>
      <c r="D106"/>
      <c r="E106"/>
      <c r="F106"/>
      <c r="G106"/>
    </row>
    <row r="107" spans="1:7">
      <c r="A107"/>
      <c r="B107"/>
      <c r="C107"/>
      <c r="D107"/>
      <c r="E107"/>
      <c r="F107"/>
      <c r="G107"/>
    </row>
    <row r="108" spans="1:7">
      <c r="A108"/>
      <c r="B108"/>
      <c r="C108"/>
      <c r="D108"/>
      <c r="E108"/>
      <c r="F108"/>
      <c r="G108"/>
    </row>
    <row r="109" spans="1:7">
      <c r="A109"/>
      <c r="B109"/>
      <c r="C109"/>
      <c r="D109"/>
      <c r="E109"/>
      <c r="F109"/>
      <c r="G109"/>
    </row>
    <row r="110" spans="1:7">
      <c r="A110"/>
      <c r="B110"/>
      <c r="C110"/>
      <c r="D110"/>
      <c r="E110"/>
      <c r="F110"/>
      <c r="G110"/>
    </row>
    <row r="111" spans="1:7">
      <c r="A111"/>
      <c r="B111"/>
      <c r="C111"/>
      <c r="D111"/>
      <c r="E111"/>
      <c r="F111"/>
      <c r="G111"/>
    </row>
    <row r="112" spans="1:7">
      <c r="A112"/>
      <c r="B112"/>
      <c r="C112"/>
      <c r="D112"/>
      <c r="E112"/>
      <c r="F112"/>
      <c r="G112"/>
    </row>
    <row r="113" spans="1:7">
      <c r="A113"/>
      <c r="B113"/>
      <c r="C113"/>
      <c r="D113"/>
      <c r="E113"/>
      <c r="F113"/>
      <c r="G113"/>
    </row>
    <row r="114" spans="1:7">
      <c r="A114"/>
      <c r="B114"/>
      <c r="C114"/>
      <c r="D114"/>
      <c r="E114"/>
      <c r="F114"/>
      <c r="G114"/>
    </row>
    <row r="115" spans="1:7">
      <c r="A115"/>
      <c r="B115"/>
      <c r="C115"/>
      <c r="D115"/>
      <c r="E115"/>
      <c r="F115"/>
      <c r="G115"/>
    </row>
    <row r="116" spans="1:7">
      <c r="A116"/>
      <c r="B116"/>
      <c r="C116"/>
      <c r="D116"/>
      <c r="E116"/>
      <c r="F116"/>
      <c r="G116"/>
    </row>
    <row r="117" spans="1:7">
      <c r="A117"/>
      <c r="B117"/>
      <c r="C117"/>
      <c r="D117"/>
      <c r="E117"/>
      <c r="F117"/>
      <c r="G117"/>
    </row>
    <row r="118" spans="1:7">
      <c r="A118"/>
      <c r="B118"/>
      <c r="C118"/>
      <c r="D118"/>
      <c r="E118"/>
      <c r="F118"/>
      <c r="G118"/>
    </row>
    <row r="119" spans="1:7">
      <c r="A119"/>
      <c r="B119"/>
      <c r="C119"/>
      <c r="D119"/>
      <c r="E119"/>
      <c r="F119"/>
      <c r="G119"/>
    </row>
    <row r="120" spans="1:7">
      <c r="A120"/>
      <c r="B120"/>
      <c r="C120"/>
      <c r="D120"/>
      <c r="E120"/>
      <c r="F120"/>
      <c r="G120"/>
    </row>
    <row r="121" spans="1:7">
      <c r="A121"/>
      <c r="B121"/>
      <c r="C121"/>
      <c r="D121"/>
      <c r="E121"/>
      <c r="F121"/>
      <c r="G121"/>
    </row>
    <row r="122" spans="1:7">
      <c r="A122"/>
      <c r="B122"/>
      <c r="C122"/>
      <c r="D122"/>
      <c r="E122"/>
      <c r="F122"/>
      <c r="G122"/>
    </row>
    <row r="123" spans="1:7">
      <c r="A123"/>
      <c r="B123"/>
      <c r="C123"/>
      <c r="D123"/>
      <c r="E123"/>
      <c r="F123"/>
      <c r="G123"/>
    </row>
    <row r="124" spans="1:7">
      <c r="A124"/>
      <c r="B124"/>
      <c r="C124"/>
      <c r="D124"/>
      <c r="E124"/>
      <c r="F124"/>
      <c r="G124"/>
    </row>
    <row r="125" spans="1:7">
      <c r="A125"/>
      <c r="B125"/>
      <c r="C125"/>
      <c r="D125"/>
      <c r="E125"/>
      <c r="F125"/>
      <c r="G125"/>
    </row>
    <row r="126" spans="1:7">
      <c r="A126"/>
      <c r="B126"/>
      <c r="C126"/>
      <c r="D126"/>
      <c r="E126"/>
      <c r="F126"/>
      <c r="G126"/>
    </row>
    <row r="127" spans="1:7">
      <c r="A127"/>
      <c r="B127"/>
      <c r="C127"/>
      <c r="D127"/>
      <c r="E127"/>
      <c r="F127"/>
      <c r="G127"/>
    </row>
    <row r="128" spans="1:7">
      <c r="A128"/>
      <c r="B128"/>
      <c r="C128"/>
      <c r="D128"/>
      <c r="E128"/>
      <c r="F128"/>
      <c r="G128"/>
    </row>
    <row r="129" spans="1:7">
      <c r="A129"/>
      <c r="B129"/>
      <c r="C129"/>
      <c r="D129"/>
      <c r="E129"/>
      <c r="F129"/>
      <c r="G129"/>
    </row>
    <row r="130" spans="1:7">
      <c r="A130"/>
      <c r="B130"/>
      <c r="C130"/>
      <c r="D130"/>
      <c r="E130"/>
      <c r="F130"/>
      <c r="G130"/>
    </row>
    <row r="131" spans="1:7">
      <c r="A131"/>
      <c r="B131"/>
      <c r="C131"/>
      <c r="D131"/>
      <c r="E131"/>
      <c r="F131"/>
      <c r="G131"/>
    </row>
    <row r="132" spans="1:7">
      <c r="A132"/>
      <c r="B132"/>
      <c r="C132"/>
      <c r="D132"/>
      <c r="E132"/>
      <c r="F132"/>
      <c r="G132"/>
    </row>
    <row r="133" spans="1:7">
      <c r="A133"/>
      <c r="B133"/>
      <c r="C133"/>
      <c r="D133"/>
      <c r="E133"/>
      <c r="F133"/>
      <c r="G133"/>
    </row>
    <row r="134" spans="1:7">
      <c r="A134"/>
      <c r="B134"/>
      <c r="C134"/>
      <c r="D134"/>
      <c r="E134"/>
      <c r="F134"/>
      <c r="G134"/>
    </row>
    <row r="135" spans="1:7">
      <c r="A135"/>
      <c r="B135"/>
      <c r="C135"/>
      <c r="D135"/>
      <c r="E135"/>
      <c r="F135"/>
      <c r="G135"/>
    </row>
    <row r="136" spans="1:7">
      <c r="A136"/>
      <c r="B136"/>
      <c r="C136"/>
      <c r="D136"/>
      <c r="E136"/>
      <c r="F136"/>
      <c r="G136"/>
    </row>
    <row r="137" spans="1:7">
      <c r="A137"/>
      <c r="B137"/>
      <c r="C137"/>
      <c r="D137"/>
      <c r="E137"/>
      <c r="F137"/>
      <c r="G137"/>
    </row>
    <row r="138" spans="1:7">
      <c r="A138"/>
      <c r="B138"/>
      <c r="C138"/>
      <c r="D138"/>
      <c r="E138"/>
      <c r="F138"/>
      <c r="G138"/>
    </row>
    <row r="139" spans="1:7">
      <c r="A139"/>
      <c r="B139"/>
      <c r="C139"/>
      <c r="D139"/>
      <c r="E139"/>
      <c r="F139"/>
      <c r="G139"/>
    </row>
    <row r="140" spans="1:7">
      <c r="A140"/>
      <c r="B140"/>
      <c r="C140"/>
      <c r="D140"/>
      <c r="E140"/>
      <c r="F140"/>
      <c r="G140"/>
    </row>
    <row r="141" spans="1:7">
      <c r="A141"/>
      <c r="B141"/>
      <c r="C141"/>
      <c r="D141"/>
      <c r="E141"/>
      <c r="F141"/>
      <c r="G141"/>
    </row>
    <row r="142" spans="1:7">
      <c r="A142"/>
      <c r="B142"/>
      <c r="C142"/>
      <c r="D142"/>
      <c r="E142"/>
      <c r="F142"/>
      <c r="G142"/>
    </row>
    <row r="143" spans="1:7">
      <c r="A143"/>
      <c r="B143"/>
      <c r="C143"/>
      <c r="D143"/>
      <c r="E143"/>
      <c r="F143"/>
      <c r="G143"/>
    </row>
    <row r="144" spans="1:7">
      <c r="A144"/>
      <c r="B144"/>
      <c r="C144"/>
      <c r="D144"/>
      <c r="E144"/>
      <c r="F144"/>
      <c r="G144"/>
    </row>
    <row r="145" spans="1:7">
      <c r="A145"/>
      <c r="B145"/>
      <c r="C145"/>
      <c r="D145"/>
      <c r="E145"/>
      <c r="F145"/>
      <c r="G145"/>
    </row>
    <row r="146" spans="1:7">
      <c r="A146"/>
      <c r="B146"/>
      <c r="C146"/>
      <c r="D146"/>
      <c r="E146"/>
      <c r="F146"/>
      <c r="G146"/>
    </row>
    <row r="147" spans="1:7">
      <c r="A147"/>
      <c r="B147"/>
      <c r="C147"/>
      <c r="D147"/>
      <c r="E147"/>
      <c r="F147"/>
      <c r="G147"/>
    </row>
    <row r="148" spans="1:7">
      <c r="A148"/>
      <c r="B148"/>
      <c r="C148"/>
      <c r="D148"/>
      <c r="E148"/>
      <c r="F148"/>
      <c r="G148"/>
    </row>
    <row r="149" spans="1:7">
      <c r="A149"/>
      <c r="B149"/>
      <c r="C149"/>
      <c r="D149"/>
      <c r="E149"/>
      <c r="F149"/>
      <c r="G149"/>
    </row>
    <row r="150" spans="1:7">
      <c r="A150"/>
      <c r="B150"/>
      <c r="C150"/>
      <c r="D150"/>
      <c r="E150"/>
      <c r="F150"/>
      <c r="G150"/>
    </row>
    <row r="151" spans="1:7">
      <c r="A151"/>
      <c r="B151"/>
      <c r="C151"/>
      <c r="D151"/>
      <c r="E151"/>
      <c r="F151"/>
      <c r="G151"/>
    </row>
    <row r="152" spans="1:7">
      <c r="A152"/>
      <c r="B152"/>
      <c r="C152"/>
      <c r="D152"/>
      <c r="E152"/>
      <c r="F152"/>
      <c r="G152"/>
    </row>
    <row r="153" spans="1:7">
      <c r="A153"/>
      <c r="B153"/>
      <c r="C153"/>
      <c r="D153"/>
      <c r="E153"/>
      <c r="F153"/>
      <c r="G153"/>
    </row>
    <row r="154" spans="1:7">
      <c r="A154"/>
      <c r="B154"/>
      <c r="C154"/>
      <c r="D154"/>
      <c r="E154"/>
      <c r="F154"/>
      <c r="G154"/>
    </row>
    <row r="155" spans="1:7">
      <c r="A155"/>
      <c r="B155"/>
      <c r="C155"/>
      <c r="D155"/>
      <c r="E155"/>
      <c r="F155"/>
      <c r="G155"/>
    </row>
    <row r="156" spans="1:7">
      <c r="A156"/>
      <c r="B156"/>
      <c r="C156"/>
      <c r="D156"/>
      <c r="E156"/>
      <c r="F156"/>
      <c r="G156"/>
    </row>
    <row r="157" spans="1:7">
      <c r="A157"/>
      <c r="B157"/>
      <c r="C157"/>
      <c r="D157"/>
      <c r="E157"/>
      <c r="F157"/>
      <c r="G157"/>
    </row>
    <row r="158" spans="1:7">
      <c r="A158"/>
      <c r="B158"/>
      <c r="C158"/>
      <c r="D158"/>
      <c r="E158"/>
      <c r="F158"/>
      <c r="G158"/>
    </row>
    <row r="159" spans="1:7">
      <c r="A159"/>
      <c r="B159"/>
      <c r="C159"/>
      <c r="D159"/>
      <c r="E159"/>
      <c r="F159"/>
      <c r="G159"/>
    </row>
    <row r="160" spans="1:7">
      <c r="A160"/>
      <c r="B160"/>
      <c r="C160"/>
      <c r="D160"/>
      <c r="E160"/>
      <c r="F160"/>
      <c r="G160"/>
    </row>
    <row r="161" spans="1:7">
      <c r="A161"/>
      <c r="B161"/>
      <c r="C161"/>
      <c r="D161"/>
      <c r="E161"/>
      <c r="F161"/>
      <c r="G161"/>
    </row>
    <row r="164" spans="1:7">
      <c r="A164" s="2"/>
    </row>
    <row r="165" spans="1:7">
      <c r="A165" s="2"/>
    </row>
    <row r="166" spans="1:7">
      <c r="A166" s="2"/>
    </row>
  </sheetData>
  <mergeCells count="32">
    <mergeCell ref="B52:G52"/>
    <mergeCell ref="B53:G53"/>
    <mergeCell ref="B54:F54"/>
    <mergeCell ref="B55:F55"/>
    <mergeCell ref="B56:F56"/>
    <mergeCell ref="B14:G14"/>
    <mergeCell ref="F49:G49"/>
    <mergeCell ref="B40:E40"/>
    <mergeCell ref="B41:E41"/>
    <mergeCell ref="B42:G42"/>
    <mergeCell ref="B43:G43"/>
    <mergeCell ref="B15:F15"/>
    <mergeCell ref="B16:F16"/>
    <mergeCell ref="B44:G44"/>
    <mergeCell ref="B45:G45"/>
    <mergeCell ref="B46:G46"/>
    <mergeCell ref="B47:G47"/>
    <mergeCell ref="B17:F17"/>
    <mergeCell ref="A1:G1"/>
    <mergeCell ref="B2:C2"/>
    <mergeCell ref="F2:G2"/>
    <mergeCell ref="F3:G3"/>
    <mergeCell ref="B4:D4"/>
    <mergeCell ref="B10:G10"/>
    <mergeCell ref="B11:G11"/>
    <mergeCell ref="B12:G12"/>
    <mergeCell ref="B13:G13"/>
    <mergeCell ref="B5:D5"/>
    <mergeCell ref="B6:D6"/>
    <mergeCell ref="B7:D7"/>
    <mergeCell ref="B8:G8"/>
    <mergeCell ref="B9:G9"/>
  </mergeCells>
  <pageMargins left="0.39374999999999999" right="0.39374999999999999" top="0.39374999999999999" bottom="0.39374999999999999" header="0.39374999999999999" footer="0.39374999999999999"/>
  <pageSetup paperSize="9" scale="88" pageOrder="overThenDown" orientation="portrait" useFirstPageNumber="1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theme="4" tint="0.39997558519241921"/>
    <pageSetUpPr fitToPage="1"/>
  </sheetPr>
  <dimension ref="A1:Z271"/>
  <sheetViews>
    <sheetView tabSelected="1" zoomScale="90" zoomScaleNormal="90" zoomScaleSheetLayoutView="40" workbookViewId="0">
      <pane xSplit="4" ySplit="5" topLeftCell="E156" activePane="bottomRight" state="frozen"/>
      <selection pane="topRight" activeCell="E1" sqref="E1"/>
      <selection pane="bottomLeft" activeCell="A6" sqref="A6"/>
      <selection pane="bottomRight" activeCell="C168" sqref="C168"/>
    </sheetView>
  </sheetViews>
  <sheetFormatPr defaultRowHeight="15"/>
  <cols>
    <col min="1" max="1" width="7.5703125" style="16" customWidth="1"/>
    <col min="2" max="2" width="15.7109375" style="16" customWidth="1"/>
    <col min="3" max="3" width="60.5703125" style="16" bestFit="1" customWidth="1"/>
    <col min="4" max="4" width="52" style="18" customWidth="1"/>
    <col min="5" max="5" width="25.85546875" style="20" bestFit="1" customWidth="1"/>
    <col min="6" max="6" width="32.28515625" style="20" bestFit="1" customWidth="1"/>
    <col min="7" max="7" width="26.140625" style="20" bestFit="1" customWidth="1"/>
    <col min="8" max="8" width="40.140625" style="20" bestFit="1" customWidth="1"/>
    <col min="9" max="9" width="28.42578125" style="20" bestFit="1" customWidth="1"/>
    <col min="10" max="10" width="46" style="20" customWidth="1"/>
    <col min="11" max="11" width="24.85546875" style="20" bestFit="1" customWidth="1"/>
    <col min="12" max="12" width="24.5703125" style="20" bestFit="1" customWidth="1"/>
    <col min="13" max="13" width="28.7109375" style="20" bestFit="1" customWidth="1"/>
    <col min="14" max="14" width="24.28515625" style="20" bestFit="1" customWidth="1"/>
    <col min="15" max="15" width="23.7109375" style="20" bestFit="1" customWidth="1"/>
    <col min="16" max="16" width="24.85546875" style="20" bestFit="1" customWidth="1"/>
    <col min="17" max="26" width="9.140625" style="20"/>
    <col min="27" max="16384" width="9.140625" style="3"/>
  </cols>
  <sheetData>
    <row r="1" spans="1:26" ht="50.25" customHeight="1">
      <c r="A1" s="16" t="s">
        <v>347</v>
      </c>
      <c r="B1" s="16" t="s">
        <v>347</v>
      </c>
      <c r="C1" s="16" t="s">
        <v>347</v>
      </c>
      <c r="D1" s="18" t="s">
        <v>508</v>
      </c>
      <c r="E1" s="20" t="s">
        <v>352</v>
      </c>
      <c r="F1" s="20" t="s">
        <v>352</v>
      </c>
      <c r="G1" s="20" t="s">
        <v>356</v>
      </c>
      <c r="H1" s="20" t="s">
        <v>352</v>
      </c>
      <c r="I1" s="20" t="s">
        <v>352</v>
      </c>
      <c r="J1" s="20" t="s">
        <v>352</v>
      </c>
      <c r="K1" s="20" t="s">
        <v>352</v>
      </c>
      <c r="L1" s="20" t="s">
        <v>352</v>
      </c>
      <c r="M1" s="20" t="s">
        <v>352</v>
      </c>
      <c r="N1" s="20" t="s">
        <v>352</v>
      </c>
      <c r="O1" s="20" t="s">
        <v>356</v>
      </c>
      <c r="P1" s="20" t="s">
        <v>356</v>
      </c>
    </row>
    <row r="2" spans="1:26" s="39" customFormat="1" ht="33" customHeight="1" thickBot="1">
      <c r="A2" s="39" t="s">
        <v>347</v>
      </c>
      <c r="B2" s="59" t="s">
        <v>510</v>
      </c>
      <c r="C2" s="41" t="s">
        <v>509</v>
      </c>
      <c r="D2" s="29" t="s">
        <v>998</v>
      </c>
      <c r="E2" s="42" t="s">
        <v>887</v>
      </c>
      <c r="F2" s="42" t="s">
        <v>888</v>
      </c>
      <c r="G2" s="42">
        <v>20032</v>
      </c>
      <c r="H2" s="42" t="s">
        <v>889</v>
      </c>
      <c r="I2" s="42" t="s">
        <v>890</v>
      </c>
      <c r="J2" s="42" t="s">
        <v>891</v>
      </c>
      <c r="K2" s="42" t="s">
        <v>894</v>
      </c>
      <c r="L2" s="42" t="s">
        <v>892</v>
      </c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s="40" customFormat="1" ht="33" customHeight="1" thickTop="1">
      <c r="A3" s="43" t="s">
        <v>43</v>
      </c>
      <c r="B3" s="43" t="s">
        <v>44</v>
      </c>
      <c r="C3" s="44" t="s">
        <v>392</v>
      </c>
      <c r="D3" s="45" t="s">
        <v>365</v>
      </c>
      <c r="E3" s="46">
        <v>120</v>
      </c>
      <c r="F3" s="46">
        <v>120</v>
      </c>
      <c r="G3" s="46">
        <v>120</v>
      </c>
      <c r="H3" s="46">
        <v>120</v>
      </c>
      <c r="I3" s="46">
        <v>120</v>
      </c>
      <c r="J3" s="46">
        <v>120</v>
      </c>
      <c r="K3" s="46">
        <v>120</v>
      </c>
      <c r="L3" s="46">
        <v>120</v>
      </c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26" s="40" customFormat="1" ht="33" customHeight="1">
      <c r="A4" s="43" t="s">
        <v>350</v>
      </c>
      <c r="B4" s="43" t="s">
        <v>348</v>
      </c>
      <c r="C4" s="44" t="s">
        <v>389</v>
      </c>
      <c r="D4" s="45" t="s">
        <v>350</v>
      </c>
      <c r="E4" s="46" t="s">
        <v>896</v>
      </c>
      <c r="F4" s="46" t="s">
        <v>900</v>
      </c>
      <c r="G4" s="46" t="s">
        <v>893</v>
      </c>
      <c r="H4" s="46" t="s">
        <v>902</v>
      </c>
      <c r="I4" s="46" t="s">
        <v>495</v>
      </c>
      <c r="J4" s="46" t="s">
        <v>995</v>
      </c>
      <c r="K4" s="46" t="s">
        <v>995</v>
      </c>
      <c r="L4" s="46" t="s">
        <v>895</v>
      </c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</row>
    <row r="5" spans="1:26" s="40" customFormat="1" ht="33" customHeight="1">
      <c r="A5" s="43" t="s">
        <v>349</v>
      </c>
      <c r="B5" s="43"/>
      <c r="C5" s="44" t="s">
        <v>390</v>
      </c>
      <c r="D5" s="45" t="s">
        <v>351</v>
      </c>
      <c r="E5" s="46" t="s">
        <v>899</v>
      </c>
      <c r="F5" s="46" t="s">
        <v>901</v>
      </c>
      <c r="G5" s="46" t="s">
        <v>994</v>
      </c>
      <c r="H5" s="46" t="s">
        <v>903</v>
      </c>
      <c r="I5" s="46" t="s">
        <v>993</v>
      </c>
      <c r="J5" s="46" t="s">
        <v>996</v>
      </c>
      <c r="K5" s="46" t="s">
        <v>996</v>
      </c>
      <c r="L5" s="46" t="s">
        <v>993</v>
      </c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</row>
    <row r="6" spans="1:26" s="40" customFormat="1" ht="33" customHeight="1">
      <c r="A6" s="43"/>
      <c r="B6" s="43"/>
      <c r="C6" s="44" t="s">
        <v>367</v>
      </c>
      <c r="D6" s="47" t="s">
        <v>15</v>
      </c>
      <c r="E6" s="46" t="s">
        <v>898</v>
      </c>
      <c r="F6" s="46" t="s">
        <v>898</v>
      </c>
      <c r="G6" s="46" t="s">
        <v>356</v>
      </c>
      <c r="H6" s="46" t="s">
        <v>898</v>
      </c>
      <c r="I6" s="46" t="s">
        <v>898</v>
      </c>
      <c r="J6" s="46" t="s">
        <v>898</v>
      </c>
      <c r="K6" s="46" t="s">
        <v>898</v>
      </c>
      <c r="L6" s="46" t="s">
        <v>898</v>
      </c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</row>
    <row r="7" spans="1:26" s="40" customFormat="1" ht="33" customHeight="1">
      <c r="A7" s="43"/>
      <c r="B7" s="43"/>
      <c r="C7" s="44" t="s">
        <v>368</v>
      </c>
      <c r="D7" s="47" t="s">
        <v>16</v>
      </c>
      <c r="E7" s="46" t="s">
        <v>898</v>
      </c>
      <c r="F7" s="46" t="s">
        <v>898</v>
      </c>
      <c r="G7" s="46" t="s">
        <v>356</v>
      </c>
      <c r="H7" s="46" t="s">
        <v>898</v>
      </c>
      <c r="I7" s="46" t="s">
        <v>898</v>
      </c>
      <c r="J7" s="46" t="s">
        <v>898</v>
      </c>
      <c r="K7" s="46" t="s">
        <v>898</v>
      </c>
      <c r="L7" s="46" t="s">
        <v>898</v>
      </c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</row>
    <row r="8" spans="1:26" s="40" customFormat="1" ht="33" customHeight="1">
      <c r="A8" s="43"/>
      <c r="B8" s="43"/>
      <c r="C8" s="44" t="s">
        <v>369</v>
      </c>
      <c r="D8" s="47" t="s">
        <v>17</v>
      </c>
      <c r="E8" s="46" t="s">
        <v>898</v>
      </c>
      <c r="F8" s="46" t="s">
        <v>898</v>
      </c>
      <c r="G8" s="46" t="s">
        <v>356</v>
      </c>
      <c r="H8" s="46" t="s">
        <v>898</v>
      </c>
      <c r="I8" s="46" t="s">
        <v>898</v>
      </c>
      <c r="J8" s="46" t="s">
        <v>898</v>
      </c>
      <c r="K8" s="46" t="s">
        <v>898</v>
      </c>
      <c r="L8" s="46" t="s">
        <v>898</v>
      </c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</row>
    <row r="9" spans="1:26" s="40" customFormat="1" ht="33" customHeight="1">
      <c r="A9" s="43"/>
      <c r="B9" s="43"/>
      <c r="C9" s="44" t="s">
        <v>370</v>
      </c>
      <c r="D9" s="47" t="s">
        <v>18</v>
      </c>
      <c r="E9" s="46" t="s">
        <v>898</v>
      </c>
      <c r="F9" s="46" t="s">
        <v>898</v>
      </c>
      <c r="G9" s="46" t="s">
        <v>356</v>
      </c>
      <c r="H9" s="46" t="s">
        <v>898</v>
      </c>
      <c r="I9" s="46" t="s">
        <v>898</v>
      </c>
      <c r="J9" s="46" t="s">
        <v>898</v>
      </c>
      <c r="K9" s="46" t="s">
        <v>898</v>
      </c>
      <c r="L9" s="46" t="s">
        <v>898</v>
      </c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</row>
    <row r="10" spans="1:26" s="40" customFormat="1" ht="33" customHeight="1">
      <c r="A10" s="43"/>
      <c r="B10" s="43"/>
      <c r="C10" s="44" t="s">
        <v>371</v>
      </c>
      <c r="D10" s="47" t="s">
        <v>19</v>
      </c>
      <c r="E10" s="46" t="s">
        <v>898</v>
      </c>
      <c r="F10" s="46" t="s">
        <v>898</v>
      </c>
      <c r="G10" s="46" t="s">
        <v>356</v>
      </c>
      <c r="H10" s="46" t="s">
        <v>898</v>
      </c>
      <c r="I10" s="46" t="s">
        <v>898</v>
      </c>
      <c r="J10" s="46" t="s">
        <v>898</v>
      </c>
      <c r="K10" s="46" t="s">
        <v>898</v>
      </c>
      <c r="L10" s="46" t="s">
        <v>898</v>
      </c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s="40" customFormat="1" ht="33" customHeight="1">
      <c r="A11" s="43"/>
      <c r="B11" s="43"/>
      <c r="C11" s="44" t="s">
        <v>372</v>
      </c>
      <c r="D11" s="47" t="s">
        <v>20</v>
      </c>
      <c r="E11" s="46" t="s">
        <v>898</v>
      </c>
      <c r="F11" s="46" t="s">
        <v>898</v>
      </c>
      <c r="G11" s="46" t="s">
        <v>356</v>
      </c>
      <c r="H11" s="46" t="s">
        <v>898</v>
      </c>
      <c r="I11" s="46" t="s">
        <v>898</v>
      </c>
      <c r="J11" s="46" t="s">
        <v>898</v>
      </c>
      <c r="K11" s="46" t="s">
        <v>898</v>
      </c>
      <c r="L11" s="46" t="s">
        <v>898</v>
      </c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s="40" customFormat="1" ht="33" customHeight="1">
      <c r="A12" s="43"/>
      <c r="B12" s="43"/>
      <c r="C12" s="44" t="s">
        <v>373</v>
      </c>
      <c r="D12" s="47" t="s">
        <v>21</v>
      </c>
      <c r="E12" s="46"/>
      <c r="F12" s="46"/>
      <c r="G12" s="46" t="s">
        <v>356</v>
      </c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</row>
    <row r="13" spans="1:26" s="40" customFormat="1" ht="33" customHeight="1">
      <c r="A13" s="43"/>
      <c r="B13" s="43"/>
      <c r="C13" s="44" t="s">
        <v>374</v>
      </c>
      <c r="D13" s="47" t="s">
        <v>362</v>
      </c>
      <c r="E13" s="46" t="s">
        <v>898</v>
      </c>
      <c r="F13" s="46" t="s">
        <v>898</v>
      </c>
      <c r="G13" s="46" t="s">
        <v>356</v>
      </c>
      <c r="H13" s="46" t="s">
        <v>898</v>
      </c>
      <c r="I13" s="46" t="s">
        <v>898</v>
      </c>
      <c r="J13" s="46" t="s">
        <v>898</v>
      </c>
      <c r="K13" s="46" t="s">
        <v>898</v>
      </c>
      <c r="L13" s="46" t="s">
        <v>898</v>
      </c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</row>
    <row r="14" spans="1:26" s="40" customFormat="1" ht="33" customHeight="1">
      <c r="A14" s="43"/>
      <c r="B14" s="43"/>
      <c r="C14" s="44" t="s">
        <v>375</v>
      </c>
      <c r="D14" s="47" t="s">
        <v>363</v>
      </c>
      <c r="E14" s="46" t="s">
        <v>897</v>
      </c>
      <c r="F14" s="46" t="s">
        <v>897</v>
      </c>
      <c r="G14" s="46" t="s">
        <v>356</v>
      </c>
      <c r="H14" s="46" t="s">
        <v>897</v>
      </c>
      <c r="I14" s="46" t="s">
        <v>897</v>
      </c>
      <c r="J14" s="46" t="s">
        <v>897</v>
      </c>
      <c r="K14" s="46" t="s">
        <v>897</v>
      </c>
      <c r="L14" s="46" t="s">
        <v>897</v>
      </c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spans="1:26" s="40" customFormat="1" ht="33" customHeight="1">
      <c r="A15" s="43"/>
      <c r="B15" s="43"/>
      <c r="C15" s="44" t="s">
        <v>376</v>
      </c>
      <c r="D15" s="47" t="s">
        <v>355</v>
      </c>
      <c r="E15" s="46" t="s">
        <v>897</v>
      </c>
      <c r="F15" s="46" t="s">
        <v>897</v>
      </c>
      <c r="G15" s="46" t="s">
        <v>356</v>
      </c>
      <c r="H15" s="46" t="s">
        <v>897</v>
      </c>
      <c r="I15" s="46" t="s">
        <v>897</v>
      </c>
      <c r="J15" s="46" t="s">
        <v>897</v>
      </c>
      <c r="K15" s="46" t="s">
        <v>897</v>
      </c>
      <c r="L15" s="46" t="s">
        <v>897</v>
      </c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s="40" customFormat="1" ht="33" customHeight="1">
      <c r="A16" s="43"/>
      <c r="B16" s="43"/>
      <c r="C16" s="44" t="s">
        <v>377</v>
      </c>
      <c r="D16" s="47" t="s">
        <v>28</v>
      </c>
      <c r="E16" s="46" t="s">
        <v>897</v>
      </c>
      <c r="F16" s="46" t="s">
        <v>897</v>
      </c>
      <c r="G16" s="46" t="s">
        <v>356</v>
      </c>
      <c r="H16" s="46" t="s">
        <v>897</v>
      </c>
      <c r="I16" s="46" t="s">
        <v>897</v>
      </c>
      <c r="J16" s="46" t="s">
        <v>897</v>
      </c>
      <c r="K16" s="46" t="s">
        <v>897</v>
      </c>
      <c r="L16" s="46" t="s">
        <v>897</v>
      </c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</row>
    <row r="17" spans="1:26" s="40" customFormat="1" ht="33" customHeight="1">
      <c r="A17" s="43"/>
      <c r="B17" s="43"/>
      <c r="C17" s="44" t="s">
        <v>378</v>
      </c>
      <c r="D17" s="47" t="s">
        <v>361</v>
      </c>
      <c r="E17" s="46" t="s">
        <v>897</v>
      </c>
      <c r="F17" s="46" t="s">
        <v>897</v>
      </c>
      <c r="G17" s="46" t="s">
        <v>356</v>
      </c>
      <c r="H17" s="46" t="s">
        <v>897</v>
      </c>
      <c r="I17" s="46" t="s">
        <v>897</v>
      </c>
      <c r="J17" s="46" t="s">
        <v>897</v>
      </c>
      <c r="K17" s="46" t="s">
        <v>897</v>
      </c>
      <c r="L17" s="46" t="s">
        <v>897</v>
      </c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</row>
    <row r="18" spans="1:26" s="40" customFormat="1" ht="33" customHeight="1">
      <c r="A18" s="43"/>
      <c r="B18" s="43"/>
      <c r="C18" s="44" t="s">
        <v>379</v>
      </c>
      <c r="D18" s="47" t="s">
        <v>30</v>
      </c>
      <c r="E18" s="46" t="s">
        <v>897</v>
      </c>
      <c r="F18" s="46" t="s">
        <v>897</v>
      </c>
      <c r="G18" s="46" t="s">
        <v>356</v>
      </c>
      <c r="H18" s="46" t="s">
        <v>897</v>
      </c>
      <c r="I18" s="46" t="s">
        <v>897</v>
      </c>
      <c r="J18" s="46" t="s">
        <v>897</v>
      </c>
      <c r="K18" s="46" t="s">
        <v>897</v>
      </c>
      <c r="L18" s="46" t="s">
        <v>897</v>
      </c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</row>
    <row r="19" spans="1:26" s="40" customFormat="1" ht="33" customHeight="1">
      <c r="A19" s="43"/>
      <c r="B19" s="43"/>
      <c r="C19" s="44" t="s">
        <v>380</v>
      </c>
      <c r="D19" s="47" t="s">
        <v>31</v>
      </c>
      <c r="E19" s="46" t="s">
        <v>897</v>
      </c>
      <c r="F19" s="46" t="s">
        <v>897</v>
      </c>
      <c r="G19" s="46" t="s">
        <v>356</v>
      </c>
      <c r="H19" s="46" t="s">
        <v>897</v>
      </c>
      <c r="I19" s="46" t="s">
        <v>897</v>
      </c>
      <c r="J19" s="46" t="s">
        <v>897</v>
      </c>
      <c r="K19" s="46" t="s">
        <v>897</v>
      </c>
      <c r="L19" s="46" t="s">
        <v>897</v>
      </c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</row>
    <row r="20" spans="1:26" s="40" customFormat="1" ht="33" customHeight="1">
      <c r="A20" s="43"/>
      <c r="B20" s="43"/>
      <c r="C20" s="44" t="s">
        <v>381</v>
      </c>
      <c r="D20" s="47" t="s">
        <v>32</v>
      </c>
      <c r="E20" s="46" t="s">
        <v>897</v>
      </c>
      <c r="F20" s="46" t="s">
        <v>897</v>
      </c>
      <c r="G20" s="46" t="s">
        <v>356</v>
      </c>
      <c r="H20" s="46" t="s">
        <v>897</v>
      </c>
      <c r="I20" s="46" t="s">
        <v>897</v>
      </c>
      <c r="J20" s="46" t="s">
        <v>897</v>
      </c>
      <c r="K20" s="46" t="s">
        <v>897</v>
      </c>
      <c r="L20" s="46" t="s">
        <v>897</v>
      </c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</row>
    <row r="21" spans="1:26" s="40" customFormat="1" ht="33" customHeight="1">
      <c r="A21" s="43"/>
      <c r="B21" s="43"/>
      <c r="C21" s="44" t="s">
        <v>382</v>
      </c>
      <c r="D21" s="47" t="s">
        <v>33</v>
      </c>
      <c r="E21" s="46" t="s">
        <v>897</v>
      </c>
      <c r="F21" s="46" t="s">
        <v>897</v>
      </c>
      <c r="G21" s="46" t="s">
        <v>356</v>
      </c>
      <c r="H21" s="46" t="s">
        <v>897</v>
      </c>
      <c r="I21" s="46" t="s">
        <v>897</v>
      </c>
      <c r="J21" s="46" t="s">
        <v>897</v>
      </c>
      <c r="K21" s="46" t="s">
        <v>897</v>
      </c>
      <c r="L21" s="46" t="s">
        <v>897</v>
      </c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</row>
    <row r="22" spans="1:26" s="40" customFormat="1" ht="33" customHeight="1">
      <c r="A22" s="43"/>
      <c r="B22" s="43"/>
      <c r="C22" s="44" t="s">
        <v>383</v>
      </c>
      <c r="D22" s="47" t="s">
        <v>34</v>
      </c>
      <c r="E22" s="46" t="s">
        <v>897</v>
      </c>
      <c r="F22" s="46" t="s">
        <v>897</v>
      </c>
      <c r="G22" s="46" t="s">
        <v>356</v>
      </c>
      <c r="H22" s="46" t="s">
        <v>897</v>
      </c>
      <c r="I22" s="46" t="s">
        <v>897</v>
      </c>
      <c r="J22" s="46" t="s">
        <v>897</v>
      </c>
      <c r="K22" s="46" t="s">
        <v>897</v>
      </c>
      <c r="L22" s="46" t="s">
        <v>897</v>
      </c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</row>
    <row r="23" spans="1:26" s="40" customFormat="1" ht="33" customHeight="1">
      <c r="A23" s="43"/>
      <c r="B23" s="43"/>
      <c r="C23" s="44" t="s">
        <v>384</v>
      </c>
      <c r="D23" s="47" t="s">
        <v>35</v>
      </c>
      <c r="E23" s="46" t="s">
        <v>897</v>
      </c>
      <c r="F23" s="46" t="s">
        <v>897</v>
      </c>
      <c r="G23" s="46" t="s">
        <v>356</v>
      </c>
      <c r="H23" s="46" t="s">
        <v>897</v>
      </c>
      <c r="I23" s="46" t="s">
        <v>897</v>
      </c>
      <c r="J23" s="46" t="s">
        <v>897</v>
      </c>
      <c r="K23" s="46" t="s">
        <v>897</v>
      </c>
      <c r="L23" s="46" t="s">
        <v>897</v>
      </c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spans="1:26" s="40" customFormat="1" ht="33" customHeight="1">
      <c r="A24" s="43"/>
      <c r="B24" s="43"/>
      <c r="C24" s="44" t="s">
        <v>385</v>
      </c>
      <c r="D24" s="47" t="s">
        <v>29</v>
      </c>
      <c r="E24" s="46">
        <v>8.6</v>
      </c>
      <c r="F24" s="46">
        <v>8.5</v>
      </c>
      <c r="G24" s="46" t="s">
        <v>356</v>
      </c>
      <c r="H24" s="46">
        <v>8.6</v>
      </c>
      <c r="I24" s="46">
        <v>8.5</v>
      </c>
      <c r="J24" s="46">
        <v>7.2</v>
      </c>
      <c r="K24" s="46">
        <v>7.98</v>
      </c>
      <c r="L24" s="46">
        <v>7.7</v>
      </c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</row>
    <row r="25" spans="1:26" s="40" customFormat="1" ht="33" customHeight="1" thickBot="1">
      <c r="A25" s="43"/>
      <c r="B25" s="43"/>
      <c r="C25" s="44" t="s">
        <v>386</v>
      </c>
      <c r="D25" s="47" t="s">
        <v>358</v>
      </c>
      <c r="E25" s="48">
        <v>0.66900000000000004</v>
      </c>
      <c r="F25" s="48">
        <v>0.01</v>
      </c>
      <c r="G25" s="46" t="s">
        <v>356</v>
      </c>
      <c r="H25" s="48">
        <v>0.61699999999999999</v>
      </c>
      <c r="I25" s="48">
        <v>0.46200000000000002</v>
      </c>
      <c r="J25" s="48">
        <v>0.159</v>
      </c>
      <c r="K25" s="48">
        <v>0.52900000000000003</v>
      </c>
      <c r="L25" s="48">
        <v>0.443</v>
      </c>
      <c r="M25" s="48"/>
      <c r="N25" s="48"/>
      <c r="O25" s="46"/>
      <c r="P25" s="46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s="40" customFormat="1" ht="33" customHeight="1">
      <c r="A26" s="43"/>
      <c r="B26" s="43"/>
      <c r="C26" s="44" t="s">
        <v>387</v>
      </c>
      <c r="D26" s="50" t="s">
        <v>38</v>
      </c>
      <c r="E26" s="51"/>
      <c r="F26" s="51"/>
      <c r="G26" s="51" t="s">
        <v>897</v>
      </c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2"/>
    </row>
    <row r="27" spans="1:26" s="40" customFormat="1" ht="33" customHeight="1">
      <c r="A27" s="43"/>
      <c r="B27" s="43"/>
      <c r="C27" s="44" t="s">
        <v>388</v>
      </c>
      <c r="D27" s="53" t="s">
        <v>488</v>
      </c>
      <c r="E27" s="46"/>
      <c r="F27" s="46"/>
      <c r="G27" s="46" t="s">
        <v>897</v>
      </c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54"/>
    </row>
    <row r="28" spans="1:26" s="40" customFormat="1" ht="33" customHeight="1">
      <c r="A28" s="43"/>
      <c r="B28" s="43"/>
      <c r="C28" s="44" t="s">
        <v>393</v>
      </c>
      <c r="D28" s="53" t="s">
        <v>39</v>
      </c>
      <c r="E28" s="46"/>
      <c r="F28" s="46"/>
      <c r="G28" s="46" t="s">
        <v>897</v>
      </c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54"/>
    </row>
    <row r="29" spans="1:26" s="40" customFormat="1" ht="33" customHeight="1">
      <c r="A29" s="43"/>
      <c r="B29" s="43"/>
      <c r="C29" s="44" t="s">
        <v>394</v>
      </c>
      <c r="D29" s="53" t="s">
        <v>40</v>
      </c>
      <c r="E29" s="46"/>
      <c r="F29" s="46"/>
      <c r="G29" s="46" t="s">
        <v>897</v>
      </c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54"/>
    </row>
    <row r="30" spans="1:26" s="40" customFormat="1" ht="33" customHeight="1">
      <c r="A30" s="43"/>
      <c r="B30" s="43"/>
      <c r="C30" s="44" t="s">
        <v>395</v>
      </c>
      <c r="D30" s="53" t="s">
        <v>489</v>
      </c>
      <c r="E30" s="46"/>
      <c r="F30" s="46"/>
      <c r="G30" s="46" t="s">
        <v>897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54"/>
    </row>
    <row r="31" spans="1:26" s="40" customFormat="1" ht="33" customHeight="1">
      <c r="A31" s="43"/>
      <c r="B31" s="43"/>
      <c r="C31" s="44" t="s">
        <v>396</v>
      </c>
      <c r="D31" s="53" t="s">
        <v>28</v>
      </c>
      <c r="E31" s="46"/>
      <c r="F31" s="46"/>
      <c r="G31" s="46" t="s">
        <v>897</v>
      </c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54"/>
    </row>
    <row r="32" spans="1:26" s="40" customFormat="1" ht="33" customHeight="1">
      <c r="A32" s="43"/>
      <c r="B32" s="43"/>
      <c r="C32" s="44" t="s">
        <v>397</v>
      </c>
      <c r="D32" s="53" t="s">
        <v>41</v>
      </c>
      <c r="E32" s="46"/>
      <c r="F32" s="46"/>
      <c r="G32" s="46" t="s">
        <v>898</v>
      </c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54"/>
    </row>
    <row r="33" spans="1:26" s="40" customFormat="1" ht="33" customHeight="1" thickBot="1">
      <c r="A33" s="43"/>
      <c r="B33" s="43"/>
      <c r="C33" s="44" t="s">
        <v>398</v>
      </c>
      <c r="D33" s="55" t="s">
        <v>42</v>
      </c>
      <c r="E33" s="56"/>
      <c r="F33" s="56"/>
      <c r="G33" s="56"/>
      <c r="H33" s="56" t="s">
        <v>897</v>
      </c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7"/>
    </row>
    <row r="34" spans="1:26" s="28" customFormat="1">
      <c r="D34" s="28" t="s">
        <v>364</v>
      </c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</row>
    <row r="35" spans="1:26">
      <c r="A35" s="16" t="s">
        <v>45</v>
      </c>
      <c r="B35" s="16" t="s">
        <v>490</v>
      </c>
      <c r="C35" s="16" t="s">
        <v>491</v>
      </c>
      <c r="D35" s="18">
        <f t="shared" ref="D35:D96" si="0">SUM(E35:Z35)</f>
        <v>0</v>
      </c>
    </row>
    <row r="36" spans="1:26">
      <c r="A36" s="16" t="s">
        <v>45</v>
      </c>
      <c r="B36" s="16" t="s">
        <v>46</v>
      </c>
      <c r="C36" s="16" t="s">
        <v>492</v>
      </c>
      <c r="D36" s="18">
        <f t="shared" si="0"/>
        <v>0</v>
      </c>
    </row>
    <row r="37" spans="1:26">
      <c r="A37" s="16" t="s">
        <v>45</v>
      </c>
      <c r="B37" s="16" t="s">
        <v>47</v>
      </c>
      <c r="C37" s="16" t="s">
        <v>493</v>
      </c>
      <c r="D37" s="18">
        <f t="shared" si="0"/>
        <v>0</v>
      </c>
    </row>
    <row r="38" spans="1:26">
      <c r="A38" s="16" t="s">
        <v>48</v>
      </c>
      <c r="B38" s="16" t="s">
        <v>49</v>
      </c>
      <c r="C38" s="16" t="s">
        <v>494</v>
      </c>
      <c r="D38" s="18">
        <f t="shared" si="0"/>
        <v>0</v>
      </c>
    </row>
    <row r="39" spans="1:26">
      <c r="A39" s="16" t="s">
        <v>48</v>
      </c>
      <c r="B39" s="16" t="s">
        <v>50</v>
      </c>
      <c r="C39" s="16" t="s">
        <v>51</v>
      </c>
      <c r="D39" s="18">
        <f t="shared" si="0"/>
        <v>0</v>
      </c>
    </row>
    <row r="40" spans="1:26">
      <c r="A40" s="16" t="s">
        <v>48</v>
      </c>
      <c r="B40" s="16" t="s">
        <v>52</v>
      </c>
      <c r="C40" s="16" t="s">
        <v>53</v>
      </c>
      <c r="D40" s="18">
        <f t="shared" si="0"/>
        <v>1</v>
      </c>
      <c r="H40" s="20">
        <v>1</v>
      </c>
    </row>
    <row r="41" spans="1:26">
      <c r="A41" s="16" t="s">
        <v>535</v>
      </c>
      <c r="B41" s="16" t="s">
        <v>536</v>
      </c>
      <c r="C41" s="16" t="s">
        <v>55</v>
      </c>
      <c r="D41" s="18">
        <f t="shared" si="0"/>
        <v>2</v>
      </c>
      <c r="I41" s="20">
        <v>1</v>
      </c>
      <c r="L41" s="20">
        <v>1</v>
      </c>
    </row>
    <row r="42" spans="1:26">
      <c r="A42" s="16" t="s">
        <v>56</v>
      </c>
      <c r="B42" s="16" t="s">
        <v>57</v>
      </c>
      <c r="C42" s="16" t="s">
        <v>58</v>
      </c>
      <c r="D42" s="18">
        <f t="shared" si="0"/>
        <v>0</v>
      </c>
    </row>
    <row r="43" spans="1:26">
      <c r="A43" s="16" t="s">
        <v>56</v>
      </c>
      <c r="B43" s="16" t="s">
        <v>59</v>
      </c>
      <c r="C43" s="16" t="s">
        <v>60</v>
      </c>
      <c r="D43" s="18">
        <f t="shared" si="0"/>
        <v>0</v>
      </c>
    </row>
    <row r="44" spans="1:26">
      <c r="A44" s="16" t="s">
        <v>56</v>
      </c>
      <c r="B44" s="16" t="s">
        <v>61</v>
      </c>
      <c r="C44" s="16" t="s">
        <v>62</v>
      </c>
      <c r="D44" s="18">
        <f t="shared" si="0"/>
        <v>0</v>
      </c>
    </row>
    <row r="45" spans="1:26">
      <c r="A45" s="16" t="s">
        <v>68</v>
      </c>
      <c r="B45" s="16" t="s">
        <v>69</v>
      </c>
      <c r="C45" s="16" t="s">
        <v>70</v>
      </c>
      <c r="D45" s="18">
        <f t="shared" si="0"/>
        <v>2</v>
      </c>
      <c r="F45" s="20">
        <v>1</v>
      </c>
      <c r="K45" s="20">
        <v>1</v>
      </c>
    </row>
    <row r="46" spans="1:26">
      <c r="A46" s="16" t="s">
        <v>68</v>
      </c>
      <c r="B46" s="16" t="s">
        <v>71</v>
      </c>
      <c r="C46" s="16" t="s">
        <v>72</v>
      </c>
      <c r="D46" s="18">
        <f t="shared" si="0"/>
        <v>1</v>
      </c>
      <c r="G46" s="20">
        <v>1</v>
      </c>
    </row>
    <row r="47" spans="1:26">
      <c r="A47" s="16" t="s">
        <v>73</v>
      </c>
      <c r="B47" s="16" t="s">
        <v>74</v>
      </c>
      <c r="C47" s="16" t="s">
        <v>354</v>
      </c>
      <c r="D47" s="18">
        <f t="shared" si="0"/>
        <v>0</v>
      </c>
    </row>
    <row r="48" spans="1:26">
      <c r="A48" s="16" t="s">
        <v>75</v>
      </c>
      <c r="B48" s="16" t="s">
        <v>76</v>
      </c>
      <c r="C48" s="16" t="s">
        <v>77</v>
      </c>
      <c r="D48" s="18">
        <f t="shared" si="0"/>
        <v>0</v>
      </c>
    </row>
    <row r="49" spans="1:10">
      <c r="A49" s="16" t="s">
        <v>78</v>
      </c>
      <c r="B49" s="16" t="s">
        <v>79</v>
      </c>
      <c r="C49" s="16" t="s">
        <v>80</v>
      </c>
      <c r="D49" s="18">
        <f t="shared" si="0"/>
        <v>0</v>
      </c>
    </row>
    <row r="50" spans="1:10">
      <c r="A50" s="16" t="s">
        <v>78</v>
      </c>
      <c r="B50" s="16" t="s">
        <v>81</v>
      </c>
      <c r="C50" s="16" t="s">
        <v>82</v>
      </c>
      <c r="D50" s="18">
        <f t="shared" si="0"/>
        <v>0</v>
      </c>
    </row>
    <row r="51" spans="1:10">
      <c r="A51" s="16" t="s">
        <v>78</v>
      </c>
      <c r="B51" s="16" t="s">
        <v>83</v>
      </c>
      <c r="C51" s="16" t="s">
        <v>84</v>
      </c>
      <c r="D51" s="18">
        <f t="shared" si="0"/>
        <v>0</v>
      </c>
    </row>
    <row r="52" spans="1:10">
      <c r="A52" s="16" t="s">
        <v>56</v>
      </c>
      <c r="B52" s="16" t="s">
        <v>85</v>
      </c>
      <c r="C52" s="16" t="s">
        <v>86</v>
      </c>
      <c r="D52" s="18">
        <f t="shared" si="0"/>
        <v>0</v>
      </c>
    </row>
    <row r="53" spans="1:10">
      <c r="A53" s="16" t="s">
        <v>87</v>
      </c>
      <c r="B53" s="16" t="s">
        <v>88</v>
      </c>
      <c r="C53" s="16" t="s">
        <v>89</v>
      </c>
      <c r="D53" s="18">
        <f t="shared" si="0"/>
        <v>0</v>
      </c>
    </row>
    <row r="54" spans="1:10">
      <c r="A54" s="16" t="s">
        <v>90</v>
      </c>
      <c r="B54" s="16" t="s">
        <v>91</v>
      </c>
      <c r="C54" s="16" t="s">
        <v>92</v>
      </c>
      <c r="D54" s="18">
        <f t="shared" si="0"/>
        <v>1</v>
      </c>
      <c r="E54" s="20">
        <v>1</v>
      </c>
    </row>
    <row r="55" spans="1:10">
      <c r="A55" s="16" t="s">
        <v>56</v>
      </c>
      <c r="B55" s="16" t="s">
        <v>93</v>
      </c>
      <c r="C55" s="16" t="s">
        <v>94</v>
      </c>
      <c r="D55" s="18">
        <f t="shared" si="0"/>
        <v>1</v>
      </c>
      <c r="J55" s="20">
        <v>1</v>
      </c>
    </row>
    <row r="56" spans="1:10">
      <c r="A56" s="16" t="s">
        <v>87</v>
      </c>
      <c r="B56" s="16" t="s">
        <v>95</v>
      </c>
      <c r="C56" s="16" t="s">
        <v>96</v>
      </c>
      <c r="D56" s="18">
        <f t="shared" si="0"/>
        <v>0</v>
      </c>
    </row>
    <row r="57" spans="1:10">
      <c r="A57" s="16" t="s">
        <v>78</v>
      </c>
      <c r="B57" s="16" t="s">
        <v>97</v>
      </c>
      <c r="C57" s="16" t="s">
        <v>98</v>
      </c>
      <c r="D57" s="18">
        <f t="shared" si="0"/>
        <v>0</v>
      </c>
    </row>
    <row r="58" spans="1:10">
      <c r="A58" s="16" t="s">
        <v>54</v>
      </c>
      <c r="B58" s="16" t="s">
        <v>99</v>
      </c>
      <c r="C58" s="16" t="s">
        <v>100</v>
      </c>
      <c r="D58" s="18">
        <f t="shared" si="0"/>
        <v>3</v>
      </c>
      <c r="G58" s="20">
        <v>3</v>
      </c>
    </row>
    <row r="59" spans="1:10">
      <c r="A59" s="16" t="s">
        <v>56</v>
      </c>
      <c r="B59" s="16" t="s">
        <v>101</v>
      </c>
      <c r="C59" s="16" t="s">
        <v>102</v>
      </c>
      <c r="D59" s="18">
        <f t="shared" si="0"/>
        <v>0</v>
      </c>
    </row>
    <row r="60" spans="1:10">
      <c r="A60" s="16" t="s">
        <v>103</v>
      </c>
      <c r="B60" s="16" t="s">
        <v>104</v>
      </c>
      <c r="C60" s="16" t="s">
        <v>105</v>
      </c>
      <c r="D60" s="18">
        <f t="shared" si="0"/>
        <v>0</v>
      </c>
    </row>
    <row r="61" spans="1:10">
      <c r="A61" s="16" t="s">
        <v>103</v>
      </c>
      <c r="B61" s="16" t="s">
        <v>106</v>
      </c>
      <c r="C61" s="16" t="s">
        <v>107</v>
      </c>
      <c r="D61" s="18">
        <f t="shared" si="0"/>
        <v>0</v>
      </c>
    </row>
    <row r="62" spans="1:10">
      <c r="A62" s="16" t="s">
        <v>108</v>
      </c>
      <c r="B62" s="16" t="s">
        <v>109</v>
      </c>
      <c r="C62" s="16" t="s">
        <v>110</v>
      </c>
      <c r="D62" s="18">
        <f t="shared" si="0"/>
        <v>0</v>
      </c>
    </row>
    <row r="63" spans="1:10">
      <c r="A63" s="16" t="s">
        <v>108</v>
      </c>
      <c r="B63" s="16" t="s">
        <v>111</v>
      </c>
      <c r="C63" s="16" t="s">
        <v>112</v>
      </c>
      <c r="D63" s="18">
        <f t="shared" si="0"/>
        <v>0</v>
      </c>
    </row>
    <row r="64" spans="1:10">
      <c r="A64" s="16" t="s">
        <v>108</v>
      </c>
      <c r="B64" s="16" t="s">
        <v>113</v>
      </c>
      <c r="C64" s="16" t="s">
        <v>114</v>
      </c>
      <c r="D64" s="18">
        <f t="shared" si="0"/>
        <v>0</v>
      </c>
    </row>
    <row r="65" spans="1:4">
      <c r="A65" s="16" t="s">
        <v>108</v>
      </c>
      <c r="B65" s="16" t="s">
        <v>115</v>
      </c>
      <c r="C65" s="16" t="s">
        <v>116</v>
      </c>
      <c r="D65" s="18">
        <f t="shared" si="0"/>
        <v>0</v>
      </c>
    </row>
    <row r="66" spans="1:4">
      <c r="A66" s="16" t="s">
        <v>108</v>
      </c>
      <c r="B66" s="16" t="s">
        <v>117</v>
      </c>
      <c r="C66" s="16" t="s">
        <v>118</v>
      </c>
      <c r="D66" s="18">
        <f t="shared" si="0"/>
        <v>0</v>
      </c>
    </row>
    <row r="67" spans="1:4">
      <c r="A67" s="16" t="s">
        <v>108</v>
      </c>
      <c r="B67" s="16" t="s">
        <v>119</v>
      </c>
      <c r="C67" s="16" t="s">
        <v>120</v>
      </c>
      <c r="D67" s="18">
        <f t="shared" si="0"/>
        <v>0</v>
      </c>
    </row>
    <row r="68" spans="1:4">
      <c r="A68" s="16" t="s">
        <v>121</v>
      </c>
      <c r="B68" s="16" t="s">
        <v>122</v>
      </c>
      <c r="C68" s="16" t="s">
        <v>123</v>
      </c>
      <c r="D68" s="18">
        <f t="shared" si="0"/>
        <v>0</v>
      </c>
    </row>
    <row r="69" spans="1:4">
      <c r="A69" s="16" t="s">
        <v>124</v>
      </c>
      <c r="B69" s="16" t="s">
        <v>125</v>
      </c>
      <c r="C69" s="16" t="s">
        <v>126</v>
      </c>
      <c r="D69" s="18">
        <f t="shared" si="0"/>
        <v>0</v>
      </c>
    </row>
    <row r="70" spans="1:4">
      <c r="A70" s="16" t="s">
        <v>124</v>
      </c>
      <c r="B70" s="16" t="s">
        <v>127</v>
      </c>
      <c r="C70" s="16" t="s">
        <v>128</v>
      </c>
      <c r="D70" s="18">
        <f t="shared" si="0"/>
        <v>0</v>
      </c>
    </row>
    <row r="71" spans="1:4">
      <c r="A71" s="16" t="s">
        <v>124</v>
      </c>
      <c r="B71" s="16" t="s">
        <v>129</v>
      </c>
      <c r="C71" s="16" t="s">
        <v>130</v>
      </c>
      <c r="D71" s="18">
        <f t="shared" si="0"/>
        <v>0</v>
      </c>
    </row>
    <row r="72" spans="1:4">
      <c r="A72" s="16" t="s">
        <v>124</v>
      </c>
      <c r="B72" s="16" t="s">
        <v>131</v>
      </c>
      <c r="C72" s="16" t="s">
        <v>132</v>
      </c>
      <c r="D72" s="18">
        <f t="shared" si="0"/>
        <v>0</v>
      </c>
    </row>
    <row r="73" spans="1:4">
      <c r="A73" s="16" t="s">
        <v>124</v>
      </c>
      <c r="B73" s="16" t="s">
        <v>133</v>
      </c>
      <c r="C73" s="16" t="s">
        <v>134</v>
      </c>
      <c r="D73" s="18">
        <f t="shared" si="0"/>
        <v>0</v>
      </c>
    </row>
    <row r="74" spans="1:4">
      <c r="A74" s="16" t="s">
        <v>124</v>
      </c>
      <c r="B74" s="16" t="s">
        <v>135</v>
      </c>
      <c r="C74" s="16" t="s">
        <v>136</v>
      </c>
      <c r="D74" s="18">
        <f t="shared" si="0"/>
        <v>0</v>
      </c>
    </row>
    <row r="75" spans="1:4">
      <c r="A75" s="16" t="s">
        <v>124</v>
      </c>
      <c r="B75" s="16" t="s">
        <v>137</v>
      </c>
      <c r="C75" s="16" t="s">
        <v>138</v>
      </c>
      <c r="D75" s="18">
        <f t="shared" si="0"/>
        <v>0</v>
      </c>
    </row>
    <row r="76" spans="1:4">
      <c r="A76" s="16" t="s">
        <v>139</v>
      </c>
      <c r="B76" s="16" t="s">
        <v>140</v>
      </c>
      <c r="C76" s="16" t="s">
        <v>141</v>
      </c>
      <c r="D76" s="18">
        <f t="shared" si="0"/>
        <v>0</v>
      </c>
    </row>
    <row r="77" spans="1:4">
      <c r="A77" s="16" t="s">
        <v>142</v>
      </c>
      <c r="B77" s="16" t="s">
        <v>143</v>
      </c>
      <c r="C77" s="16" t="s">
        <v>144</v>
      </c>
      <c r="D77" s="18">
        <f t="shared" si="0"/>
        <v>0</v>
      </c>
    </row>
    <row r="78" spans="1:4">
      <c r="A78" s="16" t="s">
        <v>145</v>
      </c>
      <c r="B78" s="16" t="s">
        <v>146</v>
      </c>
      <c r="C78" s="16" t="s">
        <v>147</v>
      </c>
      <c r="D78" s="18">
        <f t="shared" si="0"/>
        <v>0</v>
      </c>
    </row>
    <row r="79" spans="1:4">
      <c r="A79" s="16" t="s">
        <v>145</v>
      </c>
      <c r="B79" s="16" t="s">
        <v>148</v>
      </c>
      <c r="C79" s="16" t="s">
        <v>149</v>
      </c>
      <c r="D79" s="18">
        <f t="shared" si="0"/>
        <v>0</v>
      </c>
    </row>
    <row r="80" spans="1:4">
      <c r="A80" s="16" t="s">
        <v>145</v>
      </c>
      <c r="B80" s="16" t="s">
        <v>150</v>
      </c>
      <c r="C80" s="16" t="s">
        <v>151</v>
      </c>
      <c r="D80" s="18">
        <f t="shared" si="0"/>
        <v>0</v>
      </c>
    </row>
    <row r="81" spans="1:4">
      <c r="A81" s="16" t="s">
        <v>145</v>
      </c>
      <c r="B81" s="16" t="s">
        <v>152</v>
      </c>
      <c r="C81" s="16" t="s">
        <v>153</v>
      </c>
      <c r="D81" s="18">
        <f t="shared" si="0"/>
        <v>0</v>
      </c>
    </row>
    <row r="82" spans="1:4">
      <c r="A82" s="16" t="s">
        <v>145</v>
      </c>
      <c r="B82" s="16" t="s">
        <v>154</v>
      </c>
      <c r="C82" s="16" t="s">
        <v>155</v>
      </c>
      <c r="D82" s="18">
        <f t="shared" si="0"/>
        <v>0</v>
      </c>
    </row>
    <row r="83" spans="1:4">
      <c r="A83" s="16" t="s">
        <v>156</v>
      </c>
      <c r="B83" s="16" t="s">
        <v>157</v>
      </c>
      <c r="C83" s="16" t="s">
        <v>158</v>
      </c>
      <c r="D83" s="18">
        <f t="shared" si="0"/>
        <v>0</v>
      </c>
    </row>
    <row r="84" spans="1:4">
      <c r="A84" s="16" t="s">
        <v>156</v>
      </c>
      <c r="B84" s="16" t="s">
        <v>159</v>
      </c>
      <c r="C84" s="16" t="s">
        <v>160</v>
      </c>
      <c r="D84" s="18">
        <f t="shared" si="0"/>
        <v>0</v>
      </c>
    </row>
    <row r="85" spans="1:4">
      <c r="A85" s="16" t="s">
        <v>156</v>
      </c>
      <c r="B85" s="16" t="s">
        <v>161</v>
      </c>
      <c r="C85" s="16" t="s">
        <v>162</v>
      </c>
      <c r="D85" s="18">
        <f t="shared" si="0"/>
        <v>0</v>
      </c>
    </row>
    <row r="86" spans="1:4">
      <c r="A86" s="16" t="s">
        <v>156</v>
      </c>
      <c r="B86" s="16" t="s">
        <v>163</v>
      </c>
      <c r="C86" s="16" t="s">
        <v>164</v>
      </c>
      <c r="D86" s="18">
        <f t="shared" si="0"/>
        <v>0</v>
      </c>
    </row>
    <row r="87" spans="1:4">
      <c r="A87" s="16" t="s">
        <v>156</v>
      </c>
      <c r="B87" s="16" t="s">
        <v>165</v>
      </c>
      <c r="C87" s="16" t="s">
        <v>166</v>
      </c>
      <c r="D87" s="18">
        <f t="shared" si="0"/>
        <v>0</v>
      </c>
    </row>
    <row r="88" spans="1:4">
      <c r="A88" s="16" t="s">
        <v>156</v>
      </c>
      <c r="B88" s="16" t="s">
        <v>167</v>
      </c>
      <c r="C88" s="16" t="s">
        <v>168</v>
      </c>
      <c r="D88" s="18">
        <f t="shared" si="0"/>
        <v>0</v>
      </c>
    </row>
    <row r="89" spans="1:4">
      <c r="A89" s="16" t="s">
        <v>169</v>
      </c>
      <c r="B89" s="16" t="s">
        <v>170</v>
      </c>
      <c r="C89" s="16" t="s">
        <v>171</v>
      </c>
      <c r="D89" s="18">
        <f t="shared" si="0"/>
        <v>0</v>
      </c>
    </row>
    <row r="90" spans="1:4">
      <c r="A90" s="16" t="s">
        <v>169</v>
      </c>
      <c r="B90" s="16" t="s">
        <v>172</v>
      </c>
      <c r="C90" s="16" t="s">
        <v>173</v>
      </c>
      <c r="D90" s="18">
        <f t="shared" si="0"/>
        <v>0</v>
      </c>
    </row>
    <row r="91" spans="1:4">
      <c r="A91" s="16" t="s">
        <v>169</v>
      </c>
      <c r="B91" s="16" t="s">
        <v>174</v>
      </c>
      <c r="C91" s="16" t="s">
        <v>175</v>
      </c>
      <c r="D91" s="18">
        <f t="shared" si="0"/>
        <v>0</v>
      </c>
    </row>
    <row r="92" spans="1:4">
      <c r="A92" s="16" t="s">
        <v>169</v>
      </c>
      <c r="B92" s="16" t="s">
        <v>176</v>
      </c>
      <c r="C92" s="16" t="s">
        <v>177</v>
      </c>
      <c r="D92" s="18">
        <f t="shared" si="0"/>
        <v>0</v>
      </c>
    </row>
    <row r="93" spans="1:4">
      <c r="A93" s="16" t="s">
        <v>169</v>
      </c>
      <c r="B93" s="16" t="s">
        <v>178</v>
      </c>
      <c r="C93" s="16" t="s">
        <v>179</v>
      </c>
      <c r="D93" s="18">
        <f t="shared" si="0"/>
        <v>0</v>
      </c>
    </row>
    <row r="94" spans="1:4">
      <c r="A94" s="16" t="s">
        <v>169</v>
      </c>
      <c r="B94" s="16" t="s">
        <v>180</v>
      </c>
      <c r="C94" s="16" t="s">
        <v>181</v>
      </c>
      <c r="D94" s="18">
        <f t="shared" si="0"/>
        <v>0</v>
      </c>
    </row>
    <row r="95" spans="1:4">
      <c r="A95" s="16" t="s">
        <v>169</v>
      </c>
      <c r="B95" s="16" t="s">
        <v>182</v>
      </c>
      <c r="C95" s="16" t="s">
        <v>183</v>
      </c>
      <c r="D95" s="18">
        <f t="shared" si="0"/>
        <v>0</v>
      </c>
    </row>
    <row r="96" spans="1:4">
      <c r="A96" s="16" t="s">
        <v>169</v>
      </c>
      <c r="B96" s="16" t="s">
        <v>184</v>
      </c>
      <c r="C96" s="16" t="s">
        <v>185</v>
      </c>
      <c r="D96" s="18">
        <f t="shared" si="0"/>
        <v>0</v>
      </c>
    </row>
    <row r="97" spans="1:4">
      <c r="A97" s="16" t="s">
        <v>169</v>
      </c>
      <c r="B97" s="16" t="s">
        <v>186</v>
      </c>
      <c r="C97" s="16" t="s">
        <v>187</v>
      </c>
      <c r="D97" s="18">
        <f t="shared" ref="D97:D156" si="1">SUM(E97:Z97)</f>
        <v>0</v>
      </c>
    </row>
    <row r="98" spans="1:4">
      <c r="A98" s="16" t="s">
        <v>169</v>
      </c>
      <c r="B98" s="16" t="s">
        <v>188</v>
      </c>
      <c r="C98" s="16" t="s">
        <v>189</v>
      </c>
      <c r="D98" s="18">
        <f t="shared" si="1"/>
        <v>0</v>
      </c>
    </row>
    <row r="99" spans="1:4">
      <c r="A99" s="16" t="s">
        <v>169</v>
      </c>
      <c r="B99" s="16" t="s">
        <v>190</v>
      </c>
      <c r="C99" s="16" t="s">
        <v>191</v>
      </c>
      <c r="D99" s="18">
        <f t="shared" si="1"/>
        <v>0</v>
      </c>
    </row>
    <row r="100" spans="1:4">
      <c r="A100" s="16" t="s">
        <v>87</v>
      </c>
      <c r="B100" s="16" t="s">
        <v>192</v>
      </c>
      <c r="C100" s="16" t="s">
        <v>193</v>
      </c>
      <c r="D100" s="18">
        <f t="shared" si="1"/>
        <v>0</v>
      </c>
    </row>
    <row r="101" spans="1:4">
      <c r="A101" s="16" t="s">
        <v>87</v>
      </c>
      <c r="B101" s="16" t="s">
        <v>194</v>
      </c>
      <c r="C101" s="16" t="s">
        <v>195</v>
      </c>
      <c r="D101" s="18">
        <f t="shared" si="1"/>
        <v>0</v>
      </c>
    </row>
    <row r="102" spans="1:4">
      <c r="A102" s="16" t="s">
        <v>87</v>
      </c>
      <c r="B102" s="16" t="s">
        <v>196</v>
      </c>
      <c r="C102" s="16" t="s">
        <v>197</v>
      </c>
      <c r="D102" s="18">
        <f t="shared" si="1"/>
        <v>0</v>
      </c>
    </row>
    <row r="103" spans="1:4">
      <c r="A103" s="16" t="s">
        <v>87</v>
      </c>
      <c r="B103" s="16" t="s">
        <v>198</v>
      </c>
      <c r="C103" s="16" t="s">
        <v>199</v>
      </c>
      <c r="D103" s="18">
        <f t="shared" si="1"/>
        <v>0</v>
      </c>
    </row>
    <row r="104" spans="1:4">
      <c r="A104" s="16" t="s">
        <v>87</v>
      </c>
      <c r="B104" s="16" t="s">
        <v>200</v>
      </c>
      <c r="C104" s="16" t="s">
        <v>201</v>
      </c>
      <c r="D104" s="18">
        <f t="shared" si="1"/>
        <v>0</v>
      </c>
    </row>
    <row r="105" spans="1:4">
      <c r="A105" s="16" t="s">
        <v>87</v>
      </c>
      <c r="B105" s="16" t="s">
        <v>202</v>
      </c>
      <c r="C105" s="16" t="s">
        <v>203</v>
      </c>
      <c r="D105" s="18">
        <f t="shared" si="1"/>
        <v>0</v>
      </c>
    </row>
    <row r="106" spans="1:4">
      <c r="A106" s="16" t="s">
        <v>87</v>
      </c>
      <c r="B106" s="16" t="s">
        <v>204</v>
      </c>
      <c r="C106" s="16" t="s">
        <v>205</v>
      </c>
      <c r="D106" s="18">
        <f t="shared" si="1"/>
        <v>0</v>
      </c>
    </row>
    <row r="107" spans="1:4">
      <c r="A107" s="16" t="s">
        <v>87</v>
      </c>
      <c r="B107" s="16" t="s">
        <v>206</v>
      </c>
      <c r="C107" s="16" t="s">
        <v>207</v>
      </c>
      <c r="D107" s="18">
        <f t="shared" si="1"/>
        <v>0</v>
      </c>
    </row>
    <row r="108" spans="1:4">
      <c r="A108" s="16" t="s">
        <v>87</v>
      </c>
      <c r="B108" s="16" t="s">
        <v>208</v>
      </c>
      <c r="C108" s="16" t="s">
        <v>209</v>
      </c>
      <c r="D108" s="18">
        <f t="shared" si="1"/>
        <v>0</v>
      </c>
    </row>
    <row r="109" spans="1:4">
      <c r="A109" s="16" t="s">
        <v>87</v>
      </c>
      <c r="B109" s="16" t="s">
        <v>210</v>
      </c>
      <c r="C109" s="16" t="s">
        <v>211</v>
      </c>
      <c r="D109" s="18">
        <f t="shared" si="1"/>
        <v>0</v>
      </c>
    </row>
    <row r="110" spans="1:4">
      <c r="A110" s="16" t="s">
        <v>87</v>
      </c>
      <c r="B110" s="16" t="s">
        <v>212</v>
      </c>
      <c r="C110" s="16" t="s">
        <v>213</v>
      </c>
      <c r="D110" s="18">
        <f t="shared" si="1"/>
        <v>0</v>
      </c>
    </row>
    <row r="111" spans="1:4">
      <c r="A111" s="16" t="s">
        <v>87</v>
      </c>
      <c r="B111" s="16" t="s">
        <v>214</v>
      </c>
      <c r="C111" s="16" t="s">
        <v>215</v>
      </c>
      <c r="D111" s="18">
        <f t="shared" si="1"/>
        <v>0</v>
      </c>
    </row>
    <row r="112" spans="1:4">
      <c r="A112" s="16" t="s">
        <v>87</v>
      </c>
      <c r="B112" s="16" t="s">
        <v>216</v>
      </c>
      <c r="C112" s="16" t="s">
        <v>217</v>
      </c>
      <c r="D112" s="18">
        <f t="shared" si="1"/>
        <v>0</v>
      </c>
    </row>
    <row r="113" spans="1:4">
      <c r="A113" s="16" t="s">
        <v>87</v>
      </c>
      <c r="B113" s="16" t="s">
        <v>218</v>
      </c>
      <c r="C113" s="16" t="s">
        <v>219</v>
      </c>
      <c r="D113" s="18">
        <f t="shared" si="1"/>
        <v>0</v>
      </c>
    </row>
    <row r="114" spans="1:4">
      <c r="A114" s="16" t="s">
        <v>87</v>
      </c>
      <c r="B114" s="16" t="s">
        <v>220</v>
      </c>
      <c r="C114" s="16" t="s">
        <v>221</v>
      </c>
      <c r="D114" s="18">
        <f t="shared" si="1"/>
        <v>0</v>
      </c>
    </row>
    <row r="115" spans="1:4">
      <c r="A115" s="16" t="s">
        <v>87</v>
      </c>
      <c r="B115" s="16" t="s">
        <v>222</v>
      </c>
      <c r="C115" s="16" t="s">
        <v>223</v>
      </c>
      <c r="D115" s="18">
        <f t="shared" si="1"/>
        <v>0</v>
      </c>
    </row>
    <row r="116" spans="1:4">
      <c r="A116" s="16" t="s">
        <v>56</v>
      </c>
      <c r="B116" s="16" t="s">
        <v>224</v>
      </c>
      <c r="C116" s="16" t="s">
        <v>225</v>
      </c>
      <c r="D116" s="18">
        <f t="shared" si="1"/>
        <v>0</v>
      </c>
    </row>
    <row r="117" spans="1:4">
      <c r="A117" s="16" t="s">
        <v>226</v>
      </c>
      <c r="B117" s="16" t="s">
        <v>227</v>
      </c>
      <c r="C117" s="16" t="s">
        <v>228</v>
      </c>
      <c r="D117" s="18">
        <f t="shared" si="1"/>
        <v>0</v>
      </c>
    </row>
    <row r="118" spans="1:4">
      <c r="A118" s="16" t="s">
        <v>78</v>
      </c>
      <c r="B118" s="16" t="s">
        <v>229</v>
      </c>
      <c r="C118" s="16" t="s">
        <v>230</v>
      </c>
      <c r="D118" s="18">
        <f t="shared" si="1"/>
        <v>0</v>
      </c>
    </row>
    <row r="119" spans="1:4">
      <c r="A119" s="16" t="s">
        <v>78</v>
      </c>
      <c r="B119" s="16" t="s">
        <v>231</v>
      </c>
      <c r="C119" s="16" t="s">
        <v>232</v>
      </c>
      <c r="D119" s="18">
        <f t="shared" si="1"/>
        <v>0</v>
      </c>
    </row>
    <row r="120" spans="1:4">
      <c r="A120" s="16" t="s">
        <v>78</v>
      </c>
      <c r="B120" s="16" t="s">
        <v>233</v>
      </c>
      <c r="C120" s="16" t="s">
        <v>234</v>
      </c>
      <c r="D120" s="18">
        <f t="shared" si="1"/>
        <v>0</v>
      </c>
    </row>
    <row r="121" spans="1:4">
      <c r="A121" s="16" t="s">
        <v>78</v>
      </c>
      <c r="B121" s="16" t="s">
        <v>235</v>
      </c>
      <c r="C121" s="16" t="s">
        <v>236</v>
      </c>
      <c r="D121" s="18">
        <f t="shared" si="1"/>
        <v>0</v>
      </c>
    </row>
    <row r="122" spans="1:4">
      <c r="A122" s="16" t="s">
        <v>78</v>
      </c>
      <c r="B122" s="16" t="s">
        <v>237</v>
      </c>
      <c r="C122" s="16" t="s">
        <v>238</v>
      </c>
      <c r="D122" s="18">
        <f t="shared" si="1"/>
        <v>0</v>
      </c>
    </row>
    <row r="123" spans="1:4">
      <c r="A123" s="16" t="s">
        <v>78</v>
      </c>
      <c r="B123" s="16" t="s">
        <v>239</v>
      </c>
      <c r="C123" s="16" t="s">
        <v>240</v>
      </c>
      <c r="D123" s="18">
        <f t="shared" si="1"/>
        <v>0</v>
      </c>
    </row>
    <row r="124" spans="1:4">
      <c r="A124" s="16" t="s">
        <v>78</v>
      </c>
      <c r="B124" s="16" t="s">
        <v>241</v>
      </c>
      <c r="C124" s="16" t="s">
        <v>242</v>
      </c>
      <c r="D124" s="18">
        <f t="shared" si="1"/>
        <v>0</v>
      </c>
    </row>
    <row r="125" spans="1:4">
      <c r="A125" s="16" t="s">
        <v>78</v>
      </c>
      <c r="B125" s="16" t="s">
        <v>243</v>
      </c>
      <c r="C125" s="16" t="s">
        <v>244</v>
      </c>
      <c r="D125" s="18">
        <f t="shared" si="1"/>
        <v>0</v>
      </c>
    </row>
    <row r="126" spans="1:4">
      <c r="A126" s="16" t="s">
        <v>78</v>
      </c>
      <c r="B126" s="16" t="s">
        <v>245</v>
      </c>
      <c r="C126" s="16" t="s">
        <v>246</v>
      </c>
      <c r="D126" s="18">
        <f t="shared" si="1"/>
        <v>0</v>
      </c>
    </row>
    <row r="127" spans="1:4">
      <c r="A127" s="16" t="s">
        <v>78</v>
      </c>
      <c r="B127" s="16" t="s">
        <v>247</v>
      </c>
      <c r="C127" s="16" t="s">
        <v>248</v>
      </c>
      <c r="D127" s="18">
        <f t="shared" si="1"/>
        <v>0</v>
      </c>
    </row>
    <row r="128" spans="1:4">
      <c r="A128" s="16" t="s">
        <v>78</v>
      </c>
      <c r="B128" s="16" t="s">
        <v>249</v>
      </c>
      <c r="C128" s="16" t="s">
        <v>250</v>
      </c>
      <c r="D128" s="18">
        <f t="shared" si="1"/>
        <v>0</v>
      </c>
    </row>
    <row r="129" spans="1:7">
      <c r="A129" s="16" t="s">
        <v>78</v>
      </c>
      <c r="B129" s="16" t="s">
        <v>251</v>
      </c>
      <c r="C129" s="16" t="s">
        <v>252</v>
      </c>
      <c r="D129" s="18">
        <f t="shared" si="1"/>
        <v>0</v>
      </c>
    </row>
    <row r="130" spans="1:7">
      <c r="A130" s="16" t="s">
        <v>78</v>
      </c>
      <c r="B130" s="16" t="s">
        <v>253</v>
      </c>
      <c r="C130" s="16" t="s">
        <v>254</v>
      </c>
      <c r="D130" s="18">
        <f t="shared" si="1"/>
        <v>0</v>
      </c>
    </row>
    <row r="131" spans="1:7">
      <c r="A131" s="16" t="s">
        <v>255</v>
      </c>
      <c r="B131" s="16" t="s">
        <v>256</v>
      </c>
      <c r="C131" s="16" t="s">
        <v>257</v>
      </c>
      <c r="D131" s="18">
        <f t="shared" si="1"/>
        <v>0</v>
      </c>
    </row>
    <row r="132" spans="1:7">
      <c r="A132" s="16" t="s">
        <v>255</v>
      </c>
      <c r="B132" s="16" t="s">
        <v>258</v>
      </c>
      <c r="C132" s="16" t="s">
        <v>259</v>
      </c>
      <c r="D132" s="18">
        <f t="shared" si="1"/>
        <v>0</v>
      </c>
    </row>
    <row r="133" spans="1:7">
      <c r="A133" s="16" t="s">
        <v>255</v>
      </c>
      <c r="B133" s="16" t="s">
        <v>260</v>
      </c>
      <c r="C133" s="16" t="s">
        <v>261</v>
      </c>
      <c r="D133" s="18">
        <f t="shared" si="1"/>
        <v>0</v>
      </c>
    </row>
    <row r="134" spans="1:7">
      <c r="A134" s="16" t="s">
        <v>255</v>
      </c>
      <c r="B134" s="16" t="s">
        <v>262</v>
      </c>
      <c r="C134" s="16" t="s">
        <v>263</v>
      </c>
      <c r="D134" s="18">
        <f t="shared" si="1"/>
        <v>0</v>
      </c>
    </row>
    <row r="135" spans="1:7">
      <c r="A135" s="16" t="s">
        <v>255</v>
      </c>
      <c r="B135" s="16" t="s">
        <v>264</v>
      </c>
      <c r="C135" s="16" t="s">
        <v>265</v>
      </c>
      <c r="D135" s="18">
        <f t="shared" si="1"/>
        <v>0</v>
      </c>
    </row>
    <row r="136" spans="1:7">
      <c r="A136" s="16" t="s">
        <v>255</v>
      </c>
      <c r="B136" s="16" t="s">
        <v>266</v>
      </c>
      <c r="C136" s="16" t="s">
        <v>267</v>
      </c>
      <c r="D136" s="18">
        <f t="shared" si="1"/>
        <v>0</v>
      </c>
    </row>
    <row r="137" spans="1:7">
      <c r="A137" s="16" t="s">
        <v>255</v>
      </c>
      <c r="B137" s="16" t="s">
        <v>268</v>
      </c>
      <c r="C137" s="16" t="s">
        <v>886</v>
      </c>
      <c r="D137" s="18">
        <f t="shared" si="1"/>
        <v>0</v>
      </c>
    </row>
    <row r="138" spans="1:7">
      <c r="A138" s="16" t="s">
        <v>75</v>
      </c>
      <c r="B138" s="16" t="s">
        <v>269</v>
      </c>
      <c r="C138" s="16" t="s">
        <v>515</v>
      </c>
      <c r="D138" s="18">
        <f t="shared" si="1"/>
        <v>0</v>
      </c>
    </row>
    <row r="139" spans="1:7">
      <c r="A139" s="16" t="s">
        <v>75</v>
      </c>
      <c r="B139" s="16" t="s">
        <v>270</v>
      </c>
      <c r="C139" s="16" t="s">
        <v>271</v>
      </c>
      <c r="D139" s="18">
        <f t="shared" si="1"/>
        <v>0</v>
      </c>
    </row>
    <row r="140" spans="1:7">
      <c r="A140" s="16" t="s">
        <v>75</v>
      </c>
      <c r="B140" s="16" t="s">
        <v>272</v>
      </c>
      <c r="C140" s="16" t="s">
        <v>273</v>
      </c>
      <c r="D140" s="18">
        <f t="shared" si="1"/>
        <v>1</v>
      </c>
      <c r="G140" s="20">
        <v>1</v>
      </c>
    </row>
    <row r="141" spans="1:7">
      <c r="A141" s="16" t="s">
        <v>75</v>
      </c>
      <c r="B141" s="16" t="s">
        <v>274</v>
      </c>
      <c r="C141" s="16" t="s">
        <v>275</v>
      </c>
      <c r="D141" s="18">
        <f t="shared" si="1"/>
        <v>0</v>
      </c>
    </row>
    <row r="142" spans="1:7">
      <c r="A142" s="16" t="s">
        <v>75</v>
      </c>
      <c r="B142" s="16" t="s">
        <v>276</v>
      </c>
      <c r="C142" s="16" t="s">
        <v>277</v>
      </c>
      <c r="D142" s="18">
        <f t="shared" si="1"/>
        <v>0</v>
      </c>
    </row>
    <row r="143" spans="1:7">
      <c r="A143" s="16" t="s">
        <v>75</v>
      </c>
      <c r="B143" s="16" t="s">
        <v>278</v>
      </c>
      <c r="C143" s="16" t="s">
        <v>279</v>
      </c>
      <c r="D143" s="18">
        <f t="shared" si="1"/>
        <v>0</v>
      </c>
    </row>
    <row r="144" spans="1:7">
      <c r="A144" s="16" t="s">
        <v>280</v>
      </c>
      <c r="B144" s="16" t="s">
        <v>281</v>
      </c>
      <c r="C144" s="16" t="s">
        <v>282</v>
      </c>
      <c r="D144" s="18">
        <f t="shared" si="1"/>
        <v>0</v>
      </c>
    </row>
    <row r="145" spans="1:4">
      <c r="A145" s="16" t="s">
        <v>283</v>
      </c>
      <c r="B145" s="16" t="s">
        <v>284</v>
      </c>
      <c r="C145" s="16" t="s">
        <v>285</v>
      </c>
      <c r="D145" s="18">
        <f t="shared" si="1"/>
        <v>0</v>
      </c>
    </row>
    <row r="146" spans="1:4">
      <c r="A146" s="16" t="s">
        <v>283</v>
      </c>
      <c r="B146" s="16" t="s">
        <v>286</v>
      </c>
      <c r="C146" s="16" t="s">
        <v>287</v>
      </c>
      <c r="D146" s="18">
        <f t="shared" si="1"/>
        <v>0</v>
      </c>
    </row>
    <row r="147" spans="1:4">
      <c r="A147" s="16" t="s">
        <v>288</v>
      </c>
      <c r="B147" s="16" t="s">
        <v>289</v>
      </c>
      <c r="C147" s="16" t="s">
        <v>290</v>
      </c>
      <c r="D147" s="18">
        <f t="shared" si="1"/>
        <v>0</v>
      </c>
    </row>
    <row r="148" spans="1:4">
      <c r="A148" s="16" t="s">
        <v>291</v>
      </c>
      <c r="B148" s="16" t="s">
        <v>292</v>
      </c>
      <c r="C148" s="16" t="s">
        <v>293</v>
      </c>
      <c r="D148" s="18">
        <f t="shared" si="1"/>
        <v>0</v>
      </c>
    </row>
    <row r="149" spans="1:4">
      <c r="A149" s="16" t="s">
        <v>291</v>
      </c>
      <c r="B149" s="16" t="s">
        <v>294</v>
      </c>
      <c r="C149" s="16" t="s">
        <v>295</v>
      </c>
      <c r="D149" s="18">
        <f t="shared" si="1"/>
        <v>0</v>
      </c>
    </row>
    <row r="150" spans="1:4">
      <c r="A150" s="16" t="s">
        <v>296</v>
      </c>
      <c r="B150" s="16" t="s">
        <v>297</v>
      </c>
      <c r="C150" s="16" t="s">
        <v>298</v>
      </c>
      <c r="D150" s="18">
        <f t="shared" si="1"/>
        <v>0</v>
      </c>
    </row>
    <row r="151" spans="1:4">
      <c r="A151" s="16" t="s">
        <v>299</v>
      </c>
      <c r="B151" s="16" t="s">
        <v>300</v>
      </c>
      <c r="C151" s="16" t="s">
        <v>301</v>
      </c>
      <c r="D151" s="18">
        <f t="shared" si="1"/>
        <v>0</v>
      </c>
    </row>
    <row r="152" spans="1:4">
      <c r="A152" s="16" t="s">
        <v>63</v>
      </c>
      <c r="B152" s="16" t="s">
        <v>302</v>
      </c>
      <c r="C152" s="16" t="s">
        <v>303</v>
      </c>
      <c r="D152" s="18">
        <f t="shared" si="1"/>
        <v>0</v>
      </c>
    </row>
    <row r="153" spans="1:4">
      <c r="A153" s="16" t="s">
        <v>63</v>
      </c>
      <c r="B153" s="16" t="s">
        <v>304</v>
      </c>
      <c r="C153" s="16" t="s">
        <v>305</v>
      </c>
      <c r="D153" s="18">
        <f t="shared" si="1"/>
        <v>0</v>
      </c>
    </row>
    <row r="154" spans="1:4">
      <c r="A154" s="16" t="s">
        <v>75</v>
      </c>
      <c r="B154" s="16" t="s">
        <v>312</v>
      </c>
      <c r="C154" s="16" t="s">
        <v>277</v>
      </c>
      <c r="D154" s="18">
        <f t="shared" si="1"/>
        <v>0</v>
      </c>
    </row>
    <row r="155" spans="1:4">
      <c r="A155" s="16" t="s">
        <v>313</v>
      </c>
      <c r="B155" s="16" t="s">
        <v>314</v>
      </c>
      <c r="C155" s="16" t="s">
        <v>315</v>
      </c>
      <c r="D155" s="18">
        <f t="shared" si="1"/>
        <v>0</v>
      </c>
    </row>
    <row r="156" spans="1:4">
      <c r="A156" s="16" t="s">
        <v>316</v>
      </c>
      <c r="B156" s="16" t="s">
        <v>317</v>
      </c>
      <c r="C156" s="16" t="s">
        <v>318</v>
      </c>
      <c r="D156" s="18">
        <f t="shared" si="1"/>
        <v>0</v>
      </c>
    </row>
    <row r="157" spans="1:4">
      <c r="A157" s="16" t="s">
        <v>319</v>
      </c>
      <c r="B157" s="16" t="s">
        <v>320</v>
      </c>
      <c r="C157" s="16" t="s">
        <v>321</v>
      </c>
      <c r="D157" s="18">
        <f t="shared" ref="D157:D220" si="2">SUM(E157:Z157)</f>
        <v>0</v>
      </c>
    </row>
    <row r="158" spans="1:4">
      <c r="A158" s="16" t="s">
        <v>319</v>
      </c>
      <c r="B158" s="16" t="s">
        <v>322</v>
      </c>
      <c r="C158" s="16" t="s">
        <v>323</v>
      </c>
      <c r="D158" s="18">
        <f t="shared" si="2"/>
        <v>0</v>
      </c>
    </row>
    <row r="159" spans="1:4">
      <c r="A159" s="16" t="s">
        <v>319</v>
      </c>
      <c r="B159" s="16" t="s">
        <v>324</v>
      </c>
      <c r="C159" s="16" t="s">
        <v>325</v>
      </c>
      <c r="D159" s="18">
        <f t="shared" si="2"/>
        <v>0</v>
      </c>
    </row>
    <row r="160" spans="1:4">
      <c r="A160" s="16" t="s">
        <v>319</v>
      </c>
      <c r="B160" s="16" t="s">
        <v>326</v>
      </c>
      <c r="C160" s="16" t="s">
        <v>327</v>
      </c>
      <c r="D160" s="18">
        <f t="shared" si="2"/>
        <v>0</v>
      </c>
    </row>
    <row r="161" spans="1:8">
      <c r="A161" s="16" t="s">
        <v>328</v>
      </c>
      <c r="B161" s="16" t="s">
        <v>329</v>
      </c>
      <c r="C161" s="16" t="s">
        <v>330</v>
      </c>
      <c r="D161" s="18">
        <f t="shared" si="2"/>
        <v>0</v>
      </c>
    </row>
    <row r="162" spans="1:8">
      <c r="A162" s="16" t="s">
        <v>331</v>
      </c>
      <c r="B162" s="16" t="s">
        <v>332</v>
      </c>
      <c r="C162" s="16" t="s">
        <v>333</v>
      </c>
      <c r="D162" s="18">
        <f t="shared" si="2"/>
        <v>0</v>
      </c>
    </row>
    <row r="163" spans="1:8">
      <c r="A163" s="16" t="s">
        <v>124</v>
      </c>
      <c r="B163" s="16" t="s">
        <v>133</v>
      </c>
      <c r="C163" s="16" t="s">
        <v>134</v>
      </c>
      <c r="D163" s="18">
        <f t="shared" si="2"/>
        <v>0</v>
      </c>
    </row>
    <row r="164" spans="1:8">
      <c r="A164" s="16" t="s">
        <v>288</v>
      </c>
      <c r="B164" s="16" t="s">
        <v>289</v>
      </c>
      <c r="C164" s="16" t="s">
        <v>290</v>
      </c>
      <c r="D164" s="18">
        <f t="shared" si="2"/>
        <v>0</v>
      </c>
    </row>
    <row r="165" spans="1:8">
      <c r="A165" s="16" t="s">
        <v>124</v>
      </c>
      <c r="B165" s="16" t="s">
        <v>334</v>
      </c>
      <c r="C165" s="16" t="s">
        <v>335</v>
      </c>
      <c r="D165" s="18">
        <f t="shared" si="2"/>
        <v>0</v>
      </c>
    </row>
    <row r="166" spans="1:8">
      <c r="A166" s="16" t="s">
        <v>48</v>
      </c>
      <c r="B166" s="16" t="s">
        <v>336</v>
      </c>
      <c r="C166" s="16" t="s">
        <v>337</v>
      </c>
      <c r="D166" s="18">
        <f t="shared" si="2"/>
        <v>0</v>
      </c>
    </row>
    <row r="167" spans="1:8">
      <c r="A167" s="16" t="s">
        <v>124</v>
      </c>
      <c r="B167" s="16" t="s">
        <v>338</v>
      </c>
      <c r="C167" s="16" t="s">
        <v>339</v>
      </c>
      <c r="D167" s="18">
        <f t="shared" si="2"/>
        <v>0</v>
      </c>
    </row>
    <row r="168" spans="1:8">
      <c r="A168" s="16" t="s">
        <v>78</v>
      </c>
      <c r="B168" s="16" t="s">
        <v>340</v>
      </c>
      <c r="C168" s="16" t="s">
        <v>513</v>
      </c>
      <c r="D168" s="18">
        <f t="shared" si="2"/>
        <v>1</v>
      </c>
      <c r="H168" s="20">
        <v>1</v>
      </c>
    </row>
    <row r="169" spans="1:8">
      <c r="A169" s="16" t="s">
        <v>54</v>
      </c>
      <c r="B169" s="16" t="s">
        <v>341</v>
      </c>
      <c r="C169" s="16" t="s">
        <v>342</v>
      </c>
      <c r="D169" s="18">
        <f t="shared" si="2"/>
        <v>0</v>
      </c>
    </row>
    <row r="170" spans="1:8">
      <c r="A170" s="16" t="s">
        <v>78</v>
      </c>
      <c r="B170" s="16" t="s">
        <v>343</v>
      </c>
      <c r="C170" s="16" t="s">
        <v>344</v>
      </c>
      <c r="D170" s="18">
        <f t="shared" si="2"/>
        <v>0</v>
      </c>
    </row>
    <row r="171" spans="1:8">
      <c r="A171" s="16" t="s">
        <v>124</v>
      </c>
      <c r="B171" s="16" t="s">
        <v>345</v>
      </c>
      <c r="C171" s="16" t="s">
        <v>346</v>
      </c>
      <c r="D171" s="18">
        <f t="shared" si="2"/>
        <v>0</v>
      </c>
    </row>
    <row r="172" spans="1:8">
      <c r="A172" s="16" t="s">
        <v>108</v>
      </c>
      <c r="B172" s="16" t="s">
        <v>117</v>
      </c>
      <c r="C172" s="16" t="s">
        <v>118</v>
      </c>
      <c r="D172" s="18">
        <f t="shared" si="2"/>
        <v>0</v>
      </c>
    </row>
    <row r="173" spans="1:8">
      <c r="A173" s="16" t="s">
        <v>535</v>
      </c>
      <c r="B173" s="16" t="s">
        <v>536</v>
      </c>
      <c r="C173" s="16" t="s">
        <v>537</v>
      </c>
      <c r="D173" s="18">
        <f t="shared" si="2"/>
        <v>0</v>
      </c>
    </row>
    <row r="174" spans="1:8">
      <c r="A174" s="16" t="s">
        <v>121</v>
      </c>
      <c r="B174" s="16" t="s">
        <v>122</v>
      </c>
      <c r="C174" s="16" t="s">
        <v>123</v>
      </c>
      <c r="D174" s="18">
        <f t="shared" si="2"/>
        <v>0</v>
      </c>
    </row>
    <row r="175" spans="1:8">
      <c r="A175" s="16" t="s">
        <v>124</v>
      </c>
      <c r="B175" s="16" t="s">
        <v>125</v>
      </c>
      <c r="C175" s="16" t="s">
        <v>126</v>
      </c>
      <c r="D175" s="18">
        <f t="shared" si="2"/>
        <v>0</v>
      </c>
    </row>
    <row r="176" spans="1:8">
      <c r="A176" s="16" t="s">
        <v>145</v>
      </c>
      <c r="B176" s="16" t="s">
        <v>548</v>
      </c>
      <c r="C176" s="16" t="s">
        <v>549</v>
      </c>
      <c r="D176" s="18">
        <f t="shared" si="2"/>
        <v>0</v>
      </c>
    </row>
    <row r="177" spans="1:4">
      <c r="A177" s="16" t="s">
        <v>156</v>
      </c>
      <c r="B177" s="16" t="s">
        <v>159</v>
      </c>
      <c r="C177" s="16" t="s">
        <v>160</v>
      </c>
      <c r="D177" s="18">
        <f t="shared" si="2"/>
        <v>0</v>
      </c>
    </row>
    <row r="178" spans="1:4">
      <c r="A178" s="16" t="s">
        <v>156</v>
      </c>
      <c r="B178" s="16" t="s">
        <v>161</v>
      </c>
      <c r="C178" s="16" t="s">
        <v>162</v>
      </c>
      <c r="D178" s="18">
        <f t="shared" si="2"/>
        <v>0</v>
      </c>
    </row>
    <row r="179" spans="1:4">
      <c r="A179" s="16" t="s">
        <v>156</v>
      </c>
      <c r="B179" s="16" t="s">
        <v>163</v>
      </c>
      <c r="C179" s="16" t="s">
        <v>164</v>
      </c>
      <c r="D179" s="18">
        <f t="shared" si="2"/>
        <v>0</v>
      </c>
    </row>
    <row r="180" spans="1:4">
      <c r="A180" s="16" t="s">
        <v>156</v>
      </c>
      <c r="B180" s="16" t="s">
        <v>561</v>
      </c>
      <c r="C180" s="16" t="s">
        <v>562</v>
      </c>
      <c r="D180" s="18">
        <f t="shared" si="2"/>
        <v>0</v>
      </c>
    </row>
    <row r="181" spans="1:4">
      <c r="A181" s="16" t="s">
        <v>156</v>
      </c>
      <c r="B181" s="16" t="s">
        <v>565</v>
      </c>
      <c r="C181" s="16" t="s">
        <v>566</v>
      </c>
      <c r="D181" s="18">
        <f t="shared" si="2"/>
        <v>0</v>
      </c>
    </row>
    <row r="182" spans="1:4">
      <c r="A182" s="16" t="s">
        <v>569</v>
      </c>
      <c r="B182" s="16" t="s">
        <v>570</v>
      </c>
      <c r="C182" s="16" t="s">
        <v>571</v>
      </c>
      <c r="D182" s="18">
        <f t="shared" si="2"/>
        <v>0</v>
      </c>
    </row>
    <row r="183" spans="1:4">
      <c r="A183" s="16" t="s">
        <v>573</v>
      </c>
      <c r="B183" s="16" t="s">
        <v>574</v>
      </c>
      <c r="C183" s="16" t="s">
        <v>575</v>
      </c>
      <c r="D183" s="18">
        <f t="shared" si="2"/>
        <v>0</v>
      </c>
    </row>
    <row r="184" spans="1:4">
      <c r="A184" s="16" t="s">
        <v>169</v>
      </c>
      <c r="B184" s="16" t="s">
        <v>577</v>
      </c>
      <c r="C184" s="16" t="s">
        <v>578</v>
      </c>
      <c r="D184" s="18">
        <f t="shared" si="2"/>
        <v>0</v>
      </c>
    </row>
    <row r="185" spans="1:4">
      <c r="A185" s="16" t="s">
        <v>169</v>
      </c>
      <c r="B185" s="16" t="s">
        <v>582</v>
      </c>
      <c r="C185" s="16" t="s">
        <v>583</v>
      </c>
      <c r="D185" s="18">
        <f t="shared" si="2"/>
        <v>0</v>
      </c>
    </row>
    <row r="186" spans="1:4">
      <c r="A186" s="16" t="s">
        <v>169</v>
      </c>
      <c r="B186" s="16" t="s">
        <v>188</v>
      </c>
      <c r="C186" s="16" t="s">
        <v>189</v>
      </c>
      <c r="D186" s="18">
        <f t="shared" si="2"/>
        <v>0</v>
      </c>
    </row>
    <row r="187" spans="1:4">
      <c r="A187" s="16" t="s">
        <v>169</v>
      </c>
      <c r="B187" s="16" t="s">
        <v>586</v>
      </c>
      <c r="C187" s="16" t="s">
        <v>587</v>
      </c>
      <c r="D187" s="18">
        <f t="shared" si="2"/>
        <v>0</v>
      </c>
    </row>
    <row r="188" spans="1:4">
      <c r="A188" s="16" t="s">
        <v>169</v>
      </c>
      <c r="B188" s="16" t="s">
        <v>190</v>
      </c>
      <c r="C188" s="16" t="s">
        <v>191</v>
      </c>
      <c r="D188" s="18">
        <f t="shared" si="2"/>
        <v>0</v>
      </c>
    </row>
    <row r="189" spans="1:4">
      <c r="A189" s="16" t="s">
        <v>87</v>
      </c>
      <c r="B189" s="16" t="s">
        <v>591</v>
      </c>
      <c r="C189" s="16" t="s">
        <v>592</v>
      </c>
      <c r="D189" s="18">
        <f t="shared" si="2"/>
        <v>0</v>
      </c>
    </row>
    <row r="190" spans="1:4">
      <c r="A190" s="16" t="s">
        <v>87</v>
      </c>
      <c r="B190" s="16" t="s">
        <v>192</v>
      </c>
      <c r="C190" s="16" t="s">
        <v>193</v>
      </c>
      <c r="D190" s="18">
        <f t="shared" si="2"/>
        <v>0</v>
      </c>
    </row>
    <row r="191" spans="1:4">
      <c r="A191" s="16" t="s">
        <v>87</v>
      </c>
      <c r="B191" s="16" t="s">
        <v>194</v>
      </c>
      <c r="C191" s="16" t="s">
        <v>195</v>
      </c>
      <c r="D191" s="18">
        <f t="shared" si="2"/>
        <v>0</v>
      </c>
    </row>
    <row r="192" spans="1:4">
      <c r="A192" s="16" t="s">
        <v>87</v>
      </c>
      <c r="B192" s="16" t="s">
        <v>196</v>
      </c>
      <c r="C192" s="16" t="s">
        <v>197</v>
      </c>
      <c r="D192" s="18">
        <f t="shared" si="2"/>
        <v>0</v>
      </c>
    </row>
    <row r="193" spans="1:4">
      <c r="A193" s="16" t="s">
        <v>87</v>
      </c>
      <c r="B193" s="16" t="s">
        <v>600</v>
      </c>
      <c r="C193" s="16" t="s">
        <v>601</v>
      </c>
      <c r="D193" s="18">
        <f t="shared" si="2"/>
        <v>0</v>
      </c>
    </row>
    <row r="194" spans="1:4">
      <c r="A194" s="16" t="s">
        <v>78</v>
      </c>
      <c r="B194" s="16" t="s">
        <v>603</v>
      </c>
      <c r="C194" s="16" t="s">
        <v>604</v>
      </c>
      <c r="D194" s="18">
        <f t="shared" si="2"/>
        <v>0</v>
      </c>
    </row>
    <row r="195" spans="1:4">
      <c r="A195" s="16" t="s">
        <v>78</v>
      </c>
      <c r="B195" s="16" t="s">
        <v>606</v>
      </c>
      <c r="C195" s="16" t="s">
        <v>607</v>
      </c>
      <c r="D195" s="18">
        <f t="shared" si="2"/>
        <v>0</v>
      </c>
    </row>
    <row r="196" spans="1:4">
      <c r="A196" s="16" t="s">
        <v>78</v>
      </c>
      <c r="B196" s="16" t="s">
        <v>609</v>
      </c>
      <c r="C196" s="16" t="s">
        <v>610</v>
      </c>
      <c r="D196" s="18">
        <f t="shared" si="2"/>
        <v>0</v>
      </c>
    </row>
    <row r="197" spans="1:4">
      <c r="A197" s="16" t="s">
        <v>78</v>
      </c>
      <c r="B197" s="16" t="s">
        <v>614</v>
      </c>
      <c r="C197" s="16" t="s">
        <v>615</v>
      </c>
      <c r="D197" s="18">
        <f t="shared" si="2"/>
        <v>0</v>
      </c>
    </row>
    <row r="198" spans="1:4">
      <c r="A198" s="16" t="s">
        <v>78</v>
      </c>
      <c r="B198" s="16" t="s">
        <v>249</v>
      </c>
      <c r="C198" s="16" t="s">
        <v>250</v>
      </c>
      <c r="D198" s="18">
        <f t="shared" si="2"/>
        <v>0</v>
      </c>
    </row>
    <row r="199" spans="1:4">
      <c r="A199" s="16" t="s">
        <v>255</v>
      </c>
      <c r="B199" s="16" t="s">
        <v>256</v>
      </c>
      <c r="C199" s="16" t="s">
        <v>257</v>
      </c>
      <c r="D199" s="18">
        <f t="shared" si="2"/>
        <v>0</v>
      </c>
    </row>
    <row r="200" spans="1:4">
      <c r="A200" s="16" t="s">
        <v>255</v>
      </c>
      <c r="B200" s="16" t="s">
        <v>621</v>
      </c>
      <c r="C200" s="16" t="s">
        <v>622</v>
      </c>
      <c r="D200" s="18">
        <f t="shared" si="2"/>
        <v>0</v>
      </c>
    </row>
    <row r="201" spans="1:4">
      <c r="A201" s="16" t="s">
        <v>255</v>
      </c>
      <c r="B201" s="16" t="s">
        <v>260</v>
      </c>
      <c r="C201" s="16" t="s">
        <v>261</v>
      </c>
      <c r="D201" s="18">
        <f t="shared" si="2"/>
        <v>0</v>
      </c>
    </row>
    <row r="202" spans="1:4">
      <c r="A202" s="16" t="s">
        <v>255</v>
      </c>
      <c r="B202" s="16" t="s">
        <v>262</v>
      </c>
      <c r="C202" s="16" t="s">
        <v>263</v>
      </c>
      <c r="D202" s="18">
        <f t="shared" si="2"/>
        <v>0</v>
      </c>
    </row>
    <row r="203" spans="1:4">
      <c r="A203" s="16" t="s">
        <v>255</v>
      </c>
      <c r="B203" s="16" t="s">
        <v>628</v>
      </c>
      <c r="C203" s="16" t="s">
        <v>629</v>
      </c>
      <c r="D203" s="18">
        <f t="shared" si="2"/>
        <v>0</v>
      </c>
    </row>
    <row r="204" spans="1:4">
      <c r="A204" s="16" t="s">
        <v>255</v>
      </c>
      <c r="B204" s="16" t="s">
        <v>631</v>
      </c>
      <c r="C204" s="16" t="s">
        <v>632</v>
      </c>
      <c r="D204" s="18">
        <f t="shared" si="2"/>
        <v>0</v>
      </c>
    </row>
    <row r="205" spans="1:4">
      <c r="A205" s="16" t="s">
        <v>75</v>
      </c>
      <c r="B205" s="16" t="s">
        <v>76</v>
      </c>
      <c r="C205" s="16" t="s">
        <v>634</v>
      </c>
      <c r="D205" s="18">
        <f t="shared" si="2"/>
        <v>0</v>
      </c>
    </row>
    <row r="206" spans="1:4">
      <c r="A206" s="16" t="s">
        <v>75</v>
      </c>
      <c r="B206" s="16" t="s">
        <v>636</v>
      </c>
      <c r="C206" s="16" t="s">
        <v>662</v>
      </c>
      <c r="D206" s="18">
        <f t="shared" si="2"/>
        <v>0</v>
      </c>
    </row>
    <row r="207" spans="1:4">
      <c r="A207" s="16" t="s">
        <v>75</v>
      </c>
      <c r="B207" s="16" t="s">
        <v>639</v>
      </c>
      <c r="C207" s="16" t="s">
        <v>640</v>
      </c>
      <c r="D207" s="18">
        <f t="shared" si="2"/>
        <v>0</v>
      </c>
    </row>
    <row r="208" spans="1:4">
      <c r="A208" s="16" t="s">
        <v>296</v>
      </c>
      <c r="B208" s="16" t="s">
        <v>297</v>
      </c>
      <c r="C208" s="16" t="s">
        <v>298</v>
      </c>
      <c r="D208" s="18">
        <f t="shared" si="2"/>
        <v>0</v>
      </c>
    </row>
    <row r="209" spans="1:9">
      <c r="A209" s="16" t="s">
        <v>73</v>
      </c>
      <c r="B209" s="16" t="s">
        <v>74</v>
      </c>
      <c r="C209" s="28" t="s">
        <v>645</v>
      </c>
      <c r="D209" s="18">
        <f t="shared" si="2"/>
        <v>0</v>
      </c>
    </row>
    <row r="210" spans="1:9">
      <c r="A210" s="16" t="s">
        <v>649</v>
      </c>
      <c r="B210" s="16" t="s">
        <v>650</v>
      </c>
      <c r="C210" s="16" t="s">
        <v>651</v>
      </c>
      <c r="D210" s="18">
        <f t="shared" si="2"/>
        <v>0</v>
      </c>
    </row>
    <row r="211" spans="1:9">
      <c r="A211" s="16" t="s">
        <v>649</v>
      </c>
      <c r="B211" s="16" t="s">
        <v>653</v>
      </c>
      <c r="C211" s="16" t="s">
        <v>654</v>
      </c>
      <c r="D211" s="18">
        <f t="shared" si="2"/>
        <v>0</v>
      </c>
    </row>
    <row r="212" spans="1:9">
      <c r="A212" s="16" t="s">
        <v>63</v>
      </c>
      <c r="B212" s="16" t="s">
        <v>306</v>
      </c>
      <c r="C212" s="16" t="s">
        <v>997</v>
      </c>
      <c r="D212" s="18">
        <f t="shared" si="2"/>
        <v>0</v>
      </c>
    </row>
    <row r="213" spans="1:9">
      <c r="A213" s="16" t="s">
        <v>63</v>
      </c>
      <c r="B213" s="16" t="s">
        <v>64</v>
      </c>
      <c r="C213" s="16" t="s">
        <v>65</v>
      </c>
      <c r="D213" s="18">
        <f t="shared" si="2"/>
        <v>1</v>
      </c>
      <c r="I213" s="20">
        <v>1</v>
      </c>
    </row>
    <row r="214" spans="1:9">
      <c r="A214" s="16" t="s">
        <v>63</v>
      </c>
      <c r="B214" s="16" t="s">
        <v>66</v>
      </c>
      <c r="C214" s="16" t="s">
        <v>67</v>
      </c>
      <c r="D214" s="18">
        <f t="shared" si="2"/>
        <v>0</v>
      </c>
    </row>
    <row r="215" spans="1:9">
      <c r="A215" s="3" t="s">
        <v>108</v>
      </c>
      <c r="B215" s="3" t="s">
        <v>109</v>
      </c>
      <c r="C215" s="3" t="s">
        <v>110</v>
      </c>
      <c r="D215" s="18">
        <f t="shared" si="2"/>
        <v>0</v>
      </c>
    </row>
    <row r="216" spans="1:9">
      <c r="A216" s="3" t="s">
        <v>108</v>
      </c>
      <c r="B216" s="3" t="s">
        <v>111</v>
      </c>
      <c r="C216" s="3" t="s">
        <v>112</v>
      </c>
      <c r="D216" s="18">
        <f t="shared" si="2"/>
        <v>0</v>
      </c>
    </row>
    <row r="217" spans="1:9">
      <c r="A217" s="3" t="s">
        <v>108</v>
      </c>
      <c r="B217" s="3" t="s">
        <v>113</v>
      </c>
      <c r="C217" s="3" t="s">
        <v>114</v>
      </c>
      <c r="D217" s="18">
        <f t="shared" si="2"/>
        <v>0</v>
      </c>
    </row>
    <row r="218" spans="1:9">
      <c r="A218" s="3" t="s">
        <v>108</v>
      </c>
      <c r="B218" s="3" t="s">
        <v>115</v>
      </c>
      <c r="C218" s="3" t="s">
        <v>116</v>
      </c>
      <c r="D218" s="18">
        <f t="shared" si="2"/>
        <v>0</v>
      </c>
    </row>
    <row r="219" spans="1:9">
      <c r="A219" s="3" t="s">
        <v>108</v>
      </c>
      <c r="B219" s="3" t="s">
        <v>119</v>
      </c>
      <c r="C219" s="3" t="s">
        <v>120</v>
      </c>
      <c r="D219" s="18">
        <f t="shared" si="2"/>
        <v>0</v>
      </c>
    </row>
    <row r="220" spans="1:9">
      <c r="A220" s="3" t="s">
        <v>54</v>
      </c>
      <c r="B220" s="3" t="s">
        <v>99</v>
      </c>
      <c r="C220" s="3" t="s">
        <v>100</v>
      </c>
      <c r="D220" s="18">
        <f t="shared" si="2"/>
        <v>0</v>
      </c>
    </row>
    <row r="221" spans="1:9">
      <c r="A221" s="3" t="s">
        <v>48</v>
      </c>
      <c r="B221" s="3" t="s">
        <v>49</v>
      </c>
      <c r="C221" s="3" t="s">
        <v>494</v>
      </c>
      <c r="D221" s="18">
        <f t="shared" ref="D221:D271" si="3">SUM(E221:Z221)</f>
        <v>0</v>
      </c>
    </row>
    <row r="222" spans="1:9">
      <c r="A222" s="3" t="s">
        <v>124</v>
      </c>
      <c r="B222" s="3" t="s">
        <v>135</v>
      </c>
      <c r="C222" s="3" t="s">
        <v>136</v>
      </c>
      <c r="D222" s="18">
        <f t="shared" si="3"/>
        <v>0</v>
      </c>
    </row>
    <row r="223" spans="1:9">
      <c r="A223" s="3" t="s">
        <v>124</v>
      </c>
      <c r="B223" s="3" t="s">
        <v>137</v>
      </c>
      <c r="C223" s="3" t="s">
        <v>138</v>
      </c>
      <c r="D223" s="18">
        <f t="shared" si="3"/>
        <v>0</v>
      </c>
    </row>
    <row r="224" spans="1:9">
      <c r="A224" s="3" t="s">
        <v>139</v>
      </c>
      <c r="B224" s="3" t="s">
        <v>140</v>
      </c>
      <c r="C224" s="3" t="s">
        <v>141</v>
      </c>
      <c r="D224" s="18">
        <f t="shared" si="3"/>
        <v>0</v>
      </c>
    </row>
    <row r="225" spans="1:4">
      <c r="A225" s="3" t="s">
        <v>142</v>
      </c>
      <c r="B225" s="3" t="s">
        <v>143</v>
      </c>
      <c r="C225" s="3" t="s">
        <v>144</v>
      </c>
      <c r="D225" s="18">
        <f t="shared" si="3"/>
        <v>0</v>
      </c>
    </row>
    <row r="226" spans="1:4">
      <c r="A226" s="3" t="s">
        <v>145</v>
      </c>
      <c r="B226" s="3" t="s">
        <v>154</v>
      </c>
      <c r="C226" s="3" t="s">
        <v>155</v>
      </c>
      <c r="D226" s="18">
        <f t="shared" si="3"/>
        <v>0</v>
      </c>
    </row>
    <row r="227" spans="1:4">
      <c r="A227" s="3" t="s">
        <v>156</v>
      </c>
      <c r="B227" s="3" t="s">
        <v>157</v>
      </c>
      <c r="C227" s="3" t="s">
        <v>158</v>
      </c>
      <c r="D227" s="18">
        <f t="shared" si="3"/>
        <v>0</v>
      </c>
    </row>
    <row r="228" spans="1:4">
      <c r="A228" s="3" t="s">
        <v>926</v>
      </c>
      <c r="B228" s="3" t="s">
        <v>927</v>
      </c>
      <c r="C228" s="3" t="s">
        <v>928</v>
      </c>
      <c r="D228" s="18">
        <f t="shared" si="3"/>
        <v>0</v>
      </c>
    </row>
    <row r="229" spans="1:4">
      <c r="A229" s="3" t="s">
        <v>926</v>
      </c>
      <c r="B229" s="3" t="s">
        <v>930</v>
      </c>
      <c r="C229" s="3" t="s">
        <v>931</v>
      </c>
      <c r="D229" s="18">
        <f t="shared" si="3"/>
        <v>0</v>
      </c>
    </row>
    <row r="230" spans="1:4">
      <c r="A230" s="3" t="s">
        <v>573</v>
      </c>
      <c r="B230" s="3" t="s">
        <v>933</v>
      </c>
      <c r="C230" s="3" t="s">
        <v>934</v>
      </c>
      <c r="D230" s="18">
        <f t="shared" si="3"/>
        <v>0</v>
      </c>
    </row>
    <row r="231" spans="1:4">
      <c r="A231" s="3" t="s">
        <v>573</v>
      </c>
      <c r="B231" s="3" t="s">
        <v>936</v>
      </c>
      <c r="C231" s="3" t="s">
        <v>937</v>
      </c>
      <c r="D231" s="18">
        <f t="shared" si="3"/>
        <v>0</v>
      </c>
    </row>
    <row r="232" spans="1:4">
      <c r="A232" s="3" t="s">
        <v>169</v>
      </c>
      <c r="B232" s="3" t="s">
        <v>170</v>
      </c>
      <c r="C232" s="3" t="s">
        <v>171</v>
      </c>
      <c r="D232" s="18">
        <f t="shared" si="3"/>
        <v>0</v>
      </c>
    </row>
    <row r="233" spans="1:4">
      <c r="A233" s="3" t="s">
        <v>169</v>
      </c>
      <c r="B233" s="3" t="s">
        <v>172</v>
      </c>
      <c r="C233" s="3" t="s">
        <v>173</v>
      </c>
      <c r="D233" s="18">
        <f t="shared" si="3"/>
        <v>0</v>
      </c>
    </row>
    <row r="234" spans="1:4">
      <c r="A234" s="3" t="s">
        <v>169</v>
      </c>
      <c r="B234" s="3" t="s">
        <v>176</v>
      </c>
      <c r="C234" s="3" t="s">
        <v>177</v>
      </c>
      <c r="D234" s="18">
        <f t="shared" si="3"/>
        <v>0</v>
      </c>
    </row>
    <row r="235" spans="1:4">
      <c r="A235" s="3" t="s">
        <v>169</v>
      </c>
      <c r="B235" s="3" t="s">
        <v>178</v>
      </c>
      <c r="C235" s="3" t="s">
        <v>179</v>
      </c>
      <c r="D235" s="18">
        <f t="shared" si="3"/>
        <v>0</v>
      </c>
    </row>
    <row r="236" spans="1:4">
      <c r="A236" s="3" t="s">
        <v>169</v>
      </c>
      <c r="B236" s="3" t="s">
        <v>946</v>
      </c>
      <c r="C236" s="3" t="s">
        <v>947</v>
      </c>
      <c r="D236" s="18">
        <f t="shared" si="3"/>
        <v>0</v>
      </c>
    </row>
    <row r="237" spans="1:4">
      <c r="A237" s="3" t="s">
        <v>169</v>
      </c>
      <c r="B237" s="3" t="s">
        <v>184</v>
      </c>
      <c r="C237" s="3" t="s">
        <v>185</v>
      </c>
      <c r="D237" s="18">
        <f t="shared" si="3"/>
        <v>0</v>
      </c>
    </row>
    <row r="238" spans="1:4">
      <c r="A238" s="3" t="s">
        <v>169</v>
      </c>
      <c r="B238" s="3" t="s">
        <v>186</v>
      </c>
      <c r="C238" s="3" t="s">
        <v>187</v>
      </c>
      <c r="D238" s="18">
        <f t="shared" si="3"/>
        <v>0</v>
      </c>
    </row>
    <row r="239" spans="1:4">
      <c r="A239" s="3" t="s">
        <v>87</v>
      </c>
      <c r="B239" s="3" t="s">
        <v>220</v>
      </c>
      <c r="C239" s="3" t="s">
        <v>221</v>
      </c>
      <c r="D239" s="18">
        <f t="shared" si="3"/>
        <v>0</v>
      </c>
    </row>
    <row r="240" spans="1:4">
      <c r="A240" s="3" t="s">
        <v>87</v>
      </c>
      <c r="B240" s="3" t="s">
        <v>222</v>
      </c>
      <c r="C240" s="3" t="s">
        <v>223</v>
      </c>
      <c r="D240" s="18">
        <f t="shared" si="3"/>
        <v>0</v>
      </c>
    </row>
    <row r="241" spans="1:7">
      <c r="A241" s="3" t="s">
        <v>78</v>
      </c>
      <c r="B241" s="3" t="s">
        <v>253</v>
      </c>
      <c r="C241" s="3" t="s">
        <v>254</v>
      </c>
      <c r="D241" s="18">
        <f t="shared" si="3"/>
        <v>0</v>
      </c>
    </row>
    <row r="242" spans="1:7">
      <c r="A242" s="3" t="s">
        <v>75</v>
      </c>
      <c r="B242" s="3" t="s">
        <v>272</v>
      </c>
      <c r="C242" s="3" t="s">
        <v>273</v>
      </c>
      <c r="D242" s="18">
        <f t="shared" si="3"/>
        <v>0</v>
      </c>
    </row>
    <row r="243" spans="1:7">
      <c r="A243" s="3" t="s">
        <v>75</v>
      </c>
      <c r="B243" s="3" t="s">
        <v>274</v>
      </c>
      <c r="C243" s="3" t="s">
        <v>275</v>
      </c>
      <c r="D243" s="18">
        <f t="shared" si="3"/>
        <v>0</v>
      </c>
    </row>
    <row r="244" spans="1:7">
      <c r="A244" s="3" t="s">
        <v>75</v>
      </c>
      <c r="B244" s="3" t="s">
        <v>276</v>
      </c>
      <c r="C244" s="3" t="s">
        <v>277</v>
      </c>
      <c r="D244" s="18">
        <f t="shared" si="3"/>
        <v>0</v>
      </c>
    </row>
    <row r="245" spans="1:7">
      <c r="A245" s="3" t="s">
        <v>75</v>
      </c>
      <c r="B245" s="3" t="s">
        <v>278</v>
      </c>
      <c r="C245" s="3" t="s">
        <v>279</v>
      </c>
      <c r="D245" s="18">
        <f t="shared" si="3"/>
        <v>0</v>
      </c>
    </row>
    <row r="246" spans="1:7">
      <c r="A246" s="3" t="s">
        <v>957</v>
      </c>
      <c r="B246" s="3" t="s">
        <v>958</v>
      </c>
      <c r="C246" s="3" t="s">
        <v>959</v>
      </c>
      <c r="D246" s="18">
        <f t="shared" si="3"/>
        <v>0</v>
      </c>
    </row>
    <row r="247" spans="1:7">
      <c r="A247" s="3" t="s">
        <v>957</v>
      </c>
      <c r="B247" s="3" t="s">
        <v>963</v>
      </c>
      <c r="C247" s="3" t="s">
        <v>964</v>
      </c>
      <c r="D247" s="18">
        <f t="shared" si="3"/>
        <v>0</v>
      </c>
    </row>
    <row r="248" spans="1:7">
      <c r="A248" s="3" t="s">
        <v>957</v>
      </c>
      <c r="B248" s="3" t="s">
        <v>967</v>
      </c>
      <c r="C248" s="3" t="s">
        <v>968</v>
      </c>
      <c r="D248" s="18">
        <f t="shared" si="3"/>
        <v>0</v>
      </c>
    </row>
    <row r="249" spans="1:7">
      <c r="A249" s="3" t="s">
        <v>957</v>
      </c>
      <c r="B249" s="3" t="s">
        <v>971</v>
      </c>
      <c r="C249" s="3" t="s">
        <v>972</v>
      </c>
      <c r="D249" s="18">
        <f t="shared" si="3"/>
        <v>0</v>
      </c>
    </row>
    <row r="250" spans="1:7">
      <c r="A250" s="3" t="s">
        <v>283</v>
      </c>
      <c r="B250" s="3" t="s">
        <v>284</v>
      </c>
      <c r="C250" s="3" t="s">
        <v>285</v>
      </c>
      <c r="D250" s="18">
        <f t="shared" si="3"/>
        <v>0</v>
      </c>
    </row>
    <row r="251" spans="1:7">
      <c r="A251" s="3" t="s">
        <v>283</v>
      </c>
      <c r="B251" s="3" t="s">
        <v>286</v>
      </c>
      <c r="C251" s="3" t="s">
        <v>287</v>
      </c>
      <c r="D251" s="18">
        <f t="shared" si="3"/>
        <v>0</v>
      </c>
    </row>
    <row r="252" spans="1:7">
      <c r="A252" s="3" t="s">
        <v>291</v>
      </c>
      <c r="B252" s="3" t="s">
        <v>292</v>
      </c>
      <c r="C252" s="3" t="s">
        <v>293</v>
      </c>
      <c r="D252" s="18">
        <f t="shared" si="3"/>
        <v>0</v>
      </c>
    </row>
    <row r="253" spans="1:7">
      <c r="A253" s="3" t="s">
        <v>291</v>
      </c>
      <c r="B253" s="3" t="s">
        <v>294</v>
      </c>
      <c r="C253" s="3" t="s">
        <v>295</v>
      </c>
      <c r="D253" s="18">
        <f t="shared" si="3"/>
        <v>0</v>
      </c>
    </row>
    <row r="254" spans="1:7">
      <c r="A254" s="3" t="s">
        <v>68</v>
      </c>
      <c r="B254" s="3" t="s">
        <v>71</v>
      </c>
      <c r="C254" s="3" t="s">
        <v>980</v>
      </c>
      <c r="D254" s="18">
        <f t="shared" si="3"/>
        <v>0</v>
      </c>
    </row>
    <row r="255" spans="1:7">
      <c r="A255" s="3" t="s">
        <v>986</v>
      </c>
      <c r="B255" s="3" t="s">
        <v>987</v>
      </c>
      <c r="C255" s="3" t="s">
        <v>992</v>
      </c>
      <c r="D255" s="18">
        <f t="shared" si="3"/>
        <v>1</v>
      </c>
      <c r="G255" s="20">
        <v>1</v>
      </c>
    </row>
    <row r="256" spans="1:7">
      <c r="A256" s="3" t="s">
        <v>313</v>
      </c>
      <c r="B256" s="3" t="s">
        <v>314</v>
      </c>
      <c r="C256" s="3" t="s">
        <v>315</v>
      </c>
      <c r="D256" s="18">
        <f t="shared" si="3"/>
        <v>0</v>
      </c>
    </row>
    <row r="257" spans="1:4">
      <c r="A257" s="3" t="s">
        <v>316</v>
      </c>
      <c r="B257" s="3" t="s">
        <v>317</v>
      </c>
      <c r="C257" s="3" t="s">
        <v>318</v>
      </c>
      <c r="D257" s="18">
        <f t="shared" si="3"/>
        <v>0</v>
      </c>
    </row>
    <row r="258" spans="1:4">
      <c r="D258" s="18">
        <f t="shared" si="3"/>
        <v>0</v>
      </c>
    </row>
    <row r="259" spans="1:4">
      <c r="D259" s="18">
        <f t="shared" si="3"/>
        <v>0</v>
      </c>
    </row>
    <row r="260" spans="1:4">
      <c r="D260" s="18">
        <f t="shared" si="3"/>
        <v>0</v>
      </c>
    </row>
    <row r="261" spans="1:4">
      <c r="D261" s="18">
        <f t="shared" si="3"/>
        <v>0</v>
      </c>
    </row>
    <row r="262" spans="1:4">
      <c r="D262" s="18">
        <f t="shared" si="3"/>
        <v>0</v>
      </c>
    </row>
    <row r="263" spans="1:4">
      <c r="D263" s="18">
        <f t="shared" si="3"/>
        <v>0</v>
      </c>
    </row>
    <row r="264" spans="1:4">
      <c r="D264" s="18">
        <f t="shared" si="3"/>
        <v>0</v>
      </c>
    </row>
    <row r="265" spans="1:4">
      <c r="D265" s="18">
        <f t="shared" si="3"/>
        <v>0</v>
      </c>
    </row>
    <row r="266" spans="1:4">
      <c r="D266" s="18">
        <f t="shared" si="3"/>
        <v>0</v>
      </c>
    </row>
    <row r="267" spans="1:4">
      <c r="D267" s="18">
        <f t="shared" si="3"/>
        <v>0</v>
      </c>
    </row>
    <row r="268" spans="1:4">
      <c r="D268" s="18">
        <f t="shared" si="3"/>
        <v>0</v>
      </c>
    </row>
    <row r="269" spans="1:4">
      <c r="D269" s="18">
        <f t="shared" si="3"/>
        <v>0</v>
      </c>
    </row>
    <row r="270" spans="1:4">
      <c r="D270" s="18">
        <f t="shared" si="3"/>
        <v>0</v>
      </c>
    </row>
    <row r="271" spans="1:4">
      <c r="D271" s="18">
        <f t="shared" si="3"/>
        <v>0</v>
      </c>
    </row>
  </sheetData>
  <autoFilter ref="A1:Z271"/>
  <hyperlinks>
    <hyperlink ref="B2" r:id="rId1"/>
  </hyperlinks>
  <pageMargins left="0.25" right="0.25" top="0.75" bottom="0.75" header="0.3" footer="0.3"/>
  <pageSetup paperSize="9" scale="11" orientation="landscape" horizontalDpi="1200" verticalDpi="1200" r:id="rId2"/>
  <drawing r:id="rId3"/>
  <legacyDrawing r:id="rId4"/>
  <controls>
    <mc:AlternateContent xmlns:mc="http://schemas.openxmlformats.org/markup-compatibility/2006">
      <mc:Choice Requires="x14">
        <control shapeId="2060" r:id="rId5" name="CommandButton1">
          <controlPr autoLine="0" r:id="rId6">
            <anchor moveWithCells="1">
              <from>
                <xdr:col>2</xdr:col>
                <xdr:colOff>2943225</xdr:colOff>
                <xdr:row>0</xdr:row>
                <xdr:rowOff>85725</xdr:rowOff>
              </from>
              <to>
                <xdr:col>3</xdr:col>
                <xdr:colOff>333375</xdr:colOff>
                <xdr:row>0</xdr:row>
                <xdr:rowOff>390525</xdr:rowOff>
              </to>
            </anchor>
          </controlPr>
        </control>
      </mc:Choice>
      <mc:Fallback>
        <control shapeId="2060" r:id="rId5" name="CommandButton1"/>
      </mc:Fallback>
    </mc:AlternateContent>
    <mc:AlternateContent xmlns:mc="http://schemas.openxmlformats.org/markup-compatibility/2006">
      <mc:Choice Requires="x14">
        <control shapeId="2061" r:id="rId7" name="CommandButton2">
          <controlPr disabled="1" autoLine="0" r:id="rId8">
            <anchor moveWithCells="1">
              <from>
                <xdr:col>2</xdr:col>
                <xdr:colOff>1876425</xdr:colOff>
                <xdr:row>0</xdr:row>
                <xdr:rowOff>85725</xdr:rowOff>
              </from>
              <to>
                <xdr:col>2</xdr:col>
                <xdr:colOff>2790825</xdr:colOff>
                <xdr:row>0</xdr:row>
                <xdr:rowOff>390525</xdr:rowOff>
              </to>
            </anchor>
          </controlPr>
        </control>
      </mc:Choice>
      <mc:Fallback>
        <control shapeId="2061" r:id="rId7" name="CommandButton2"/>
      </mc:Fallback>
    </mc:AlternateContent>
    <mc:AlternateContent xmlns:mc="http://schemas.openxmlformats.org/markup-compatibility/2006">
      <mc:Choice Requires="x14">
        <control shapeId="2062" r:id="rId9" name="CommandButton3">
          <controlPr autoLine="0" r:id="rId10">
            <anchor moveWithCells="1">
              <from>
                <xdr:col>3</xdr:col>
                <xdr:colOff>2667000</xdr:colOff>
                <xdr:row>0</xdr:row>
                <xdr:rowOff>85725</xdr:rowOff>
              </from>
              <to>
                <xdr:col>4</xdr:col>
                <xdr:colOff>561975</xdr:colOff>
                <xdr:row>0</xdr:row>
                <xdr:rowOff>390525</xdr:rowOff>
              </to>
            </anchor>
          </controlPr>
        </control>
      </mc:Choice>
      <mc:Fallback>
        <control shapeId="2062" r:id="rId9" name="CommandButton3"/>
      </mc:Fallback>
    </mc:AlternateContent>
    <mc:AlternateContent xmlns:mc="http://schemas.openxmlformats.org/markup-compatibility/2006">
      <mc:Choice Requires="x14">
        <control shapeId="2063" r:id="rId11" name="CommandButton4">
          <controlPr autoLine="0" r:id="rId12">
            <anchor moveWithCells="1">
              <from>
                <xdr:col>3</xdr:col>
                <xdr:colOff>428625</xdr:colOff>
                <xdr:row>0</xdr:row>
                <xdr:rowOff>85725</xdr:rowOff>
              </from>
              <to>
                <xdr:col>3</xdr:col>
                <xdr:colOff>2562225</xdr:colOff>
                <xdr:row>0</xdr:row>
                <xdr:rowOff>390525</xdr:rowOff>
              </to>
            </anchor>
          </controlPr>
        </control>
      </mc:Choice>
      <mc:Fallback>
        <control shapeId="2063" r:id="rId11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L48"/>
  <sheetViews>
    <sheetView topLeftCell="A15" workbookViewId="0">
      <selection activeCell="D2" sqref="D2:F48"/>
    </sheetView>
  </sheetViews>
  <sheetFormatPr defaultRowHeight="15"/>
  <sheetData>
    <row r="1" spans="1:12">
      <c r="A1" t="s">
        <v>516</v>
      </c>
      <c r="B1" t="s">
        <v>517</v>
      </c>
      <c r="C1" t="s">
        <v>518</v>
      </c>
      <c r="D1" t="s">
        <v>519</v>
      </c>
      <c r="E1" t="s">
        <v>520</v>
      </c>
      <c r="F1" t="s">
        <v>521</v>
      </c>
      <c r="G1" t="s">
        <v>522</v>
      </c>
      <c r="H1" t="s">
        <v>523</v>
      </c>
      <c r="I1" t="s">
        <v>524</v>
      </c>
      <c r="J1" t="s">
        <v>525</v>
      </c>
      <c r="K1" t="s">
        <v>526</v>
      </c>
    </row>
    <row r="2" spans="1:12">
      <c r="B2" t="s">
        <v>904</v>
      </c>
      <c r="C2" t="s">
        <v>528</v>
      </c>
      <c r="D2" t="s">
        <v>108</v>
      </c>
      <c r="E2" t="s">
        <v>109</v>
      </c>
      <c r="F2" t="s">
        <v>110</v>
      </c>
      <c r="G2" t="str">
        <f>"0000000134804"</f>
        <v>0000000134804</v>
      </c>
      <c r="H2" t="s">
        <v>530</v>
      </c>
      <c r="I2" t="s">
        <v>531</v>
      </c>
      <c r="J2" t="s">
        <v>905</v>
      </c>
      <c r="K2" t="s">
        <v>533</v>
      </c>
      <c r="L2" t="s">
        <v>905</v>
      </c>
    </row>
    <row r="3" spans="1:12">
      <c r="B3" t="s">
        <v>904</v>
      </c>
      <c r="C3" t="s">
        <v>528</v>
      </c>
      <c r="D3" t="s">
        <v>108</v>
      </c>
      <c r="E3" t="s">
        <v>111</v>
      </c>
      <c r="F3" t="s">
        <v>112</v>
      </c>
      <c r="G3" t="s">
        <v>906</v>
      </c>
      <c r="H3" t="s">
        <v>530</v>
      </c>
      <c r="I3" t="s">
        <v>531</v>
      </c>
      <c r="J3" t="s">
        <v>907</v>
      </c>
      <c r="K3" t="s">
        <v>533</v>
      </c>
      <c r="L3" t="s">
        <v>907</v>
      </c>
    </row>
    <row r="4" spans="1:12">
      <c r="B4" t="s">
        <v>555</v>
      </c>
      <c r="C4" t="s">
        <v>528</v>
      </c>
      <c r="D4" t="s">
        <v>108</v>
      </c>
      <c r="E4" t="s">
        <v>113</v>
      </c>
      <c r="F4" t="s">
        <v>114</v>
      </c>
      <c r="G4" t="s">
        <v>908</v>
      </c>
      <c r="H4" t="s">
        <v>530</v>
      </c>
      <c r="I4" t="s">
        <v>531</v>
      </c>
      <c r="J4" t="s">
        <v>557</v>
      </c>
      <c r="K4" t="s">
        <v>533</v>
      </c>
      <c r="L4" t="s">
        <v>557</v>
      </c>
    </row>
    <row r="5" spans="1:12">
      <c r="B5" t="s">
        <v>534</v>
      </c>
      <c r="C5" t="s">
        <v>528</v>
      </c>
      <c r="D5" t="s">
        <v>108</v>
      </c>
      <c r="E5" t="s">
        <v>115</v>
      </c>
      <c r="F5" t="s">
        <v>116</v>
      </c>
      <c r="G5" t="s">
        <v>909</v>
      </c>
      <c r="H5" t="s">
        <v>530</v>
      </c>
      <c r="I5" t="s">
        <v>531</v>
      </c>
      <c r="J5" t="s">
        <v>910</v>
      </c>
      <c r="K5" t="s">
        <v>533</v>
      </c>
      <c r="L5" t="s">
        <v>910</v>
      </c>
    </row>
    <row r="6" spans="1:12">
      <c r="B6" t="s">
        <v>911</v>
      </c>
      <c r="C6" t="s">
        <v>528</v>
      </c>
      <c r="D6" t="s">
        <v>108</v>
      </c>
      <c r="E6" t="s">
        <v>119</v>
      </c>
      <c r="F6" t="s">
        <v>120</v>
      </c>
      <c r="G6" t="s">
        <v>912</v>
      </c>
      <c r="H6" t="s">
        <v>530</v>
      </c>
      <c r="I6" t="s">
        <v>531</v>
      </c>
      <c r="J6" t="s">
        <v>913</v>
      </c>
      <c r="K6" t="s">
        <v>533</v>
      </c>
      <c r="L6" t="s">
        <v>913</v>
      </c>
    </row>
    <row r="7" spans="1:12">
      <c r="B7" t="s">
        <v>904</v>
      </c>
      <c r="C7" t="s">
        <v>528</v>
      </c>
      <c r="D7" t="s">
        <v>54</v>
      </c>
      <c r="E7" t="s">
        <v>99</v>
      </c>
      <c r="F7" t="s">
        <v>100</v>
      </c>
      <c r="G7" t="str">
        <f>"0000000336031"</f>
        <v>0000000336031</v>
      </c>
      <c r="H7" t="s">
        <v>539</v>
      </c>
      <c r="I7" t="s">
        <v>328</v>
      </c>
      <c r="J7" t="s">
        <v>914</v>
      </c>
      <c r="K7" t="s">
        <v>533</v>
      </c>
      <c r="L7" t="s">
        <v>914</v>
      </c>
    </row>
    <row r="8" spans="1:12">
      <c r="B8" t="s">
        <v>534</v>
      </c>
      <c r="C8" t="s">
        <v>528</v>
      </c>
      <c r="D8" t="s">
        <v>48</v>
      </c>
      <c r="E8" t="s">
        <v>49</v>
      </c>
      <c r="F8" t="s">
        <v>494</v>
      </c>
      <c r="G8" t="str">
        <f>"0000000070379"</f>
        <v>0000000070379</v>
      </c>
      <c r="H8" t="s">
        <v>539</v>
      </c>
      <c r="I8" t="s">
        <v>48</v>
      </c>
      <c r="J8" t="s">
        <v>915</v>
      </c>
      <c r="K8" t="s">
        <v>533</v>
      </c>
      <c r="L8" t="s">
        <v>915</v>
      </c>
    </row>
    <row r="9" spans="1:12">
      <c r="B9" t="s">
        <v>534</v>
      </c>
      <c r="C9" t="s">
        <v>528</v>
      </c>
      <c r="D9" t="s">
        <v>124</v>
      </c>
      <c r="E9" t="s">
        <v>135</v>
      </c>
      <c r="F9" t="s">
        <v>136</v>
      </c>
      <c r="G9" t="s">
        <v>916</v>
      </c>
      <c r="H9" t="s">
        <v>545</v>
      </c>
      <c r="I9" t="s">
        <v>917</v>
      </c>
      <c r="J9" t="s">
        <v>918</v>
      </c>
      <c r="K9" t="s">
        <v>533</v>
      </c>
      <c r="L9" t="s">
        <v>918</v>
      </c>
    </row>
    <row r="10" spans="1:12">
      <c r="B10" t="s">
        <v>534</v>
      </c>
      <c r="C10" t="s">
        <v>528</v>
      </c>
      <c r="D10" t="s">
        <v>124</v>
      </c>
      <c r="E10" t="s">
        <v>137</v>
      </c>
      <c r="F10" t="s">
        <v>138</v>
      </c>
      <c r="G10" t="s">
        <v>919</v>
      </c>
      <c r="H10" t="s">
        <v>545</v>
      </c>
      <c r="I10" t="s">
        <v>920</v>
      </c>
      <c r="J10" t="s">
        <v>921</v>
      </c>
      <c r="K10" t="s">
        <v>533</v>
      </c>
      <c r="L10" t="s">
        <v>921</v>
      </c>
    </row>
    <row r="11" spans="1:12">
      <c r="B11" t="s">
        <v>922</v>
      </c>
      <c r="C11" t="s">
        <v>923</v>
      </c>
      <c r="D11" t="s">
        <v>139</v>
      </c>
      <c r="E11" t="s">
        <v>140</v>
      </c>
      <c r="F11" t="s">
        <v>141</v>
      </c>
      <c r="G11" t="s">
        <v>924</v>
      </c>
      <c r="H11" t="s">
        <v>530</v>
      </c>
      <c r="I11" t="s">
        <v>139</v>
      </c>
      <c r="J11" t="s">
        <v>580</v>
      </c>
      <c r="K11" t="s">
        <v>533</v>
      </c>
      <c r="L11" t="s">
        <v>580</v>
      </c>
    </row>
    <row r="12" spans="1:12">
      <c r="B12" t="s">
        <v>534</v>
      </c>
      <c r="C12" t="s">
        <v>528</v>
      </c>
      <c r="D12" t="s">
        <v>142</v>
      </c>
      <c r="E12" t="s">
        <v>143</v>
      </c>
      <c r="F12" t="s">
        <v>144</v>
      </c>
      <c r="G12" t="str">
        <f>"0000000134590"</f>
        <v>0000000134590</v>
      </c>
      <c r="H12" t="s">
        <v>542</v>
      </c>
      <c r="I12" t="s">
        <v>543</v>
      </c>
      <c r="J12" t="s">
        <v>925</v>
      </c>
      <c r="K12" t="s">
        <v>533</v>
      </c>
      <c r="L12" t="s">
        <v>925</v>
      </c>
    </row>
    <row r="13" spans="1:12">
      <c r="B13" t="s">
        <v>534</v>
      </c>
      <c r="C13" t="s">
        <v>528</v>
      </c>
      <c r="D13" t="s">
        <v>145</v>
      </c>
      <c r="E13" t="s">
        <v>154</v>
      </c>
      <c r="F13" t="s">
        <v>155</v>
      </c>
      <c r="G13" t="str">
        <f>"0000000143561"</f>
        <v>0000000143561</v>
      </c>
      <c r="H13" t="s">
        <v>542</v>
      </c>
      <c r="I13" t="s">
        <v>543</v>
      </c>
      <c r="J13" t="s">
        <v>735</v>
      </c>
      <c r="K13" t="s">
        <v>533</v>
      </c>
      <c r="L13" t="s">
        <v>735</v>
      </c>
    </row>
    <row r="14" spans="1:12">
      <c r="B14" t="s">
        <v>555</v>
      </c>
      <c r="C14" t="s">
        <v>528</v>
      </c>
      <c r="D14" t="s">
        <v>156</v>
      </c>
      <c r="E14" t="s">
        <v>157</v>
      </c>
      <c r="F14" t="s">
        <v>158</v>
      </c>
      <c r="G14" t="str">
        <f>"0000000100533"</f>
        <v>0000000100533</v>
      </c>
      <c r="H14" t="s">
        <v>530</v>
      </c>
      <c r="I14" t="s">
        <v>531</v>
      </c>
      <c r="J14" t="s">
        <v>557</v>
      </c>
      <c r="K14" t="s">
        <v>533</v>
      </c>
      <c r="L14" t="s">
        <v>557</v>
      </c>
    </row>
    <row r="15" spans="1:12">
      <c r="B15" t="s">
        <v>552</v>
      </c>
      <c r="C15" t="s">
        <v>528</v>
      </c>
      <c r="D15" t="s">
        <v>926</v>
      </c>
      <c r="E15" t="s">
        <v>927</v>
      </c>
      <c r="F15" t="s">
        <v>928</v>
      </c>
      <c r="G15" t="s">
        <v>929</v>
      </c>
      <c r="H15" t="s">
        <v>530</v>
      </c>
      <c r="I15" t="s">
        <v>531</v>
      </c>
      <c r="J15" t="s">
        <v>580</v>
      </c>
      <c r="K15" t="s">
        <v>533</v>
      </c>
      <c r="L15" t="s">
        <v>580</v>
      </c>
    </row>
    <row r="16" spans="1:12">
      <c r="B16" t="s">
        <v>564</v>
      </c>
      <c r="C16" t="s">
        <v>528</v>
      </c>
      <c r="D16" t="s">
        <v>926</v>
      </c>
      <c r="E16" t="s">
        <v>930</v>
      </c>
      <c r="F16" t="s">
        <v>931</v>
      </c>
      <c r="G16" t="s">
        <v>932</v>
      </c>
      <c r="H16" t="s">
        <v>530</v>
      </c>
      <c r="I16" t="s">
        <v>531</v>
      </c>
      <c r="J16" t="s">
        <v>910</v>
      </c>
      <c r="K16" t="s">
        <v>533</v>
      </c>
      <c r="L16" t="s">
        <v>910</v>
      </c>
    </row>
    <row r="17" spans="1:12">
      <c r="B17" t="s">
        <v>555</v>
      </c>
      <c r="C17" t="s">
        <v>528</v>
      </c>
      <c r="D17" t="s">
        <v>573</v>
      </c>
      <c r="E17" t="s">
        <v>933</v>
      </c>
      <c r="F17" t="s">
        <v>934</v>
      </c>
      <c r="G17" t="s">
        <v>935</v>
      </c>
      <c r="H17" t="s">
        <v>530</v>
      </c>
      <c r="I17" t="s">
        <v>531</v>
      </c>
      <c r="J17" t="s">
        <v>922</v>
      </c>
      <c r="K17" t="s">
        <v>533</v>
      </c>
      <c r="L17" t="s">
        <v>922</v>
      </c>
    </row>
    <row r="18" spans="1:12">
      <c r="B18" t="s">
        <v>555</v>
      </c>
      <c r="C18" t="s">
        <v>528</v>
      </c>
      <c r="D18" t="s">
        <v>573</v>
      </c>
      <c r="E18" t="s">
        <v>936</v>
      </c>
      <c r="F18" t="s">
        <v>937</v>
      </c>
      <c r="G18" t="s">
        <v>938</v>
      </c>
      <c r="H18" t="s">
        <v>530</v>
      </c>
      <c r="I18" t="s">
        <v>531</v>
      </c>
      <c r="J18" t="s">
        <v>922</v>
      </c>
      <c r="K18" t="s">
        <v>533</v>
      </c>
      <c r="L18" t="s">
        <v>922</v>
      </c>
    </row>
    <row r="19" spans="1:12">
      <c r="B19" t="s">
        <v>555</v>
      </c>
      <c r="C19" t="s">
        <v>528</v>
      </c>
      <c r="D19" t="s">
        <v>169</v>
      </c>
      <c r="E19" t="s">
        <v>170</v>
      </c>
      <c r="F19" t="s">
        <v>171</v>
      </c>
      <c r="G19" t="s">
        <v>939</v>
      </c>
      <c r="H19" t="s">
        <v>530</v>
      </c>
      <c r="I19" t="s">
        <v>531</v>
      </c>
      <c r="J19" t="s">
        <v>940</v>
      </c>
      <c r="K19" t="s">
        <v>533</v>
      </c>
      <c r="L19" t="s">
        <v>940</v>
      </c>
    </row>
    <row r="20" spans="1:12">
      <c r="B20" t="s">
        <v>527</v>
      </c>
      <c r="C20" t="s">
        <v>528</v>
      </c>
      <c r="D20" t="s">
        <v>169</v>
      </c>
      <c r="E20" t="s">
        <v>172</v>
      </c>
      <c r="F20" t="s">
        <v>173</v>
      </c>
      <c r="G20" t="s">
        <v>941</v>
      </c>
      <c r="H20" t="s">
        <v>530</v>
      </c>
      <c r="I20" t="s">
        <v>531</v>
      </c>
      <c r="J20" t="s">
        <v>942</v>
      </c>
      <c r="K20" t="s">
        <v>533</v>
      </c>
      <c r="L20" t="s">
        <v>942</v>
      </c>
    </row>
    <row r="21" spans="1:12">
      <c r="B21" t="s">
        <v>527</v>
      </c>
      <c r="C21" t="s">
        <v>528</v>
      </c>
      <c r="D21" t="s">
        <v>169</v>
      </c>
      <c r="E21" t="s">
        <v>176</v>
      </c>
      <c r="F21" t="s">
        <v>177</v>
      </c>
      <c r="G21" t="str">
        <f>"0000000134897"</f>
        <v>0000000134897</v>
      </c>
      <c r="H21" t="s">
        <v>530</v>
      </c>
      <c r="I21" t="s">
        <v>531</v>
      </c>
      <c r="J21" t="s">
        <v>943</v>
      </c>
      <c r="K21" t="s">
        <v>533</v>
      </c>
      <c r="L21" t="s">
        <v>943</v>
      </c>
    </row>
    <row r="22" spans="1:12">
      <c r="B22" t="s">
        <v>555</v>
      </c>
      <c r="C22" t="s">
        <v>528</v>
      </c>
      <c r="D22" t="s">
        <v>169</v>
      </c>
      <c r="E22" t="s">
        <v>178</v>
      </c>
      <c r="F22" t="s">
        <v>179</v>
      </c>
      <c r="G22" t="s">
        <v>944</v>
      </c>
      <c r="H22" t="s">
        <v>530</v>
      </c>
      <c r="I22" t="s">
        <v>531</v>
      </c>
      <c r="J22" t="s">
        <v>945</v>
      </c>
      <c r="K22" t="s">
        <v>533</v>
      </c>
      <c r="L22" t="s">
        <v>945</v>
      </c>
    </row>
    <row r="23" spans="1:12">
      <c r="B23" t="s">
        <v>555</v>
      </c>
      <c r="C23" t="s">
        <v>528</v>
      </c>
      <c r="D23" t="s">
        <v>169</v>
      </c>
      <c r="E23" t="s">
        <v>946</v>
      </c>
      <c r="F23" t="s">
        <v>947</v>
      </c>
      <c r="G23" t="str">
        <f>"0000000143035"</f>
        <v>0000000143035</v>
      </c>
      <c r="H23" t="s">
        <v>530</v>
      </c>
      <c r="I23" t="s">
        <v>531</v>
      </c>
      <c r="J23" t="s">
        <v>948</v>
      </c>
      <c r="K23" t="s">
        <v>533</v>
      </c>
      <c r="L23" t="s">
        <v>948</v>
      </c>
    </row>
    <row r="24" spans="1:12">
      <c r="B24" t="s">
        <v>555</v>
      </c>
      <c r="C24" t="s">
        <v>528</v>
      </c>
      <c r="D24" t="s">
        <v>169</v>
      </c>
      <c r="E24" t="s">
        <v>184</v>
      </c>
      <c r="F24" t="s">
        <v>185</v>
      </c>
      <c r="G24" t="s">
        <v>949</v>
      </c>
      <c r="H24" t="s">
        <v>530</v>
      </c>
      <c r="I24" t="s">
        <v>531</v>
      </c>
      <c r="J24" t="s">
        <v>922</v>
      </c>
      <c r="K24" t="s">
        <v>533</v>
      </c>
      <c r="L24" t="s">
        <v>922</v>
      </c>
    </row>
    <row r="25" spans="1:12">
      <c r="B25" t="s">
        <v>904</v>
      </c>
      <c r="C25" t="s">
        <v>528</v>
      </c>
      <c r="D25" t="s">
        <v>169</v>
      </c>
      <c r="E25" t="s">
        <v>186</v>
      </c>
      <c r="F25" t="s">
        <v>187</v>
      </c>
      <c r="G25" t="s">
        <v>950</v>
      </c>
      <c r="H25" t="s">
        <v>530</v>
      </c>
      <c r="I25" t="s">
        <v>531</v>
      </c>
      <c r="J25" t="s">
        <v>910</v>
      </c>
      <c r="K25" t="s">
        <v>533</v>
      </c>
      <c r="L25" t="s">
        <v>910</v>
      </c>
    </row>
    <row r="26" spans="1:12">
      <c r="B26" t="s">
        <v>534</v>
      </c>
      <c r="C26" t="s">
        <v>528</v>
      </c>
      <c r="D26" t="s">
        <v>87</v>
      </c>
      <c r="E26" t="s">
        <v>220</v>
      </c>
      <c r="F26" t="s">
        <v>221</v>
      </c>
      <c r="G26" t="str">
        <f>"0000000143547"</f>
        <v>0000000143547</v>
      </c>
      <c r="H26" t="s">
        <v>542</v>
      </c>
      <c r="I26" t="s">
        <v>543</v>
      </c>
      <c r="J26" t="s">
        <v>951</v>
      </c>
      <c r="K26" t="s">
        <v>533</v>
      </c>
      <c r="L26" t="s">
        <v>951</v>
      </c>
    </row>
    <row r="27" spans="1:12">
      <c r="B27" t="s">
        <v>534</v>
      </c>
      <c r="C27" t="s">
        <v>528</v>
      </c>
      <c r="D27" t="s">
        <v>87</v>
      </c>
      <c r="E27" t="s">
        <v>222</v>
      </c>
      <c r="F27" t="s">
        <v>223</v>
      </c>
      <c r="G27" t="str">
        <f>"0000000143554"</f>
        <v>0000000143554</v>
      </c>
      <c r="H27" t="s">
        <v>542</v>
      </c>
      <c r="I27" t="s">
        <v>543</v>
      </c>
      <c r="J27" t="s">
        <v>951</v>
      </c>
      <c r="K27" t="s">
        <v>533</v>
      </c>
      <c r="L27" t="s">
        <v>951</v>
      </c>
    </row>
    <row r="28" spans="1:12">
      <c r="A28" t="s">
        <v>516</v>
      </c>
      <c r="B28" t="s">
        <v>534</v>
      </c>
      <c r="C28" t="s">
        <v>528</v>
      </c>
      <c r="D28" t="s">
        <v>78</v>
      </c>
      <c r="E28" t="s">
        <v>253</v>
      </c>
      <c r="F28" t="s">
        <v>254</v>
      </c>
      <c r="G28" t="str">
        <f>"0000000143929"</f>
        <v>0000000143929</v>
      </c>
      <c r="H28" t="s">
        <v>542</v>
      </c>
      <c r="I28" t="s">
        <v>543</v>
      </c>
      <c r="J28" t="s">
        <v>952</v>
      </c>
      <c r="K28" t="s">
        <v>533</v>
      </c>
      <c r="L28" t="s">
        <v>952</v>
      </c>
    </row>
    <row r="29" spans="1:12">
      <c r="A29" t="s">
        <v>516</v>
      </c>
      <c r="B29" t="s">
        <v>534</v>
      </c>
      <c r="C29" t="s">
        <v>528</v>
      </c>
      <c r="D29" t="s">
        <v>75</v>
      </c>
      <c r="E29" t="s">
        <v>272</v>
      </c>
      <c r="F29" t="s">
        <v>273</v>
      </c>
      <c r="G29" t="str">
        <f>"0000000137676"</f>
        <v>0000000137676</v>
      </c>
      <c r="H29" t="s">
        <v>542</v>
      </c>
      <c r="I29" t="s">
        <v>543</v>
      </c>
      <c r="J29" t="s">
        <v>953</v>
      </c>
      <c r="K29" t="s">
        <v>533</v>
      </c>
      <c r="L29" t="s">
        <v>953</v>
      </c>
    </row>
    <row r="30" spans="1:12">
      <c r="A30" t="s">
        <v>516</v>
      </c>
      <c r="B30" t="s">
        <v>534</v>
      </c>
      <c r="C30" t="s">
        <v>528</v>
      </c>
      <c r="D30" t="s">
        <v>75</v>
      </c>
      <c r="E30" t="s">
        <v>274</v>
      </c>
      <c r="F30" t="s">
        <v>275</v>
      </c>
      <c r="G30" t="str">
        <f>"0000000137683"</f>
        <v>0000000137683</v>
      </c>
      <c r="H30" t="s">
        <v>542</v>
      </c>
      <c r="I30" t="s">
        <v>543</v>
      </c>
      <c r="J30" t="s">
        <v>954</v>
      </c>
      <c r="K30" t="s">
        <v>533</v>
      </c>
      <c r="L30" t="s">
        <v>954</v>
      </c>
    </row>
    <row r="31" spans="1:12">
      <c r="A31" t="s">
        <v>516</v>
      </c>
      <c r="B31" t="s">
        <v>534</v>
      </c>
      <c r="C31" t="s">
        <v>528</v>
      </c>
      <c r="D31" t="s">
        <v>75</v>
      </c>
      <c r="E31" t="s">
        <v>276</v>
      </c>
      <c r="F31" t="s">
        <v>277</v>
      </c>
      <c r="G31" t="str">
        <f>"0000000137669"</f>
        <v>0000000137669</v>
      </c>
      <c r="H31" t="s">
        <v>542</v>
      </c>
      <c r="I31" t="s">
        <v>543</v>
      </c>
      <c r="J31" t="s">
        <v>955</v>
      </c>
      <c r="K31" t="s">
        <v>533</v>
      </c>
      <c r="L31" t="s">
        <v>955</v>
      </c>
    </row>
    <row r="32" spans="1:12">
      <c r="A32" t="s">
        <v>516</v>
      </c>
      <c r="B32" t="s">
        <v>534</v>
      </c>
      <c r="C32" t="s">
        <v>528</v>
      </c>
      <c r="D32" t="s">
        <v>75</v>
      </c>
      <c r="E32" t="s">
        <v>278</v>
      </c>
      <c r="F32" t="s">
        <v>279</v>
      </c>
      <c r="G32" t="str">
        <f>"0000000137690"</f>
        <v>0000000137690</v>
      </c>
      <c r="H32" t="s">
        <v>542</v>
      </c>
      <c r="I32" t="s">
        <v>543</v>
      </c>
      <c r="J32" t="s">
        <v>956</v>
      </c>
      <c r="K32" t="s">
        <v>533</v>
      </c>
      <c r="L32" t="s">
        <v>956</v>
      </c>
    </row>
    <row r="33" spans="2:12">
      <c r="B33" t="s">
        <v>907</v>
      </c>
      <c r="C33" t="s">
        <v>923</v>
      </c>
      <c r="D33" t="s">
        <v>957</v>
      </c>
      <c r="E33" t="s">
        <v>958</v>
      </c>
      <c r="F33" t="s">
        <v>959</v>
      </c>
      <c r="G33" t="s">
        <v>960</v>
      </c>
      <c r="H33" t="s">
        <v>539</v>
      </c>
      <c r="I33" t="s">
        <v>920</v>
      </c>
      <c r="J33" t="s">
        <v>961</v>
      </c>
      <c r="K33" t="s">
        <v>533</v>
      </c>
      <c r="L33" t="s">
        <v>961</v>
      </c>
    </row>
    <row r="34" spans="2:12">
      <c r="B34" t="s">
        <v>962</v>
      </c>
      <c r="C34" t="s">
        <v>923</v>
      </c>
      <c r="D34" t="s">
        <v>957</v>
      </c>
      <c r="E34" t="s">
        <v>963</v>
      </c>
      <c r="F34" t="s">
        <v>964</v>
      </c>
      <c r="G34" t="s">
        <v>965</v>
      </c>
      <c r="H34" t="s">
        <v>539</v>
      </c>
      <c r="I34" t="s">
        <v>920</v>
      </c>
      <c r="J34" t="s">
        <v>961</v>
      </c>
      <c r="K34" t="s">
        <v>533</v>
      </c>
      <c r="L34" t="s">
        <v>961</v>
      </c>
    </row>
    <row r="35" spans="2:12">
      <c r="B35" t="s">
        <v>966</v>
      </c>
      <c r="C35" t="s">
        <v>923</v>
      </c>
      <c r="D35" t="s">
        <v>957</v>
      </c>
      <c r="E35" t="s">
        <v>967</v>
      </c>
      <c r="F35" t="s">
        <v>968</v>
      </c>
      <c r="G35" t="s">
        <v>969</v>
      </c>
      <c r="H35" t="s">
        <v>539</v>
      </c>
      <c r="I35" t="s">
        <v>920</v>
      </c>
      <c r="J35" t="s">
        <v>961</v>
      </c>
      <c r="K35" t="s">
        <v>533</v>
      </c>
      <c r="L35" t="s">
        <v>961</v>
      </c>
    </row>
    <row r="36" spans="2:12">
      <c r="B36" t="s">
        <v>970</v>
      </c>
      <c r="C36" t="s">
        <v>923</v>
      </c>
      <c r="D36" t="s">
        <v>957</v>
      </c>
      <c r="E36" t="s">
        <v>971</v>
      </c>
      <c r="F36" t="s">
        <v>972</v>
      </c>
      <c r="G36" t="s">
        <v>973</v>
      </c>
      <c r="H36" t="s">
        <v>539</v>
      </c>
      <c r="I36" t="s">
        <v>920</v>
      </c>
      <c r="J36" t="s">
        <v>961</v>
      </c>
      <c r="K36" t="s">
        <v>533</v>
      </c>
      <c r="L36" t="s">
        <v>961</v>
      </c>
    </row>
    <row r="37" spans="2:12">
      <c r="B37" t="s">
        <v>974</v>
      </c>
      <c r="C37" t="s">
        <v>923</v>
      </c>
      <c r="D37" t="s">
        <v>283</v>
      </c>
      <c r="E37" t="s">
        <v>284</v>
      </c>
      <c r="F37" t="s">
        <v>285</v>
      </c>
      <c r="G37" t="s">
        <v>975</v>
      </c>
      <c r="H37" t="s">
        <v>539</v>
      </c>
      <c r="I37" t="s">
        <v>920</v>
      </c>
      <c r="J37" t="s">
        <v>922</v>
      </c>
      <c r="K37" t="s">
        <v>533</v>
      </c>
      <c r="L37" t="s">
        <v>922</v>
      </c>
    </row>
    <row r="38" spans="2:12">
      <c r="B38" t="s">
        <v>976</v>
      </c>
      <c r="C38" t="s">
        <v>923</v>
      </c>
      <c r="D38" t="s">
        <v>283</v>
      </c>
      <c r="E38" t="s">
        <v>286</v>
      </c>
      <c r="F38" t="s">
        <v>287</v>
      </c>
      <c r="G38" t="s">
        <v>977</v>
      </c>
      <c r="H38" t="s">
        <v>539</v>
      </c>
      <c r="I38" t="s">
        <v>920</v>
      </c>
      <c r="J38" t="s">
        <v>557</v>
      </c>
      <c r="K38" t="s">
        <v>533</v>
      </c>
      <c r="L38" t="s">
        <v>557</v>
      </c>
    </row>
    <row r="39" spans="2:12">
      <c r="B39" t="s">
        <v>534</v>
      </c>
      <c r="C39" t="s">
        <v>528</v>
      </c>
      <c r="D39" t="s">
        <v>291</v>
      </c>
      <c r="E39" t="s">
        <v>292</v>
      </c>
      <c r="F39" t="s">
        <v>293</v>
      </c>
      <c r="G39" t="str">
        <f>"0000000133593"</f>
        <v>0000000133593</v>
      </c>
      <c r="H39" t="s">
        <v>539</v>
      </c>
      <c r="I39" t="s">
        <v>291</v>
      </c>
      <c r="J39" t="s">
        <v>978</v>
      </c>
      <c r="K39" t="s">
        <v>533</v>
      </c>
      <c r="L39" t="s">
        <v>978</v>
      </c>
    </row>
    <row r="40" spans="2:12">
      <c r="B40" t="s">
        <v>534</v>
      </c>
      <c r="C40" t="s">
        <v>528</v>
      </c>
      <c r="D40" t="s">
        <v>291</v>
      </c>
      <c r="E40" t="s">
        <v>294</v>
      </c>
      <c r="F40" t="s">
        <v>295</v>
      </c>
      <c r="G40" t="str">
        <f>"0000000133586"</f>
        <v>0000000133586</v>
      </c>
      <c r="H40" t="s">
        <v>539</v>
      </c>
      <c r="I40" t="s">
        <v>291</v>
      </c>
      <c r="J40" t="s">
        <v>979</v>
      </c>
      <c r="K40" t="s">
        <v>533</v>
      </c>
      <c r="L40" t="s">
        <v>979</v>
      </c>
    </row>
    <row r="41" spans="2:12">
      <c r="B41" t="s">
        <v>534</v>
      </c>
      <c r="C41" t="s">
        <v>528</v>
      </c>
      <c r="D41" t="s">
        <v>68</v>
      </c>
      <c r="E41" t="s">
        <v>71</v>
      </c>
      <c r="F41" t="s">
        <v>980</v>
      </c>
      <c r="G41" t="str">
        <f>"0000000131216"</f>
        <v>0000000131216</v>
      </c>
      <c r="H41" t="s">
        <v>539</v>
      </c>
      <c r="I41" t="s">
        <v>291</v>
      </c>
      <c r="J41" t="s">
        <v>981</v>
      </c>
      <c r="K41" t="s">
        <v>533</v>
      </c>
      <c r="L41" t="s">
        <v>981</v>
      </c>
    </row>
    <row r="42" spans="2:12">
      <c r="B42" t="s">
        <v>555</v>
      </c>
      <c r="C42" t="s">
        <v>528</v>
      </c>
      <c r="D42" t="s">
        <v>63</v>
      </c>
      <c r="E42" t="s">
        <v>302</v>
      </c>
      <c r="F42" t="s">
        <v>303</v>
      </c>
      <c r="G42" t="str">
        <f>"0000000143608"</f>
        <v>0000000143608</v>
      </c>
      <c r="H42" t="s">
        <v>530</v>
      </c>
      <c r="I42" t="s">
        <v>139</v>
      </c>
      <c r="J42" t="s">
        <v>982</v>
      </c>
      <c r="K42" t="s">
        <v>533</v>
      </c>
      <c r="L42" t="s">
        <v>982</v>
      </c>
    </row>
    <row r="43" spans="2:12">
      <c r="B43" t="s">
        <v>555</v>
      </c>
      <c r="C43" t="s">
        <v>528</v>
      </c>
      <c r="D43" t="s">
        <v>63</v>
      </c>
      <c r="E43" t="s">
        <v>304</v>
      </c>
      <c r="F43" t="s">
        <v>305</v>
      </c>
      <c r="G43" t="str">
        <f>"0000000143585"</f>
        <v>0000000143585</v>
      </c>
      <c r="H43" t="s">
        <v>530</v>
      </c>
      <c r="I43" t="s">
        <v>139</v>
      </c>
      <c r="J43" t="s">
        <v>983</v>
      </c>
      <c r="K43" t="s">
        <v>533</v>
      </c>
      <c r="L43" t="s">
        <v>983</v>
      </c>
    </row>
    <row r="44" spans="2:12">
      <c r="B44" t="s">
        <v>534</v>
      </c>
      <c r="C44" t="s">
        <v>528</v>
      </c>
      <c r="D44" t="s">
        <v>63</v>
      </c>
      <c r="E44" t="s">
        <v>308</v>
      </c>
      <c r="F44" t="s">
        <v>309</v>
      </c>
      <c r="G44" t="s">
        <v>984</v>
      </c>
      <c r="H44" t="s">
        <v>530</v>
      </c>
      <c r="I44" t="s">
        <v>139</v>
      </c>
      <c r="J44" t="s">
        <v>966</v>
      </c>
      <c r="K44" t="s">
        <v>533</v>
      </c>
      <c r="L44" t="s">
        <v>966</v>
      </c>
    </row>
    <row r="45" spans="2:12">
      <c r="B45" t="s">
        <v>534</v>
      </c>
      <c r="C45" t="s">
        <v>528</v>
      </c>
      <c r="D45" t="s">
        <v>63</v>
      </c>
      <c r="E45" t="s">
        <v>310</v>
      </c>
      <c r="F45" t="s">
        <v>311</v>
      </c>
      <c r="G45" t="str">
        <f>"0000000143592"</f>
        <v>0000000143592</v>
      </c>
      <c r="H45" t="s">
        <v>530</v>
      </c>
      <c r="I45" t="s">
        <v>139</v>
      </c>
      <c r="J45" t="s">
        <v>985</v>
      </c>
      <c r="K45" t="s">
        <v>533</v>
      </c>
      <c r="L45" t="s">
        <v>985</v>
      </c>
    </row>
    <row r="46" spans="2:12">
      <c r="B46" t="s">
        <v>534</v>
      </c>
      <c r="C46" t="s">
        <v>528</v>
      </c>
      <c r="D46" t="s">
        <v>986</v>
      </c>
      <c r="E46" t="s">
        <v>987</v>
      </c>
      <c r="F46" t="s">
        <v>988</v>
      </c>
      <c r="G46" t="str">
        <f>"0000000133579"</f>
        <v>0000000133579</v>
      </c>
      <c r="H46" t="s">
        <v>542</v>
      </c>
      <c r="I46" t="s">
        <v>543</v>
      </c>
      <c r="J46" t="s">
        <v>989</v>
      </c>
      <c r="K46" t="s">
        <v>533</v>
      </c>
      <c r="L46" t="s">
        <v>989</v>
      </c>
    </row>
    <row r="47" spans="2:12">
      <c r="B47" t="s">
        <v>534</v>
      </c>
      <c r="C47" t="s">
        <v>528</v>
      </c>
      <c r="D47" t="s">
        <v>313</v>
      </c>
      <c r="E47" t="s">
        <v>314</v>
      </c>
      <c r="F47" t="s">
        <v>315</v>
      </c>
      <c r="G47" t="str">
        <f>"0000000137164"</f>
        <v>0000000137164</v>
      </c>
      <c r="H47" t="s">
        <v>542</v>
      </c>
      <c r="I47" t="s">
        <v>543</v>
      </c>
      <c r="J47" t="s">
        <v>990</v>
      </c>
      <c r="K47" t="s">
        <v>533</v>
      </c>
      <c r="L47" t="s">
        <v>990</v>
      </c>
    </row>
    <row r="48" spans="2:12">
      <c r="B48" t="s">
        <v>534</v>
      </c>
      <c r="C48" t="s">
        <v>528</v>
      </c>
      <c r="D48" t="s">
        <v>316</v>
      </c>
      <c r="E48" t="s">
        <v>317</v>
      </c>
      <c r="F48" t="s">
        <v>318</v>
      </c>
      <c r="G48" t="str">
        <f>"0000000143578"</f>
        <v>0000000143578</v>
      </c>
      <c r="H48" t="s">
        <v>542</v>
      </c>
      <c r="I48" t="s">
        <v>543</v>
      </c>
      <c r="J48" t="s">
        <v>991</v>
      </c>
      <c r="K48" t="s">
        <v>533</v>
      </c>
      <c r="L48" t="s">
        <v>991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A12"/>
  <sheetViews>
    <sheetView workbookViewId="0">
      <selection sqref="A1:A12"/>
    </sheetView>
  </sheetViews>
  <sheetFormatPr defaultRowHeight="15"/>
  <cols>
    <col min="1" max="1" width="27.42578125" customWidth="1"/>
  </cols>
  <sheetData>
    <row r="1" spans="1:1" ht="18.75">
      <c r="A1" s="42" t="s">
        <v>511</v>
      </c>
    </row>
    <row r="2" spans="1:1" ht="18.75">
      <c r="A2" s="42" t="s">
        <v>498</v>
      </c>
    </row>
    <row r="3" spans="1:1" ht="18.75">
      <c r="A3" s="42" t="s">
        <v>514</v>
      </c>
    </row>
    <row r="4" spans="1:1" ht="18.75">
      <c r="A4" s="42" t="s">
        <v>503</v>
      </c>
    </row>
    <row r="5" spans="1:1" ht="18.75">
      <c r="A5" s="42" t="s">
        <v>504</v>
      </c>
    </row>
    <row r="6" spans="1:1" ht="18.75">
      <c r="A6" s="42" t="s">
        <v>663</v>
      </c>
    </row>
    <row r="7" spans="1:1" ht="18.75">
      <c r="A7" s="42" t="s">
        <v>499</v>
      </c>
    </row>
    <row r="8" spans="1:1" ht="18.75">
      <c r="A8" s="42" t="s">
        <v>885</v>
      </c>
    </row>
    <row r="9" spans="1:1" ht="18.75">
      <c r="A9" s="42" t="s">
        <v>884</v>
      </c>
    </row>
    <row r="10" spans="1:1" ht="18.75">
      <c r="A10" s="42" t="s">
        <v>502</v>
      </c>
    </row>
    <row r="11" spans="1:1" ht="18.75">
      <c r="A11" s="42" t="s">
        <v>506</v>
      </c>
    </row>
    <row r="12" spans="1:1" ht="18.75">
      <c r="A12" s="42" t="s">
        <v>507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34"/>
  <sheetViews>
    <sheetView zoomScale="85" zoomScaleNormal="85" workbookViewId="0">
      <selection activeCell="G2" sqref="G2:G33"/>
    </sheetView>
  </sheetViews>
  <sheetFormatPr defaultRowHeight="15"/>
  <cols>
    <col min="1" max="1" width="53.28515625" bestFit="1" customWidth="1"/>
    <col min="2" max="2" width="9.140625" style="3"/>
  </cols>
  <sheetData>
    <row r="1" spans="1:7">
      <c r="A1" t="s">
        <v>357</v>
      </c>
      <c r="C1" t="s">
        <v>366</v>
      </c>
      <c r="D1" s="3" t="s">
        <v>357</v>
      </c>
      <c r="G1" s="3" t="s">
        <v>487</v>
      </c>
    </row>
    <row r="2" spans="1:7">
      <c r="A2" s="19" t="str">
        <f>B2&amp;C2</f>
        <v>Posserienr</v>
      </c>
      <c r="B2" s="19" t="s">
        <v>425</v>
      </c>
      <c r="C2" t="s">
        <v>353</v>
      </c>
      <c r="D2" s="19" t="s">
        <v>391</v>
      </c>
      <c r="E2" t="str">
        <f>"=*" &amp; D2 &amp; "*"</f>
        <v>=*b3 /b49*</v>
      </c>
      <c r="G2" t="str">
        <f>"Sheets(*checklijstDVSA*).Range("&amp;A2&amp;").Value = " &amp;C2</f>
        <v>Sheets(*checklijstDVSA*).Range(Posserienr).Value = serienr</v>
      </c>
    </row>
    <row r="3" spans="1:7">
      <c r="A3" s="19" t="str">
        <f t="shared" ref="A3:A34" si="0">B3&amp;C3</f>
        <v>Poswerkurenregie</v>
      </c>
      <c r="B3" s="19" t="s">
        <v>425</v>
      </c>
      <c r="C3" t="s">
        <v>365</v>
      </c>
      <c r="D3" s="19" t="s">
        <v>392</v>
      </c>
      <c r="E3" s="3" t="str">
        <f t="shared" ref="E3:E33" si="1">"=*" &amp; D3 &amp; "*"</f>
        <v>=*h17 / h54*</v>
      </c>
      <c r="G3" s="3" t="str">
        <f t="shared" ref="G3:G33" si="2">"Sheets(*checklijstDVSA*).Range("&amp;A3&amp;").Value = " &amp;C3</f>
        <v>Sheets(*checklijstDVSA*).Range(Poswerkurenregie).Value = werkurenregie</v>
      </c>
    </row>
    <row r="4" spans="1:7">
      <c r="A4" s="19" t="str">
        <f t="shared" si="0"/>
        <v>Posklacht</v>
      </c>
      <c r="B4" s="19" t="s">
        <v>425</v>
      </c>
      <c r="C4" t="s">
        <v>350</v>
      </c>
      <c r="D4" s="19" t="s">
        <v>389</v>
      </c>
      <c r="E4" s="3" t="str">
        <f t="shared" si="1"/>
        <v>=*b16 /b54*</v>
      </c>
      <c r="G4" s="3" t="str">
        <f t="shared" si="2"/>
        <v>Sheets(*checklijstDVSA*).Range(Posklacht).Value = klacht</v>
      </c>
    </row>
    <row r="5" spans="1:7">
      <c r="A5" s="19" t="str">
        <f t="shared" si="0"/>
        <v>Posoplossing</v>
      </c>
      <c r="B5" s="19" t="s">
        <v>425</v>
      </c>
      <c r="C5" t="s">
        <v>351</v>
      </c>
      <c r="D5" s="19" t="s">
        <v>390</v>
      </c>
      <c r="E5" s="3" t="str">
        <f t="shared" si="1"/>
        <v>=*b17 /b55*</v>
      </c>
      <c r="G5" s="3" t="str">
        <f t="shared" si="2"/>
        <v>Sheets(*checklijstDVSA*).Range(Posoplossing).Value = oplossing</v>
      </c>
    </row>
    <row r="6" spans="1:7">
      <c r="A6" s="19" t="str">
        <f t="shared" si="0"/>
        <v>PosNieuweSerienrSticker</v>
      </c>
      <c r="B6" s="19" t="s">
        <v>425</v>
      </c>
      <c r="C6" t="s">
        <v>399</v>
      </c>
      <c r="D6" s="19" t="s">
        <v>367</v>
      </c>
      <c r="E6" s="3" t="str">
        <f t="shared" si="1"/>
        <v>=*a8*</v>
      </c>
      <c r="G6" s="3" t="str">
        <f t="shared" si="2"/>
        <v>Sheets(*checklijstDVSA*).Range(PosNieuweSerienrSticker).Value = NieuweSerienrSticker</v>
      </c>
    </row>
    <row r="7" spans="1:7">
      <c r="A7" s="19" t="str">
        <f t="shared" si="0"/>
        <v>PosNieuweBatterij</v>
      </c>
      <c r="B7" s="19" t="s">
        <v>425</v>
      </c>
      <c r="C7" t="s">
        <v>400</v>
      </c>
      <c r="D7" s="19" t="s">
        <v>368</v>
      </c>
      <c r="E7" s="3" t="str">
        <f t="shared" si="1"/>
        <v>=*a9*</v>
      </c>
      <c r="G7" s="3" t="str">
        <f t="shared" si="2"/>
        <v>Sheets(*checklijstDVSA*).Range(PosNieuweBatterij).Value = NieuweBatterij</v>
      </c>
    </row>
    <row r="8" spans="1:7">
      <c r="A8" s="19" t="str">
        <f t="shared" si="0"/>
        <v>PosNieuweVoedingsconnectorVoeding</v>
      </c>
      <c r="B8" s="19" t="s">
        <v>425</v>
      </c>
      <c r="C8" t="s">
        <v>401</v>
      </c>
      <c r="D8" s="19" t="s">
        <v>369</v>
      </c>
      <c r="E8" s="3" t="str">
        <f t="shared" si="1"/>
        <v>=*a10*</v>
      </c>
      <c r="G8" s="3" t="str">
        <f t="shared" si="2"/>
        <v>Sheets(*checklijstDVSA*).Range(PosNieuweVoedingsconnectorVoeding).Value = NieuweVoedingsconnectorVoeding</v>
      </c>
    </row>
    <row r="9" spans="1:7">
      <c r="A9" s="19" t="str">
        <f t="shared" si="0"/>
        <v>PosNieuweOnOffKnop</v>
      </c>
      <c r="B9" s="19" t="s">
        <v>425</v>
      </c>
      <c r="C9" t="s">
        <v>402</v>
      </c>
      <c r="D9" s="19" t="s">
        <v>370</v>
      </c>
      <c r="E9" s="3" t="str">
        <f t="shared" si="1"/>
        <v>=*a11*</v>
      </c>
      <c r="G9" s="3" t="str">
        <f t="shared" si="2"/>
        <v>Sheets(*checklijstDVSA*).Range(PosNieuweOnOffKnop).Value = NieuweOnOffKnop</v>
      </c>
    </row>
    <row r="10" spans="1:7">
      <c r="A10" s="19" t="str">
        <f t="shared" si="0"/>
        <v>PosDropTime15min</v>
      </c>
      <c r="B10" s="19" t="s">
        <v>425</v>
      </c>
      <c r="C10" t="s">
        <v>403</v>
      </c>
      <c r="D10" s="19" t="s">
        <v>371</v>
      </c>
      <c r="E10" s="3" t="str">
        <f t="shared" si="1"/>
        <v>=*a12*</v>
      </c>
      <c r="G10" s="3" t="str">
        <f t="shared" si="2"/>
        <v>Sheets(*checklijstDVSA*).Range(PosDropTime15min).Value = DropTime15min</v>
      </c>
    </row>
    <row r="11" spans="1:7">
      <c r="A11" s="19" t="str">
        <f t="shared" si="0"/>
        <v>PosNieuweHandleiding</v>
      </c>
      <c r="B11" s="19" t="s">
        <v>425</v>
      </c>
      <c r="C11" t="s">
        <v>404</v>
      </c>
      <c r="D11" s="19" t="s">
        <v>372</v>
      </c>
      <c r="E11" s="3" t="str">
        <f t="shared" si="1"/>
        <v>=*a13*</v>
      </c>
      <c r="G11" s="3" t="str">
        <f t="shared" si="2"/>
        <v>Sheets(*checklijstDVSA*).Range(PosNieuweHandleiding).Value = NieuweHandleiding</v>
      </c>
    </row>
    <row r="12" spans="1:7">
      <c r="A12" s="19" t="str">
        <f t="shared" si="0"/>
        <v>PosNieuwCertificaat</v>
      </c>
      <c r="B12" s="19" t="s">
        <v>425</v>
      </c>
      <c r="C12" t="s">
        <v>405</v>
      </c>
      <c r="D12" s="19" t="s">
        <v>373</v>
      </c>
      <c r="E12" s="3" t="str">
        <f t="shared" si="1"/>
        <v>=*a14*</v>
      </c>
      <c r="G12" s="3" t="str">
        <f t="shared" si="2"/>
        <v>Sheets(*checklijstDVSA*).Range(PosNieuwCertificaat).Value = NieuwCertificaat</v>
      </c>
    </row>
    <row r="13" spans="1:7">
      <c r="A13" s="19" t="str">
        <f t="shared" si="0"/>
        <v>PosInoxVoetjes</v>
      </c>
      <c r="B13" s="19" t="s">
        <v>425</v>
      </c>
      <c r="C13" t="s">
        <v>406</v>
      </c>
      <c r="D13" s="19" t="s">
        <v>374</v>
      </c>
      <c r="E13" s="3" t="str">
        <f t="shared" si="1"/>
        <v>=*a18*</v>
      </c>
      <c r="G13" s="3" t="str">
        <f t="shared" si="2"/>
        <v>Sheets(*checklijstDVSA*).Range(PosInoxVoetjes).Value = InoxVoetjes</v>
      </c>
    </row>
    <row r="14" spans="1:7">
      <c r="A14" s="19" t="str">
        <f t="shared" si="0"/>
        <v>PosVisueleControleCondensatorOnderkantVoedingsprint</v>
      </c>
      <c r="B14" s="19" t="s">
        <v>425</v>
      </c>
      <c r="C14" t="s">
        <v>407</v>
      </c>
      <c r="D14" s="19" t="s">
        <v>375</v>
      </c>
      <c r="E14" s="3" t="str">
        <f t="shared" si="1"/>
        <v>=*a19*</v>
      </c>
      <c r="G14" s="3" t="str">
        <f t="shared" si="2"/>
        <v>Sheets(*checklijstDVSA*).Range(PosVisueleControleCondensatorOnderkantVoedingsprint).Value = VisueleControleCondensatorOnderkantVoedingsprint</v>
      </c>
    </row>
    <row r="15" spans="1:7">
      <c r="A15" s="19" t="str">
        <f t="shared" si="0"/>
        <v>PosSilicone</v>
      </c>
      <c r="B15" s="19" t="s">
        <v>425</v>
      </c>
      <c r="C15" t="s">
        <v>408</v>
      </c>
      <c r="D15" s="19" t="s">
        <v>376</v>
      </c>
      <c r="E15" s="3" t="str">
        <f t="shared" si="1"/>
        <v>=*a20*</v>
      </c>
      <c r="G15" s="3" t="str">
        <f t="shared" si="2"/>
        <v>Sheets(*checklijstDVSA*).Range(PosSilicone).Value = Silicone</v>
      </c>
    </row>
    <row r="16" spans="1:7">
      <c r="A16" s="19" t="str">
        <f t="shared" si="0"/>
        <v>PosVoedingOpladenBatterijspanning</v>
      </c>
      <c r="B16" s="19" t="s">
        <v>425</v>
      </c>
      <c r="C16" t="s">
        <v>409</v>
      </c>
      <c r="D16" s="19" t="s">
        <v>377</v>
      </c>
      <c r="E16" s="3" t="str">
        <f t="shared" si="1"/>
        <v>=*a40*</v>
      </c>
      <c r="G16" s="3" t="str">
        <f t="shared" si="2"/>
        <v>Sheets(*checklijstDVSA*).Range(PosVoedingOpladenBatterijspanning).Value = VoedingOpladenBatterijspanning</v>
      </c>
    </row>
    <row r="17" spans="1:7">
      <c r="A17" s="19" t="str">
        <f t="shared" si="0"/>
        <v>PosCellenWerkingUitlijning</v>
      </c>
      <c r="B17" s="19" t="s">
        <v>425</v>
      </c>
      <c r="C17" t="s">
        <v>410</v>
      </c>
      <c r="D17" s="19" t="s">
        <v>378</v>
      </c>
      <c r="E17" s="3" t="str">
        <f t="shared" si="1"/>
        <v>=*a41*</v>
      </c>
      <c r="G17" s="3" t="str">
        <f t="shared" si="2"/>
        <v>Sheets(*checklijstDVSA*).Range(PosCellenWerkingUitlijning).Value = CellenWerkingUitlijning</v>
      </c>
    </row>
    <row r="18" spans="1:7">
      <c r="A18" s="19" t="str">
        <f t="shared" si="0"/>
        <v>PosLuchtdchtheidEnStikstof</v>
      </c>
      <c r="B18" s="19" t="s">
        <v>425</v>
      </c>
      <c r="C18" t="s">
        <v>411</v>
      </c>
      <c r="D18" s="19" t="s">
        <v>379</v>
      </c>
      <c r="E18" s="3" t="str">
        <f t="shared" si="1"/>
        <v>=*a42*</v>
      </c>
      <c r="G18" s="3" t="str">
        <f t="shared" si="2"/>
        <v>Sheets(*checklijstDVSA*).Range(PosLuchtdchtheidEnStikstof).Value = LuchtdchtheidEnStikstof</v>
      </c>
    </row>
    <row r="19" spans="1:7">
      <c r="A19" s="19" t="str">
        <f t="shared" si="0"/>
        <v>PosLcdContrastHelderheidDamp</v>
      </c>
      <c r="B19" s="19" t="s">
        <v>425</v>
      </c>
      <c r="C19" t="s">
        <v>412</v>
      </c>
      <c r="D19" s="19" t="s">
        <v>380</v>
      </c>
      <c r="E19" s="3" t="str">
        <f t="shared" si="1"/>
        <v>=*a43*</v>
      </c>
      <c r="G19" s="3" t="str">
        <f t="shared" si="2"/>
        <v>Sheets(*checklijstDVSA*).Range(PosLcdContrastHelderheidDamp).Value = LcdContrastHelderheidDamp</v>
      </c>
    </row>
    <row r="20" spans="1:7">
      <c r="A20" s="19" t="str">
        <f t="shared" si="0"/>
        <v>PosOnOffKnopWerkingLedAutomatischUitschakelen</v>
      </c>
      <c r="B20" s="19" t="s">
        <v>425</v>
      </c>
      <c r="C20" t="s">
        <v>413</v>
      </c>
      <c r="D20" s="19" t="s">
        <v>381</v>
      </c>
      <c r="E20" s="3" t="str">
        <f t="shared" si="1"/>
        <v>=*a44*</v>
      </c>
      <c r="G20" s="3" t="str">
        <f t="shared" si="2"/>
        <v>Sheets(*checklijstDVSA*).Range(PosOnOffKnopWerkingLedAutomatischUitschakelen).Value = OnOffKnopWerkingLedAutomatischUitschakelen</v>
      </c>
    </row>
    <row r="21" spans="1:7">
      <c r="A21" s="19" t="str">
        <f t="shared" si="0"/>
        <v>PosSelectKnopWerking</v>
      </c>
      <c r="B21" s="19" t="s">
        <v>425</v>
      </c>
      <c r="C21" t="s">
        <v>414</v>
      </c>
      <c r="D21" s="19" t="s">
        <v>382</v>
      </c>
      <c r="E21" s="3" t="str">
        <f t="shared" si="1"/>
        <v>=*a45*</v>
      </c>
      <c r="G21" s="3" t="str">
        <f t="shared" si="2"/>
        <v>Sheets(*checklijstDVSA*).Range(PosSelectKnopWerking).Value = SelectKnopWerking</v>
      </c>
    </row>
    <row r="22" spans="1:7">
      <c r="A22" s="19" t="str">
        <f t="shared" si="0"/>
        <v>PosSerieleUitgangWerking</v>
      </c>
      <c r="B22" s="19" t="s">
        <v>425</v>
      </c>
      <c r="C22" t="s">
        <v>415</v>
      </c>
      <c r="D22" s="19" t="s">
        <v>383</v>
      </c>
      <c r="E22" s="3" t="str">
        <f t="shared" si="1"/>
        <v>=*a46*</v>
      </c>
      <c r="G22" s="3" t="str">
        <f t="shared" si="2"/>
        <v>Sheets(*checklijstDVSA*).Range(PosSerieleUitgangWerking).Value = SerieleUitgangWerking</v>
      </c>
    </row>
    <row r="23" spans="1:7">
      <c r="A23" s="19" t="str">
        <f t="shared" si="0"/>
        <v>PosBluetoothWerking</v>
      </c>
      <c r="B23" s="19" t="s">
        <v>425</v>
      </c>
      <c r="C23" t="s">
        <v>416</v>
      </c>
      <c r="D23" s="19" t="s">
        <v>384</v>
      </c>
      <c r="E23" s="3" t="str">
        <f t="shared" si="1"/>
        <v>=*a47*</v>
      </c>
      <c r="G23" s="3" t="str">
        <f t="shared" si="2"/>
        <v>Sheets(*checklijstDVSA*).Range(PosBluetoothWerking).Value = BluetoothWerking</v>
      </c>
    </row>
    <row r="24" spans="1:7">
      <c r="A24" s="19" t="str">
        <f t="shared" si="0"/>
        <v>PosSpanning</v>
      </c>
      <c r="B24" s="19" t="s">
        <v>425</v>
      </c>
      <c r="C24" t="s">
        <v>417</v>
      </c>
      <c r="D24" s="19" t="s">
        <v>385</v>
      </c>
      <c r="E24" s="3" t="str">
        <f t="shared" si="1"/>
        <v>=*g40*</v>
      </c>
      <c r="G24" s="3" t="str">
        <f t="shared" si="2"/>
        <v>Sheets(*checklijstDVSA*).Range(PosSpanning).Value = Spanning</v>
      </c>
    </row>
    <row r="25" spans="1:7">
      <c r="A25" s="19" t="str">
        <f t="shared" si="0"/>
        <v>PosVerschil</v>
      </c>
      <c r="B25" s="19" t="s">
        <v>425</v>
      </c>
      <c r="C25" t="s">
        <v>418</v>
      </c>
      <c r="D25" s="19" t="s">
        <v>386</v>
      </c>
      <c r="E25" s="3" t="str">
        <f t="shared" si="1"/>
        <v>=*g41*</v>
      </c>
      <c r="G25" s="3" t="str">
        <f t="shared" si="2"/>
        <v>Sheets(*checklijstDVSA*).Range(PosVerschil).Value = Verschil</v>
      </c>
    </row>
    <row r="26" spans="1:7">
      <c r="A26" s="19" t="str">
        <f t="shared" si="0"/>
        <v>PosNieuweBatterijenKlemrubber</v>
      </c>
      <c r="B26" s="19" t="s">
        <v>425</v>
      </c>
      <c r="C26" t="s">
        <v>419</v>
      </c>
      <c r="D26" s="19" t="s">
        <v>387</v>
      </c>
      <c r="E26" s="3" t="str">
        <f t="shared" si="1"/>
        <v>=*a52*</v>
      </c>
      <c r="G26" s="3" t="str">
        <f t="shared" si="2"/>
        <v>Sheets(*checklijstDVSA*).Range(PosNieuweBatterijenKlemrubber).Value = NieuweBatterijenKlemrubber</v>
      </c>
    </row>
    <row r="27" spans="1:7">
      <c r="A27" s="19" t="str">
        <f t="shared" si="0"/>
        <v>PosNieuweSerienrSticker</v>
      </c>
      <c r="B27" s="19" t="s">
        <v>425</v>
      </c>
      <c r="C27" t="s">
        <v>399</v>
      </c>
      <c r="D27" s="19" t="s">
        <v>388</v>
      </c>
      <c r="E27" s="3" t="str">
        <f t="shared" si="1"/>
        <v>=*a53*</v>
      </c>
      <c r="G27" s="3" t="str">
        <f t="shared" si="2"/>
        <v>Sheets(*checklijstDVSA*).Range(PosNieuweSerienrSticker).Value = NieuweSerienrSticker</v>
      </c>
    </row>
    <row r="28" spans="1:7">
      <c r="A28" s="19" t="str">
        <f t="shared" si="0"/>
        <v>PosLcdContrastHelderheid</v>
      </c>
      <c r="B28" s="19" t="s">
        <v>425</v>
      </c>
      <c r="C28" t="s">
        <v>420</v>
      </c>
      <c r="D28" s="19" t="s">
        <v>393</v>
      </c>
      <c r="E28" s="3" t="str">
        <f t="shared" si="1"/>
        <v>=*a58*</v>
      </c>
      <c r="G28" s="3" t="str">
        <f t="shared" si="2"/>
        <v>Sheets(*checklijstDVSA*).Range(PosLcdContrastHelderheid).Value = LcdContrastHelderheid</v>
      </c>
    </row>
    <row r="29" spans="1:7">
      <c r="A29" s="19" t="str">
        <f t="shared" si="0"/>
        <v>PosOnOffKnopWerkingAutomatischUitschakelen1min</v>
      </c>
      <c r="B29" s="19" t="s">
        <v>425</v>
      </c>
      <c r="C29" t="s">
        <v>421</v>
      </c>
      <c r="D29" s="19" t="s">
        <v>394</v>
      </c>
      <c r="E29" s="3" t="str">
        <f t="shared" si="1"/>
        <v>=*a59*</v>
      </c>
      <c r="G29" s="3" t="str">
        <f t="shared" si="2"/>
        <v>Sheets(*checklijstDVSA*).Range(PosOnOffKnopWerkingAutomatischUitschakelen1min).Value = OnOffKnopWerkingAutomatischUitschakelen1min</v>
      </c>
    </row>
    <row r="30" spans="1:7">
      <c r="A30" s="19" t="str">
        <f t="shared" si="0"/>
        <v>PosSelectKnopWerking</v>
      </c>
      <c r="B30" s="19" t="s">
        <v>425</v>
      </c>
      <c r="C30" t="s">
        <v>414</v>
      </c>
      <c r="D30" s="19" t="s">
        <v>395</v>
      </c>
      <c r="E30" s="3" t="str">
        <f t="shared" si="1"/>
        <v>=*a60*</v>
      </c>
      <c r="G30" s="3" t="str">
        <f t="shared" si="2"/>
        <v>Sheets(*checklijstDVSA*).Range(PosSelectKnopWerking).Value = SelectKnopWerking</v>
      </c>
    </row>
    <row r="31" spans="1:7">
      <c r="A31" s="19" t="str">
        <f t="shared" si="0"/>
        <v>PosVoedingOpladenBatterijspanning</v>
      </c>
      <c r="B31" s="19" t="s">
        <v>425</v>
      </c>
      <c r="C31" t="s">
        <v>409</v>
      </c>
      <c r="D31" s="19" t="s">
        <v>396</v>
      </c>
      <c r="E31" s="3" t="str">
        <f t="shared" si="1"/>
        <v>=*a61*</v>
      </c>
      <c r="G31" s="3" t="str">
        <f t="shared" si="2"/>
        <v>Sheets(*checklijstDVSA*).Range(PosVoedingOpladenBatterijspanning).Value = VoedingOpladenBatterijspanning</v>
      </c>
    </row>
    <row r="32" spans="1:7">
      <c r="A32" s="19" t="str">
        <f t="shared" si="0"/>
        <v>PosMeegeleverdeAdapterWerking</v>
      </c>
      <c r="B32" s="19" t="s">
        <v>425</v>
      </c>
      <c r="C32" t="s">
        <v>422</v>
      </c>
      <c r="D32" s="19" t="s">
        <v>397</v>
      </c>
      <c r="E32" s="3" t="str">
        <f t="shared" si="1"/>
        <v>=*a62*</v>
      </c>
      <c r="G32" s="3" t="str">
        <f t="shared" si="2"/>
        <v>Sheets(*checklijstDVSA*).Range(PosMeegeleverdeAdapterWerking).Value = MeegeleverdeAdapterWerking</v>
      </c>
    </row>
    <row r="33" spans="1:7">
      <c r="A33" s="19" t="str">
        <f t="shared" si="0"/>
        <v>PosBluetoothWerking15m</v>
      </c>
      <c r="B33" s="19" t="s">
        <v>425</v>
      </c>
      <c r="C33" t="s">
        <v>423</v>
      </c>
      <c r="D33" s="19" t="s">
        <v>398</v>
      </c>
      <c r="E33" s="3" t="str">
        <f t="shared" si="1"/>
        <v>=*a63*</v>
      </c>
      <c r="G33" s="3" t="str">
        <f t="shared" si="2"/>
        <v>Sheets(*checklijstDVSA*).Range(PosBluetoothWerking15m).Value = BluetoothWerking15m</v>
      </c>
    </row>
    <row r="34" spans="1:7">
      <c r="A34" s="19" t="str">
        <f t="shared" si="0"/>
        <v>Xxx</v>
      </c>
      <c r="C34" t="s">
        <v>424</v>
      </c>
      <c r="D34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P34"/>
  <sheetViews>
    <sheetView topLeftCell="A5" zoomScale="160" zoomScaleNormal="160" workbookViewId="0">
      <selection activeCell="G19" sqref="G19"/>
    </sheetView>
  </sheetViews>
  <sheetFormatPr defaultRowHeight="15"/>
  <cols>
    <col min="13" max="16" width="4.28515625" customWidth="1"/>
  </cols>
  <sheetData>
    <row r="1" spans="1:16">
      <c r="A1" t="s">
        <v>357</v>
      </c>
      <c r="D1" t="s">
        <v>487</v>
      </c>
    </row>
    <row r="2" spans="1:16">
      <c r="A2" t="s">
        <v>426</v>
      </c>
      <c r="B2" t="s">
        <v>427</v>
      </c>
    </row>
    <row r="3" spans="1:16">
      <c r="A3" t="s">
        <v>428</v>
      </c>
      <c r="B3" t="s">
        <v>429</v>
      </c>
    </row>
    <row r="4" spans="1:16">
      <c r="A4" t="s">
        <v>430</v>
      </c>
      <c r="B4" t="s">
        <v>431</v>
      </c>
    </row>
    <row r="5" spans="1:16">
      <c r="A5" t="s">
        <v>432</v>
      </c>
      <c r="B5" t="s">
        <v>433</v>
      </c>
    </row>
    <row r="6" spans="1:16">
      <c r="A6" t="s">
        <v>434</v>
      </c>
      <c r="B6" t="s">
        <v>435</v>
      </c>
    </row>
    <row r="7" spans="1:16">
      <c r="A7" t="s">
        <v>436</v>
      </c>
      <c r="B7" t="s">
        <v>437</v>
      </c>
    </row>
    <row r="8" spans="1:16" ht="15.75" thickBot="1">
      <c r="A8" t="s">
        <v>438</v>
      </c>
      <c r="B8" t="s">
        <v>439</v>
      </c>
    </row>
    <row r="9" spans="1:16">
      <c r="A9" t="s">
        <v>440</v>
      </c>
      <c r="B9" t="s">
        <v>441</v>
      </c>
      <c r="M9" s="30"/>
      <c r="N9" s="31"/>
      <c r="O9" s="31"/>
      <c r="P9" s="32"/>
    </row>
    <row r="10" spans="1:16">
      <c r="A10" t="s">
        <v>442</v>
      </c>
      <c r="B10" t="s">
        <v>443</v>
      </c>
      <c r="M10" s="33"/>
      <c r="N10" s="34"/>
      <c r="O10" s="34"/>
      <c r="P10" s="35"/>
    </row>
    <row r="11" spans="1:16">
      <c r="A11" t="s">
        <v>444</v>
      </c>
      <c r="B11" t="s">
        <v>445</v>
      </c>
      <c r="M11" s="33"/>
      <c r="N11" s="34"/>
      <c r="O11" s="34"/>
      <c r="P11" s="35"/>
    </row>
    <row r="12" spans="1:16">
      <c r="A12" t="s">
        <v>446</v>
      </c>
      <c r="B12" t="s">
        <v>447</v>
      </c>
      <c r="M12" s="33"/>
      <c r="N12" s="34"/>
      <c r="O12" s="34"/>
      <c r="P12" s="35"/>
    </row>
    <row r="13" spans="1:16">
      <c r="A13" t="s">
        <v>448</v>
      </c>
      <c r="B13" t="s">
        <v>449</v>
      </c>
      <c r="M13" s="33"/>
      <c r="N13" s="34"/>
      <c r="O13" s="34"/>
      <c r="P13" s="35"/>
    </row>
    <row r="14" spans="1:16">
      <c r="A14" t="s">
        <v>450</v>
      </c>
      <c r="B14" t="s">
        <v>451</v>
      </c>
      <c r="M14" s="33"/>
      <c r="N14" s="34"/>
      <c r="O14" s="34"/>
      <c r="P14" s="35"/>
    </row>
    <row r="15" spans="1:16">
      <c r="A15" t="s">
        <v>452</v>
      </c>
      <c r="B15" t="s">
        <v>453</v>
      </c>
      <c r="M15" s="33"/>
      <c r="N15" s="34"/>
      <c r="O15" s="34"/>
      <c r="P15" s="35"/>
    </row>
    <row r="16" spans="1:16">
      <c r="A16" t="s">
        <v>454</v>
      </c>
      <c r="B16" t="s">
        <v>455</v>
      </c>
      <c r="M16" s="33"/>
      <c r="N16" s="34"/>
      <c r="O16" s="34"/>
      <c r="P16" s="35"/>
    </row>
    <row r="17" spans="1:16">
      <c r="A17" t="s">
        <v>456</v>
      </c>
      <c r="B17" t="s">
        <v>457</v>
      </c>
      <c r="M17" s="33"/>
      <c r="N17" s="34"/>
      <c r="O17" s="34"/>
      <c r="P17" s="35"/>
    </row>
    <row r="18" spans="1:16">
      <c r="A18" t="s">
        <v>458</v>
      </c>
      <c r="B18" t="s">
        <v>459</v>
      </c>
      <c r="M18" s="33"/>
      <c r="N18" s="34"/>
      <c r="O18" s="34"/>
      <c r="P18" s="35"/>
    </row>
    <row r="19" spans="1:16">
      <c r="A19" t="s">
        <v>460</v>
      </c>
      <c r="B19" t="s">
        <v>461</v>
      </c>
      <c r="M19" s="33"/>
      <c r="N19" s="34"/>
      <c r="O19" s="34"/>
      <c r="P19" s="35"/>
    </row>
    <row r="20" spans="1:16" ht="15.75" thickBot="1">
      <c r="A20" t="s">
        <v>462</v>
      </c>
      <c r="B20" t="s">
        <v>463</v>
      </c>
      <c r="M20" s="36"/>
      <c r="N20" s="37"/>
      <c r="O20" s="37"/>
      <c r="P20" s="38"/>
    </row>
    <row r="21" spans="1:16">
      <c r="A21" t="s">
        <v>464</v>
      </c>
      <c r="B21" t="s">
        <v>465</v>
      </c>
    </row>
    <row r="22" spans="1:16">
      <c r="A22" t="s">
        <v>466</v>
      </c>
      <c r="B22" t="s">
        <v>467</v>
      </c>
    </row>
    <row r="23" spans="1:16">
      <c r="A23" t="s">
        <v>468</v>
      </c>
      <c r="B23" t="s">
        <v>469</v>
      </c>
    </row>
    <row r="24" spans="1:16">
      <c r="A24" t="s">
        <v>470</v>
      </c>
      <c r="B24" t="s">
        <v>471</v>
      </c>
    </row>
    <row r="25" spans="1:16">
      <c r="A25" t="s">
        <v>472</v>
      </c>
      <c r="B25" t="s">
        <v>473</v>
      </c>
    </row>
    <row r="26" spans="1:16">
      <c r="A26" t="s">
        <v>474</v>
      </c>
      <c r="B26" t="s">
        <v>475</v>
      </c>
    </row>
    <row r="27" spans="1:16">
      <c r="A27" t="s">
        <v>434</v>
      </c>
      <c r="B27" t="s">
        <v>476</v>
      </c>
    </row>
    <row r="28" spans="1:16">
      <c r="A28" t="s">
        <v>477</v>
      </c>
      <c r="B28" t="s">
        <v>478</v>
      </c>
    </row>
    <row r="29" spans="1:16">
      <c r="A29" t="s">
        <v>479</v>
      </c>
      <c r="B29" t="s">
        <v>480</v>
      </c>
    </row>
    <row r="30" spans="1:16">
      <c r="A30" t="s">
        <v>464</v>
      </c>
      <c r="B30" t="s">
        <v>481</v>
      </c>
    </row>
    <row r="31" spans="1:16">
      <c r="A31" t="s">
        <v>454</v>
      </c>
      <c r="B31" t="s">
        <v>482</v>
      </c>
    </row>
    <row r="32" spans="1:16">
      <c r="A32" t="s">
        <v>483</v>
      </c>
      <c r="B32" t="s">
        <v>484</v>
      </c>
    </row>
    <row r="33" spans="1:2">
      <c r="A33" t="s">
        <v>485</v>
      </c>
      <c r="B33" t="s">
        <v>486</v>
      </c>
    </row>
    <row r="34" spans="1:2">
      <c r="A34" t="s">
        <v>424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BE91"/>
  <sheetViews>
    <sheetView topLeftCell="A63" workbookViewId="0">
      <selection activeCell="L91" sqref="L91:M91"/>
    </sheetView>
  </sheetViews>
  <sheetFormatPr defaultRowHeight="15"/>
  <cols>
    <col min="4" max="4" width="19" bestFit="1" customWidth="1"/>
    <col min="13" max="13" width="35.140625" bestFit="1" customWidth="1"/>
    <col min="14" max="14" width="28" bestFit="1" customWidth="1"/>
    <col min="15" max="15" width="60.5703125" bestFit="1" customWidth="1"/>
    <col min="16" max="16" width="21" bestFit="1" customWidth="1"/>
    <col min="17" max="17" width="16" bestFit="1" customWidth="1"/>
    <col min="18" max="18" width="10.5703125" bestFit="1" customWidth="1"/>
  </cols>
  <sheetData>
    <row r="1" spans="1:21" ht="18.75">
      <c r="A1" s="42" t="s">
        <v>497</v>
      </c>
      <c r="B1" s="42" t="s">
        <v>498</v>
      </c>
      <c r="C1" s="42" t="s">
        <v>496</v>
      </c>
      <c r="D1" s="42" t="s">
        <v>503</v>
      </c>
      <c r="E1" s="42" t="s">
        <v>504</v>
      </c>
      <c r="F1" s="42" t="s">
        <v>505</v>
      </c>
      <c r="G1" s="42" t="s">
        <v>499</v>
      </c>
      <c r="H1" s="42" t="s">
        <v>500</v>
      </c>
      <c r="I1" s="42" t="s">
        <v>501</v>
      </c>
      <c r="J1" s="42" t="s">
        <v>502</v>
      </c>
      <c r="K1" s="42" t="s">
        <v>506</v>
      </c>
      <c r="L1" s="42" t="s">
        <v>507</v>
      </c>
    </row>
    <row r="5" spans="1:21" ht="18.75">
      <c r="D5" s="42" t="s">
        <v>497</v>
      </c>
    </row>
    <row r="6" spans="1:21" ht="18.75">
      <c r="D6" s="42" t="s">
        <v>498</v>
      </c>
    </row>
    <row r="7" spans="1:21" ht="18.75">
      <c r="D7" s="42" t="s">
        <v>512</v>
      </c>
    </row>
    <row r="8" spans="1:21" ht="18.75">
      <c r="D8" s="42" t="s">
        <v>503</v>
      </c>
    </row>
    <row r="9" spans="1:21" ht="18.75">
      <c r="D9" s="42" t="s">
        <v>504</v>
      </c>
    </row>
    <row r="10" spans="1:21" ht="18.75">
      <c r="D10" s="42" t="s">
        <v>505</v>
      </c>
    </row>
    <row r="11" spans="1:21" ht="18.75">
      <c r="D11" s="42" t="s">
        <v>499</v>
      </c>
    </row>
    <row r="12" spans="1:21" ht="18.75">
      <c r="D12" s="42" t="s">
        <v>500</v>
      </c>
    </row>
    <row r="13" spans="1:21" ht="18.75">
      <c r="D13" s="42" t="s">
        <v>501</v>
      </c>
      <c r="J13" t="s">
        <v>516</v>
      </c>
      <c r="K13" t="s">
        <v>517</v>
      </c>
      <c r="L13" t="s">
        <v>518</v>
      </c>
      <c r="M13" t="s">
        <v>519</v>
      </c>
      <c r="N13" t="s">
        <v>520</v>
      </c>
      <c r="O13" t="s">
        <v>521</v>
      </c>
      <c r="P13" t="s">
        <v>522</v>
      </c>
      <c r="Q13" t="s">
        <v>523</v>
      </c>
      <c r="R13" t="s">
        <v>524</v>
      </c>
      <c r="S13" t="s">
        <v>525</v>
      </c>
      <c r="T13" t="s">
        <v>526</v>
      </c>
    </row>
    <row r="14" spans="1:21" ht="18.75">
      <c r="D14" s="42" t="s">
        <v>502</v>
      </c>
      <c r="K14" t="s">
        <v>527</v>
      </c>
      <c r="L14" t="s">
        <v>528</v>
      </c>
      <c r="M14" t="s">
        <v>108</v>
      </c>
      <c r="N14" t="s">
        <v>117</v>
      </c>
      <c r="O14" t="s">
        <v>118</v>
      </c>
      <c r="P14" t="s">
        <v>529</v>
      </c>
      <c r="Q14" t="s">
        <v>530</v>
      </c>
      <c r="R14" t="s">
        <v>531</v>
      </c>
      <c r="S14" t="s">
        <v>532</v>
      </c>
      <c r="T14" t="s">
        <v>533</v>
      </c>
      <c r="U14" t="s">
        <v>532</v>
      </c>
    </row>
    <row r="15" spans="1:21" ht="18.75">
      <c r="D15" s="42" t="s">
        <v>506</v>
      </c>
      <c r="K15" t="s">
        <v>534</v>
      </c>
      <c r="L15" t="s">
        <v>528</v>
      </c>
      <c r="M15" t="s">
        <v>535</v>
      </c>
      <c r="N15" t="s">
        <v>536</v>
      </c>
      <c r="O15" t="s">
        <v>537</v>
      </c>
      <c r="P15" t="s">
        <v>538</v>
      </c>
      <c r="Q15" t="s">
        <v>539</v>
      </c>
      <c r="R15" t="s">
        <v>328</v>
      </c>
      <c r="S15" t="s">
        <v>540</v>
      </c>
      <c r="T15" t="s">
        <v>533</v>
      </c>
      <c r="U15" t="s">
        <v>540</v>
      </c>
    </row>
    <row r="16" spans="1:21" ht="18.75">
      <c r="D16" s="42" t="s">
        <v>507</v>
      </c>
      <c r="J16" t="s">
        <v>516</v>
      </c>
      <c r="K16" t="s">
        <v>534</v>
      </c>
      <c r="L16" t="s">
        <v>528</v>
      </c>
      <c r="M16" t="s">
        <v>121</v>
      </c>
      <c r="N16" t="s">
        <v>122</v>
      </c>
      <c r="O16" t="s">
        <v>123</v>
      </c>
      <c r="P16" t="s">
        <v>541</v>
      </c>
      <c r="Q16" t="s">
        <v>542</v>
      </c>
      <c r="R16" t="s">
        <v>543</v>
      </c>
      <c r="S16" t="s">
        <v>544</v>
      </c>
      <c r="T16" t="s">
        <v>533</v>
      </c>
      <c r="U16" t="s">
        <v>544</v>
      </c>
    </row>
    <row r="17" spans="10:21">
      <c r="K17" t="s">
        <v>534</v>
      </c>
      <c r="L17" t="s">
        <v>528</v>
      </c>
      <c r="M17" t="s">
        <v>124</v>
      </c>
      <c r="N17" t="s">
        <v>125</v>
      </c>
      <c r="O17" t="s">
        <v>126</v>
      </c>
      <c r="P17" t="str">
        <f>"0000000135184"</f>
        <v>0000000135184</v>
      </c>
      <c r="Q17" t="s">
        <v>545</v>
      </c>
      <c r="R17" t="s">
        <v>546</v>
      </c>
      <c r="S17" t="s">
        <v>547</v>
      </c>
      <c r="T17" t="s">
        <v>533</v>
      </c>
      <c r="U17" t="s">
        <v>547</v>
      </c>
    </row>
    <row r="18" spans="10:21">
      <c r="J18" t="s">
        <v>516</v>
      </c>
      <c r="K18" t="s">
        <v>534</v>
      </c>
      <c r="L18" t="s">
        <v>528</v>
      </c>
      <c r="M18" t="s">
        <v>145</v>
      </c>
      <c r="N18" t="s">
        <v>548</v>
      </c>
      <c r="O18" t="s">
        <v>549</v>
      </c>
      <c r="P18" t="s">
        <v>550</v>
      </c>
      <c r="Q18" t="s">
        <v>542</v>
      </c>
      <c r="R18" t="s">
        <v>543</v>
      </c>
      <c r="S18" t="s">
        <v>551</v>
      </c>
      <c r="T18" t="s">
        <v>533</v>
      </c>
      <c r="U18" t="s">
        <v>551</v>
      </c>
    </row>
    <row r="19" spans="10:21">
      <c r="K19" t="s">
        <v>552</v>
      </c>
      <c r="L19" t="s">
        <v>528</v>
      </c>
      <c r="M19" t="s">
        <v>156</v>
      </c>
      <c r="N19" t="s">
        <v>159</v>
      </c>
      <c r="O19" t="s">
        <v>160</v>
      </c>
      <c r="P19" t="s">
        <v>553</v>
      </c>
      <c r="Q19" t="s">
        <v>530</v>
      </c>
      <c r="R19" t="s">
        <v>531</v>
      </c>
      <c r="S19" t="s">
        <v>554</v>
      </c>
      <c r="T19" t="s">
        <v>533</v>
      </c>
      <c r="U19" t="s">
        <v>554</v>
      </c>
    </row>
    <row r="20" spans="10:21">
      <c r="K20" t="s">
        <v>555</v>
      </c>
      <c r="L20" t="s">
        <v>528</v>
      </c>
      <c r="M20" t="s">
        <v>156</v>
      </c>
      <c r="N20" t="s">
        <v>161</v>
      </c>
      <c r="O20" t="s">
        <v>162</v>
      </c>
      <c r="P20" t="s">
        <v>556</v>
      </c>
      <c r="Q20" t="s">
        <v>530</v>
      </c>
      <c r="R20" t="s">
        <v>531</v>
      </c>
      <c r="S20" t="s">
        <v>557</v>
      </c>
      <c r="T20" t="s">
        <v>533</v>
      </c>
      <c r="U20" t="s">
        <v>557</v>
      </c>
    </row>
    <row r="21" spans="10:21">
      <c r="K21" t="s">
        <v>558</v>
      </c>
      <c r="L21" t="s">
        <v>528</v>
      </c>
      <c r="M21" t="s">
        <v>156</v>
      </c>
      <c r="N21" t="s">
        <v>163</v>
      </c>
      <c r="O21" t="s">
        <v>164</v>
      </c>
      <c r="P21" t="s">
        <v>559</v>
      </c>
      <c r="Q21" t="s">
        <v>530</v>
      </c>
      <c r="R21" t="s">
        <v>531</v>
      </c>
      <c r="S21" t="s">
        <v>560</v>
      </c>
      <c r="T21" t="s">
        <v>533</v>
      </c>
      <c r="U21" t="s">
        <v>560</v>
      </c>
    </row>
    <row r="22" spans="10:21">
      <c r="K22" t="s">
        <v>527</v>
      </c>
      <c r="L22" t="s">
        <v>528</v>
      </c>
      <c r="M22" t="s">
        <v>156</v>
      </c>
      <c r="N22" t="s">
        <v>561</v>
      </c>
      <c r="O22" t="s">
        <v>562</v>
      </c>
      <c r="P22" t="s">
        <v>563</v>
      </c>
      <c r="Q22" t="s">
        <v>530</v>
      </c>
      <c r="R22" t="s">
        <v>531</v>
      </c>
      <c r="S22" t="s">
        <v>554</v>
      </c>
      <c r="T22" t="s">
        <v>533</v>
      </c>
      <c r="U22" t="s">
        <v>554</v>
      </c>
    </row>
    <row r="23" spans="10:21">
      <c r="K23" t="s">
        <v>564</v>
      </c>
      <c r="L23" t="s">
        <v>528</v>
      </c>
      <c r="M23" t="s">
        <v>156</v>
      </c>
      <c r="N23" t="s">
        <v>565</v>
      </c>
      <c r="O23" t="s">
        <v>566</v>
      </c>
      <c r="P23" t="s">
        <v>567</v>
      </c>
      <c r="Q23" t="s">
        <v>530</v>
      </c>
      <c r="R23" t="s">
        <v>531</v>
      </c>
      <c r="S23" t="s">
        <v>568</v>
      </c>
      <c r="T23" t="s">
        <v>533</v>
      </c>
      <c r="U23" t="s">
        <v>568</v>
      </c>
    </row>
    <row r="24" spans="10:21">
      <c r="K24" t="s">
        <v>555</v>
      </c>
      <c r="L24" t="s">
        <v>528</v>
      </c>
      <c r="M24" t="s">
        <v>569</v>
      </c>
      <c r="N24" t="s">
        <v>570</v>
      </c>
      <c r="O24" t="s">
        <v>571</v>
      </c>
      <c r="P24" t="str">
        <f>"0000000128261"</f>
        <v>0000000128261</v>
      </c>
      <c r="Q24" t="s">
        <v>530</v>
      </c>
      <c r="R24" t="s">
        <v>531</v>
      </c>
      <c r="S24" t="s">
        <v>572</v>
      </c>
      <c r="T24" t="s">
        <v>533</v>
      </c>
      <c r="U24" t="s">
        <v>572</v>
      </c>
    </row>
    <row r="25" spans="10:21">
      <c r="K25" t="s">
        <v>534</v>
      </c>
      <c r="L25" t="s">
        <v>528</v>
      </c>
      <c r="M25" t="s">
        <v>573</v>
      </c>
      <c r="N25" t="s">
        <v>574</v>
      </c>
      <c r="O25" t="s">
        <v>575</v>
      </c>
      <c r="P25" t="s">
        <v>576</v>
      </c>
      <c r="Q25" t="s">
        <v>530</v>
      </c>
      <c r="R25" t="s">
        <v>531</v>
      </c>
      <c r="S25" t="s">
        <v>533</v>
      </c>
      <c r="T25" t="s">
        <v>533</v>
      </c>
      <c r="U25" t="s">
        <v>533</v>
      </c>
    </row>
    <row r="26" spans="10:21">
      <c r="K26" t="s">
        <v>534</v>
      </c>
      <c r="L26" t="s">
        <v>528</v>
      </c>
      <c r="M26" t="s">
        <v>169</v>
      </c>
      <c r="N26" t="s">
        <v>577</v>
      </c>
      <c r="O26" t="s">
        <v>578</v>
      </c>
      <c r="P26" t="s">
        <v>579</v>
      </c>
      <c r="Q26" t="s">
        <v>530</v>
      </c>
      <c r="R26" t="s">
        <v>531</v>
      </c>
      <c r="S26" t="s">
        <v>580</v>
      </c>
      <c r="T26" t="s">
        <v>533</v>
      </c>
      <c r="U26" t="s">
        <v>580</v>
      </c>
    </row>
    <row r="27" spans="10:21">
      <c r="K27" t="s">
        <v>581</v>
      </c>
      <c r="L27" t="s">
        <v>528</v>
      </c>
      <c r="M27" t="s">
        <v>169</v>
      </c>
      <c r="N27" t="s">
        <v>582</v>
      </c>
      <c r="O27" t="s">
        <v>583</v>
      </c>
      <c r="P27" t="s">
        <v>584</v>
      </c>
      <c r="Q27" t="s">
        <v>530</v>
      </c>
      <c r="R27" t="s">
        <v>531</v>
      </c>
      <c r="S27" t="s">
        <v>572</v>
      </c>
      <c r="T27" t="s">
        <v>533</v>
      </c>
      <c r="U27" t="s">
        <v>572</v>
      </c>
    </row>
    <row r="28" spans="10:21">
      <c r="K28" t="s">
        <v>581</v>
      </c>
      <c r="L28" t="s">
        <v>528</v>
      </c>
      <c r="M28" t="s">
        <v>169</v>
      </c>
      <c r="N28" t="s">
        <v>188</v>
      </c>
      <c r="O28" t="s">
        <v>189</v>
      </c>
      <c r="P28" t="s">
        <v>585</v>
      </c>
      <c r="Q28" t="s">
        <v>530</v>
      </c>
      <c r="R28" t="s">
        <v>531</v>
      </c>
      <c r="S28" t="s">
        <v>572</v>
      </c>
      <c r="T28" t="s">
        <v>533</v>
      </c>
      <c r="U28" t="s">
        <v>572</v>
      </c>
    </row>
    <row r="29" spans="10:21">
      <c r="K29" t="s">
        <v>527</v>
      </c>
      <c r="L29" t="s">
        <v>528</v>
      </c>
      <c r="M29" t="s">
        <v>169</v>
      </c>
      <c r="N29" t="s">
        <v>586</v>
      </c>
      <c r="O29" t="s">
        <v>587</v>
      </c>
      <c r="P29" t="s">
        <v>588</v>
      </c>
      <c r="Q29" t="s">
        <v>530</v>
      </c>
      <c r="R29" t="s">
        <v>531</v>
      </c>
      <c r="S29" t="s">
        <v>589</v>
      </c>
      <c r="T29" t="s">
        <v>533</v>
      </c>
      <c r="U29" t="s">
        <v>589</v>
      </c>
    </row>
    <row r="30" spans="10:21">
      <c r="K30" t="s">
        <v>527</v>
      </c>
      <c r="L30" t="s">
        <v>528</v>
      </c>
      <c r="M30" t="s">
        <v>169</v>
      </c>
      <c r="N30" t="s">
        <v>190</v>
      </c>
      <c r="O30" t="s">
        <v>191</v>
      </c>
      <c r="P30" t="s">
        <v>590</v>
      </c>
      <c r="Q30" t="s">
        <v>530</v>
      </c>
      <c r="R30" t="s">
        <v>531</v>
      </c>
      <c r="S30" t="s">
        <v>557</v>
      </c>
      <c r="T30" t="s">
        <v>533</v>
      </c>
      <c r="U30" t="s">
        <v>557</v>
      </c>
    </row>
    <row r="31" spans="10:21">
      <c r="K31" t="s">
        <v>534</v>
      </c>
      <c r="L31" t="s">
        <v>528</v>
      </c>
      <c r="M31" t="s">
        <v>87</v>
      </c>
      <c r="N31" t="s">
        <v>591</v>
      </c>
      <c r="O31" t="s">
        <v>592</v>
      </c>
      <c r="P31" t="s">
        <v>593</v>
      </c>
      <c r="Q31" t="s">
        <v>542</v>
      </c>
      <c r="R31" t="s">
        <v>543</v>
      </c>
      <c r="S31" t="s">
        <v>594</v>
      </c>
      <c r="T31" t="s">
        <v>533</v>
      </c>
      <c r="U31" t="s">
        <v>594</v>
      </c>
    </row>
    <row r="32" spans="10:21">
      <c r="K32" t="s">
        <v>534</v>
      </c>
      <c r="L32" t="s">
        <v>528</v>
      </c>
      <c r="M32" t="s">
        <v>87</v>
      </c>
      <c r="N32" t="s">
        <v>192</v>
      </c>
      <c r="O32" t="s">
        <v>193</v>
      </c>
      <c r="P32" t="s">
        <v>595</v>
      </c>
      <c r="Q32" t="s">
        <v>542</v>
      </c>
      <c r="R32" t="s">
        <v>543</v>
      </c>
      <c r="S32" t="s">
        <v>596</v>
      </c>
      <c r="T32" t="s">
        <v>533</v>
      </c>
      <c r="U32" t="s">
        <v>596</v>
      </c>
    </row>
    <row r="33" spans="10:21">
      <c r="K33" t="s">
        <v>555</v>
      </c>
      <c r="L33" t="s">
        <v>528</v>
      </c>
      <c r="M33" t="s">
        <v>87</v>
      </c>
      <c r="N33" t="s">
        <v>194</v>
      </c>
      <c r="O33" t="s">
        <v>195</v>
      </c>
      <c r="P33" t="s">
        <v>597</v>
      </c>
      <c r="Q33" t="s">
        <v>542</v>
      </c>
      <c r="R33" t="s">
        <v>543</v>
      </c>
      <c r="S33" t="s">
        <v>598</v>
      </c>
      <c r="T33" t="s">
        <v>533</v>
      </c>
      <c r="U33" t="s">
        <v>598</v>
      </c>
    </row>
    <row r="34" spans="10:21">
      <c r="K34" t="s">
        <v>527</v>
      </c>
      <c r="L34" t="s">
        <v>528</v>
      </c>
      <c r="M34" t="s">
        <v>87</v>
      </c>
      <c r="N34" t="s">
        <v>196</v>
      </c>
      <c r="O34" t="s">
        <v>197</v>
      </c>
      <c r="P34" t="s">
        <v>599</v>
      </c>
      <c r="Q34" t="s">
        <v>542</v>
      </c>
      <c r="R34" t="s">
        <v>543</v>
      </c>
      <c r="S34" t="s">
        <v>527</v>
      </c>
      <c r="T34" t="s">
        <v>533</v>
      </c>
      <c r="U34" t="s">
        <v>527</v>
      </c>
    </row>
    <row r="35" spans="10:21">
      <c r="K35" t="s">
        <v>534</v>
      </c>
      <c r="L35" t="s">
        <v>528</v>
      </c>
      <c r="M35" t="s">
        <v>87</v>
      </c>
      <c r="N35" t="s">
        <v>600</v>
      </c>
      <c r="O35" t="s">
        <v>601</v>
      </c>
      <c r="P35" t="str">
        <f>"0000000128933"</f>
        <v>0000000128933</v>
      </c>
      <c r="Q35" t="s">
        <v>542</v>
      </c>
      <c r="R35" t="s">
        <v>543</v>
      </c>
      <c r="S35" t="s">
        <v>602</v>
      </c>
      <c r="T35" t="s">
        <v>533</v>
      </c>
      <c r="U35" t="s">
        <v>602</v>
      </c>
    </row>
    <row r="36" spans="10:21">
      <c r="J36" t="s">
        <v>516</v>
      </c>
      <c r="K36" t="s">
        <v>534</v>
      </c>
      <c r="L36" t="s">
        <v>528</v>
      </c>
      <c r="M36" t="s">
        <v>78</v>
      </c>
      <c r="N36" t="s">
        <v>603</v>
      </c>
      <c r="O36" t="s">
        <v>604</v>
      </c>
      <c r="P36" t="str">
        <f>"0000000132596"</f>
        <v>0000000132596</v>
      </c>
      <c r="Q36" t="s">
        <v>542</v>
      </c>
      <c r="R36" t="s">
        <v>543</v>
      </c>
      <c r="S36" t="s">
        <v>605</v>
      </c>
      <c r="T36" t="s">
        <v>533</v>
      </c>
      <c r="U36" t="s">
        <v>605</v>
      </c>
    </row>
    <row r="37" spans="10:21">
      <c r="J37" t="s">
        <v>516</v>
      </c>
      <c r="K37" t="s">
        <v>534</v>
      </c>
      <c r="L37" t="s">
        <v>528</v>
      </c>
      <c r="M37" t="s">
        <v>78</v>
      </c>
      <c r="N37" t="s">
        <v>606</v>
      </c>
      <c r="O37" t="s">
        <v>607</v>
      </c>
      <c r="P37" t="str">
        <f>"0000000132602"</f>
        <v>0000000132602</v>
      </c>
      <c r="Q37" t="s">
        <v>542</v>
      </c>
      <c r="R37" t="s">
        <v>543</v>
      </c>
      <c r="S37" t="s">
        <v>608</v>
      </c>
      <c r="T37" t="s">
        <v>533</v>
      </c>
      <c r="U37" t="s">
        <v>608</v>
      </c>
    </row>
    <row r="38" spans="10:21">
      <c r="J38" t="s">
        <v>516</v>
      </c>
      <c r="K38" t="s">
        <v>555</v>
      </c>
      <c r="L38" t="s">
        <v>528</v>
      </c>
      <c r="M38" t="s">
        <v>78</v>
      </c>
      <c r="N38" t="s">
        <v>609</v>
      </c>
      <c r="O38" t="s">
        <v>610</v>
      </c>
      <c r="P38" t="s">
        <v>611</v>
      </c>
      <c r="Q38" t="s">
        <v>542</v>
      </c>
      <c r="R38" t="s">
        <v>543</v>
      </c>
      <c r="S38" t="s">
        <v>612</v>
      </c>
      <c r="T38" t="s">
        <v>533</v>
      </c>
      <c r="U38" t="s">
        <v>612</v>
      </c>
    </row>
    <row r="39" spans="10:21">
      <c r="J39" t="s">
        <v>516</v>
      </c>
      <c r="K39" t="s">
        <v>613</v>
      </c>
      <c r="L39" t="s">
        <v>528</v>
      </c>
      <c r="M39" t="s">
        <v>78</v>
      </c>
      <c r="N39" t="s">
        <v>614</v>
      </c>
      <c r="O39" t="s">
        <v>615</v>
      </c>
      <c r="P39" t="s">
        <v>616</v>
      </c>
      <c r="Q39" t="s">
        <v>542</v>
      </c>
      <c r="R39" t="s">
        <v>543</v>
      </c>
      <c r="S39" t="s">
        <v>617</v>
      </c>
      <c r="T39" t="s">
        <v>533</v>
      </c>
      <c r="U39" t="s">
        <v>617</v>
      </c>
    </row>
    <row r="40" spans="10:21">
      <c r="J40" t="s">
        <v>516</v>
      </c>
      <c r="K40" t="s">
        <v>534</v>
      </c>
      <c r="L40" t="s">
        <v>528</v>
      </c>
      <c r="M40" t="s">
        <v>78</v>
      </c>
      <c r="N40" t="s">
        <v>249</v>
      </c>
      <c r="O40" t="s">
        <v>250</v>
      </c>
      <c r="P40" t="str">
        <f>"0000000329774"</f>
        <v>0000000329774</v>
      </c>
      <c r="Q40" t="s">
        <v>542</v>
      </c>
      <c r="R40" t="s">
        <v>543</v>
      </c>
      <c r="S40" t="s">
        <v>618</v>
      </c>
      <c r="T40" t="s">
        <v>533</v>
      </c>
      <c r="U40" t="s">
        <v>618</v>
      </c>
    </row>
    <row r="41" spans="10:21">
      <c r="J41" t="s">
        <v>516</v>
      </c>
      <c r="K41" t="s">
        <v>534</v>
      </c>
      <c r="L41" t="s">
        <v>528</v>
      </c>
      <c r="M41" t="s">
        <v>255</v>
      </c>
      <c r="N41" t="s">
        <v>256</v>
      </c>
      <c r="O41" t="s">
        <v>257</v>
      </c>
      <c r="P41" t="s">
        <v>619</v>
      </c>
      <c r="Q41" t="s">
        <v>542</v>
      </c>
      <c r="R41" t="s">
        <v>543</v>
      </c>
      <c r="S41" t="s">
        <v>620</v>
      </c>
      <c r="T41" t="s">
        <v>533</v>
      </c>
      <c r="U41" t="s">
        <v>620</v>
      </c>
    </row>
    <row r="42" spans="10:21">
      <c r="J42" t="s">
        <v>516</v>
      </c>
      <c r="K42" t="s">
        <v>534</v>
      </c>
      <c r="L42" t="s">
        <v>528</v>
      </c>
      <c r="M42" t="s">
        <v>255</v>
      </c>
      <c r="N42" t="s">
        <v>621</v>
      </c>
      <c r="O42" t="s">
        <v>622</v>
      </c>
      <c r="P42" t="str">
        <f>"0000000329767"</f>
        <v>0000000329767</v>
      </c>
      <c r="Q42" t="s">
        <v>542</v>
      </c>
      <c r="R42" t="s">
        <v>543</v>
      </c>
      <c r="S42" t="s">
        <v>623</v>
      </c>
      <c r="T42" t="s">
        <v>533</v>
      </c>
      <c r="U42" t="s">
        <v>623</v>
      </c>
    </row>
    <row r="43" spans="10:21">
      <c r="J43" t="s">
        <v>516</v>
      </c>
      <c r="K43" t="s">
        <v>534</v>
      </c>
      <c r="L43" t="s">
        <v>528</v>
      </c>
      <c r="M43" t="s">
        <v>255</v>
      </c>
      <c r="N43" t="s">
        <v>260</v>
      </c>
      <c r="O43" t="s">
        <v>261</v>
      </c>
      <c r="P43" t="s">
        <v>624</v>
      </c>
      <c r="Q43" t="s">
        <v>542</v>
      </c>
      <c r="R43" t="s">
        <v>543</v>
      </c>
      <c r="S43" t="s">
        <v>625</v>
      </c>
      <c r="T43" t="s">
        <v>533</v>
      </c>
      <c r="U43" t="s">
        <v>625</v>
      </c>
    </row>
    <row r="44" spans="10:21">
      <c r="J44" t="s">
        <v>516</v>
      </c>
      <c r="K44" t="s">
        <v>534</v>
      </c>
      <c r="L44" t="s">
        <v>528</v>
      </c>
      <c r="M44" t="s">
        <v>255</v>
      </c>
      <c r="N44" t="s">
        <v>262</v>
      </c>
      <c r="O44" t="s">
        <v>263</v>
      </c>
      <c r="P44" t="s">
        <v>626</v>
      </c>
      <c r="Q44" t="s">
        <v>542</v>
      </c>
      <c r="R44" t="s">
        <v>543</v>
      </c>
      <c r="S44" t="s">
        <v>627</v>
      </c>
      <c r="T44" t="s">
        <v>533</v>
      </c>
      <c r="U44" t="s">
        <v>627</v>
      </c>
    </row>
    <row r="45" spans="10:21">
      <c r="J45" t="s">
        <v>516</v>
      </c>
      <c r="K45" t="s">
        <v>534</v>
      </c>
      <c r="L45" t="s">
        <v>528</v>
      </c>
      <c r="M45" t="s">
        <v>255</v>
      </c>
      <c r="N45" t="s">
        <v>628</v>
      </c>
      <c r="O45" t="s">
        <v>629</v>
      </c>
      <c r="P45" t="str">
        <f>"0000000100663"</f>
        <v>0000000100663</v>
      </c>
      <c r="Q45" t="s">
        <v>542</v>
      </c>
      <c r="R45" t="s">
        <v>543</v>
      </c>
      <c r="S45" t="s">
        <v>630</v>
      </c>
      <c r="T45" t="s">
        <v>533</v>
      </c>
      <c r="U45" t="s">
        <v>630</v>
      </c>
    </row>
    <row r="46" spans="10:21">
      <c r="J46" t="s">
        <v>516</v>
      </c>
      <c r="K46" t="s">
        <v>534</v>
      </c>
      <c r="L46" t="s">
        <v>528</v>
      </c>
      <c r="M46" t="s">
        <v>255</v>
      </c>
      <c r="N46" t="s">
        <v>631</v>
      </c>
      <c r="O46" t="s">
        <v>632</v>
      </c>
      <c r="P46" t="str">
        <f>"0000000131810"</f>
        <v>0000000131810</v>
      </c>
      <c r="Q46" t="s">
        <v>542</v>
      </c>
      <c r="R46" t="s">
        <v>543</v>
      </c>
      <c r="S46" t="s">
        <v>633</v>
      </c>
      <c r="T46" t="s">
        <v>533</v>
      </c>
      <c r="U46" t="s">
        <v>633</v>
      </c>
    </row>
    <row r="47" spans="10:21">
      <c r="J47" t="s">
        <v>516</v>
      </c>
      <c r="K47" t="s">
        <v>534</v>
      </c>
      <c r="L47" t="s">
        <v>528</v>
      </c>
      <c r="M47" t="s">
        <v>75</v>
      </c>
      <c r="N47" t="s">
        <v>76</v>
      </c>
      <c r="O47" t="s">
        <v>634</v>
      </c>
      <c r="P47" t="str">
        <f>"0000000135511"</f>
        <v>0000000135511</v>
      </c>
      <c r="Q47" t="s">
        <v>542</v>
      </c>
      <c r="R47" t="s">
        <v>543</v>
      </c>
      <c r="S47" t="s">
        <v>635</v>
      </c>
      <c r="T47" t="s">
        <v>533</v>
      </c>
      <c r="U47" t="s">
        <v>635</v>
      </c>
    </row>
    <row r="48" spans="10:21">
      <c r="J48" t="s">
        <v>516</v>
      </c>
      <c r="K48" t="s">
        <v>534</v>
      </c>
      <c r="L48" t="s">
        <v>528</v>
      </c>
      <c r="M48" t="s">
        <v>75</v>
      </c>
      <c r="N48" t="s">
        <v>636</v>
      </c>
      <c r="O48" t="s">
        <v>637</v>
      </c>
      <c r="P48" t="str">
        <f>"0000000128766"</f>
        <v>0000000128766</v>
      </c>
      <c r="Q48" t="s">
        <v>542</v>
      </c>
      <c r="R48" t="s">
        <v>543</v>
      </c>
      <c r="S48" t="s">
        <v>638</v>
      </c>
      <c r="T48" t="s">
        <v>533</v>
      </c>
      <c r="U48" t="s">
        <v>638</v>
      </c>
    </row>
    <row r="49" spans="10:21">
      <c r="J49" t="s">
        <v>516</v>
      </c>
      <c r="K49" t="s">
        <v>534</v>
      </c>
      <c r="L49" t="s">
        <v>528</v>
      </c>
      <c r="M49" t="s">
        <v>75</v>
      </c>
      <c r="N49" t="s">
        <v>639</v>
      </c>
      <c r="O49" t="s">
        <v>640</v>
      </c>
      <c r="P49" t="str">
        <f>"0000000128247"</f>
        <v>0000000128247</v>
      </c>
      <c r="Q49" t="s">
        <v>542</v>
      </c>
      <c r="R49" t="s">
        <v>543</v>
      </c>
      <c r="S49" t="s">
        <v>641</v>
      </c>
      <c r="T49" t="s">
        <v>533</v>
      </c>
      <c r="U49" t="s">
        <v>641</v>
      </c>
    </row>
    <row r="50" spans="10:21">
      <c r="K50" t="s">
        <v>555</v>
      </c>
      <c r="L50" t="s">
        <v>528</v>
      </c>
      <c r="M50" t="s">
        <v>296</v>
      </c>
      <c r="N50" t="s">
        <v>297</v>
      </c>
      <c r="O50" t="s">
        <v>298</v>
      </c>
      <c r="P50" t="s">
        <v>642</v>
      </c>
      <c r="Q50" t="s">
        <v>539</v>
      </c>
      <c r="R50" t="s">
        <v>643</v>
      </c>
      <c r="S50" t="s">
        <v>644</v>
      </c>
      <c r="T50" t="s">
        <v>533</v>
      </c>
      <c r="U50" t="s">
        <v>644</v>
      </c>
    </row>
    <row r="51" spans="10:21">
      <c r="K51" t="s">
        <v>558</v>
      </c>
      <c r="L51" t="s">
        <v>528</v>
      </c>
      <c r="M51" t="s">
        <v>73</v>
      </c>
      <c r="N51" t="s">
        <v>74</v>
      </c>
      <c r="O51" t="s">
        <v>645</v>
      </c>
      <c r="P51" t="s">
        <v>646</v>
      </c>
      <c r="Q51" t="s">
        <v>530</v>
      </c>
      <c r="R51" t="s">
        <v>647</v>
      </c>
      <c r="S51" t="s">
        <v>648</v>
      </c>
      <c r="T51" t="s">
        <v>533</v>
      </c>
      <c r="U51" t="s">
        <v>648</v>
      </c>
    </row>
    <row r="52" spans="10:21">
      <c r="K52" t="s">
        <v>534</v>
      </c>
      <c r="L52" t="s">
        <v>528</v>
      </c>
      <c r="M52" t="s">
        <v>649</v>
      </c>
      <c r="N52" t="s">
        <v>650</v>
      </c>
      <c r="O52" t="s">
        <v>651</v>
      </c>
      <c r="P52" t="str">
        <f>"0000000128940"</f>
        <v>0000000128940</v>
      </c>
      <c r="Q52" t="s">
        <v>539</v>
      </c>
      <c r="R52" t="s">
        <v>643</v>
      </c>
      <c r="S52" t="s">
        <v>652</v>
      </c>
      <c r="T52" t="s">
        <v>533</v>
      </c>
      <c r="U52" t="s">
        <v>652</v>
      </c>
    </row>
    <row r="53" spans="10:21">
      <c r="K53" t="s">
        <v>534</v>
      </c>
      <c r="L53" t="s">
        <v>528</v>
      </c>
      <c r="M53" t="s">
        <v>649</v>
      </c>
      <c r="N53" t="s">
        <v>653</v>
      </c>
      <c r="O53" t="s">
        <v>654</v>
      </c>
      <c r="P53" t="str">
        <f>"0000000131926"</f>
        <v>0000000131926</v>
      </c>
      <c r="Q53" t="s">
        <v>539</v>
      </c>
      <c r="R53" t="s">
        <v>643</v>
      </c>
      <c r="S53" t="s">
        <v>655</v>
      </c>
      <c r="T53" t="s">
        <v>533</v>
      </c>
      <c r="U53" t="s">
        <v>655</v>
      </c>
    </row>
    <row r="54" spans="10:21">
      <c r="K54" t="s">
        <v>534</v>
      </c>
      <c r="L54" t="s">
        <v>528</v>
      </c>
      <c r="M54" t="s">
        <v>63</v>
      </c>
      <c r="N54" t="s">
        <v>306</v>
      </c>
      <c r="O54" t="s">
        <v>307</v>
      </c>
      <c r="P54" t="s">
        <v>656</v>
      </c>
      <c r="Q54" t="s">
        <v>530</v>
      </c>
      <c r="R54" t="s">
        <v>139</v>
      </c>
      <c r="S54" t="s">
        <v>657</v>
      </c>
      <c r="T54" t="s">
        <v>533</v>
      </c>
      <c r="U54" t="s">
        <v>657</v>
      </c>
    </row>
    <row r="55" spans="10:21">
      <c r="K55" t="s">
        <v>534</v>
      </c>
      <c r="L55" t="s">
        <v>528</v>
      </c>
      <c r="M55" t="s">
        <v>63</v>
      </c>
      <c r="N55" t="s">
        <v>64</v>
      </c>
      <c r="O55" t="s">
        <v>65</v>
      </c>
      <c r="P55" t="s">
        <v>658</v>
      </c>
      <c r="Q55" t="s">
        <v>530</v>
      </c>
      <c r="R55" t="s">
        <v>139</v>
      </c>
      <c r="S55" t="s">
        <v>659</v>
      </c>
      <c r="T55" t="s">
        <v>533</v>
      </c>
      <c r="U55" t="s">
        <v>659</v>
      </c>
    </row>
    <row r="56" spans="10:21">
      <c r="K56" t="s">
        <v>534</v>
      </c>
      <c r="L56" t="s">
        <v>528</v>
      </c>
      <c r="M56" t="s">
        <v>63</v>
      </c>
      <c r="N56" t="s">
        <v>66</v>
      </c>
      <c r="O56" t="s">
        <v>67</v>
      </c>
      <c r="P56" t="s">
        <v>660</v>
      </c>
      <c r="Q56" t="s">
        <v>530</v>
      </c>
      <c r="R56" t="s">
        <v>139</v>
      </c>
      <c r="S56" t="s">
        <v>661</v>
      </c>
      <c r="T56" t="s">
        <v>533</v>
      </c>
      <c r="U56" t="s">
        <v>661</v>
      </c>
    </row>
    <row r="65" spans="11:57">
      <c r="K65" t="s">
        <v>521</v>
      </c>
      <c r="L65" t="s">
        <v>519</v>
      </c>
      <c r="M65" t="s">
        <v>520</v>
      </c>
      <c r="N65" t="s">
        <v>664</v>
      </c>
      <c r="O65" t="s">
        <v>665</v>
      </c>
      <c r="P65" t="s">
        <v>666</v>
      </c>
      <c r="Q65" t="s">
        <v>667</v>
      </c>
      <c r="R65" t="s">
        <v>668</v>
      </c>
      <c r="S65" t="s">
        <v>669</v>
      </c>
      <c r="T65" t="s">
        <v>670</v>
      </c>
      <c r="U65" t="s">
        <v>671</v>
      </c>
      <c r="V65" t="s">
        <v>672</v>
      </c>
      <c r="W65" t="s">
        <v>673</v>
      </c>
      <c r="X65" t="s">
        <v>674</v>
      </c>
      <c r="Y65" t="s">
        <v>675</v>
      </c>
      <c r="Z65" t="s">
        <v>676</v>
      </c>
      <c r="AA65" t="s">
        <v>677</v>
      </c>
      <c r="AB65" t="s">
        <v>678</v>
      </c>
      <c r="AC65" t="s">
        <v>679</v>
      </c>
      <c r="AD65" t="s">
        <v>680</v>
      </c>
      <c r="AE65" t="s">
        <v>681</v>
      </c>
      <c r="AF65" t="s">
        <v>682</v>
      </c>
      <c r="AG65" t="s">
        <v>683</v>
      </c>
      <c r="AH65" t="s">
        <v>684</v>
      </c>
      <c r="AI65" t="s">
        <v>685</v>
      </c>
      <c r="AJ65" t="s">
        <v>686</v>
      </c>
      <c r="AK65" t="s">
        <v>687</v>
      </c>
      <c r="AL65" t="s">
        <v>688</v>
      </c>
      <c r="AM65" t="s">
        <v>689</v>
      </c>
      <c r="AN65" t="s">
        <v>690</v>
      </c>
      <c r="AO65" t="s">
        <v>691</v>
      </c>
      <c r="AP65" t="s">
        <v>692</v>
      </c>
      <c r="AQ65" t="s">
        <v>693</v>
      </c>
      <c r="AR65" t="s">
        <v>694</v>
      </c>
      <c r="AS65" t="s">
        <v>695</v>
      </c>
      <c r="AT65" t="s">
        <v>696</v>
      </c>
      <c r="AU65" t="s">
        <v>697</v>
      </c>
      <c r="AV65" t="s">
        <v>698</v>
      </c>
      <c r="AW65" t="s">
        <v>699</v>
      </c>
      <c r="AX65" t="s">
        <v>700</v>
      </c>
      <c r="AY65" t="s">
        <v>701</v>
      </c>
      <c r="AZ65" t="s">
        <v>702</v>
      </c>
      <c r="BA65" t="s">
        <v>703</v>
      </c>
      <c r="BB65" t="s">
        <v>704</v>
      </c>
      <c r="BC65" t="s">
        <v>705</v>
      </c>
      <c r="BD65" t="s">
        <v>706</v>
      </c>
      <c r="BE65" t="s">
        <v>707</v>
      </c>
    </row>
    <row r="66" spans="11:57">
      <c r="K66" t="s">
        <v>708</v>
      </c>
      <c r="L66" t="s">
        <v>54</v>
      </c>
      <c r="M66" t="s">
        <v>709</v>
      </c>
      <c r="N66" t="s">
        <v>710</v>
      </c>
      <c r="O66" t="str">
        <f>"0000000222167"</f>
        <v>0000000222167</v>
      </c>
      <c r="P66">
        <v>1</v>
      </c>
      <c r="Q66" t="s">
        <v>528</v>
      </c>
      <c r="R66" t="s">
        <v>528</v>
      </c>
      <c r="S66" t="s">
        <v>528</v>
      </c>
      <c r="T66" t="s">
        <v>528</v>
      </c>
      <c r="U66" t="s">
        <v>711</v>
      </c>
      <c r="V66" t="s">
        <v>533</v>
      </c>
      <c r="W66" t="s">
        <v>710</v>
      </c>
      <c r="Y66" t="s">
        <v>533</v>
      </c>
      <c r="Z66" t="s">
        <v>528</v>
      </c>
      <c r="AA66">
        <v>22835</v>
      </c>
      <c r="AB66" t="s">
        <v>712</v>
      </c>
      <c r="AC66" t="s">
        <v>713</v>
      </c>
      <c r="AD66" t="s">
        <v>712</v>
      </c>
      <c r="AE66" t="s">
        <v>713</v>
      </c>
      <c r="AF66" t="s">
        <v>533</v>
      </c>
      <c r="AG66" s="58">
        <v>43340</v>
      </c>
      <c r="AH66" t="s">
        <v>714</v>
      </c>
      <c r="AI66" t="s">
        <v>715</v>
      </c>
      <c r="AK66">
        <v>0</v>
      </c>
      <c r="AL66" t="str">
        <f>"0000000222167"</f>
        <v>0000000222167</v>
      </c>
      <c r="AM66" t="s">
        <v>716</v>
      </c>
      <c r="AO66" s="58">
        <v>73050</v>
      </c>
      <c r="AP66" s="58">
        <v>73050</v>
      </c>
      <c r="AQ66" t="s">
        <v>717</v>
      </c>
      <c r="AR66" t="s">
        <v>718</v>
      </c>
      <c r="AS66">
        <v>0</v>
      </c>
      <c r="AT66" t="s">
        <v>533</v>
      </c>
      <c r="AU66">
        <v>0</v>
      </c>
      <c r="AV66">
        <v>0</v>
      </c>
      <c r="AW66" t="s">
        <v>719</v>
      </c>
      <c r="AX66" t="s">
        <v>720</v>
      </c>
      <c r="AY66" t="s">
        <v>533</v>
      </c>
      <c r="AZ66">
        <v>0</v>
      </c>
      <c r="BA66" t="s">
        <v>533</v>
      </c>
      <c r="BC66" t="s">
        <v>721</v>
      </c>
      <c r="BD66" t="s">
        <v>722</v>
      </c>
    </row>
    <row r="67" spans="11:57">
      <c r="K67" t="s">
        <v>723</v>
      </c>
      <c r="L67" t="s">
        <v>54</v>
      </c>
      <c r="M67" t="s">
        <v>724</v>
      </c>
      <c r="N67" t="s">
        <v>725</v>
      </c>
      <c r="O67" t="str">
        <f>"0000000425902"</f>
        <v>0000000425902</v>
      </c>
      <c r="P67">
        <v>1</v>
      </c>
      <c r="Q67" t="s">
        <v>528</v>
      </c>
      <c r="R67" t="s">
        <v>528</v>
      </c>
      <c r="S67" t="s">
        <v>528</v>
      </c>
      <c r="T67" t="s">
        <v>528</v>
      </c>
      <c r="U67" t="s">
        <v>711</v>
      </c>
      <c r="V67" t="s">
        <v>533</v>
      </c>
      <c r="W67" t="s">
        <v>711</v>
      </c>
      <c r="Y67" t="s">
        <v>533</v>
      </c>
      <c r="Z67" t="s">
        <v>528</v>
      </c>
      <c r="AA67">
        <v>44361</v>
      </c>
      <c r="AB67" t="s">
        <v>712</v>
      </c>
      <c r="AC67" t="s">
        <v>726</v>
      </c>
      <c r="AD67" t="s">
        <v>712</v>
      </c>
      <c r="AE67" t="s">
        <v>726</v>
      </c>
      <c r="AF67" t="s">
        <v>533</v>
      </c>
      <c r="AG67" s="58">
        <v>43845</v>
      </c>
      <c r="AH67" t="s">
        <v>727</v>
      </c>
      <c r="AI67" t="s">
        <v>728</v>
      </c>
      <c r="AK67">
        <v>0</v>
      </c>
      <c r="AL67" t="str">
        <f>"0000000425902"</f>
        <v>0000000425902</v>
      </c>
      <c r="AM67" t="s">
        <v>716</v>
      </c>
      <c r="AO67" s="58">
        <v>73050</v>
      </c>
      <c r="AP67" s="58">
        <v>73050</v>
      </c>
      <c r="AQ67" t="s">
        <v>717</v>
      </c>
      <c r="AR67" t="s">
        <v>718</v>
      </c>
      <c r="AS67">
        <v>0</v>
      </c>
      <c r="AT67" t="s">
        <v>729</v>
      </c>
      <c r="AU67">
        <v>0</v>
      </c>
      <c r="AV67">
        <v>0</v>
      </c>
      <c r="AW67" t="s">
        <v>719</v>
      </c>
      <c r="AX67" t="s">
        <v>729</v>
      </c>
      <c r="AY67" t="s">
        <v>533</v>
      </c>
      <c r="AZ67">
        <v>0</v>
      </c>
      <c r="BA67" t="s">
        <v>533</v>
      </c>
      <c r="BC67" t="s">
        <v>721</v>
      </c>
      <c r="BD67" t="s">
        <v>722</v>
      </c>
    </row>
    <row r="68" spans="11:57">
      <c r="K68" t="s">
        <v>730</v>
      </c>
      <c r="L68" t="s">
        <v>54</v>
      </c>
      <c r="M68" t="s">
        <v>731</v>
      </c>
      <c r="N68" t="s">
        <v>732</v>
      </c>
      <c r="O68" t="str">
        <f>"0000000186360"</f>
        <v>0000000186360</v>
      </c>
      <c r="P68">
        <v>1</v>
      </c>
      <c r="Q68" t="s">
        <v>528</v>
      </c>
      <c r="R68" t="s">
        <v>528</v>
      </c>
      <c r="S68" t="s">
        <v>528</v>
      </c>
      <c r="T68" t="s">
        <v>528</v>
      </c>
      <c r="U68" t="s">
        <v>711</v>
      </c>
      <c r="V68" t="s">
        <v>533</v>
      </c>
      <c r="W68" t="s">
        <v>732</v>
      </c>
      <c r="Y68" t="s">
        <v>533</v>
      </c>
      <c r="Z68" t="s">
        <v>528</v>
      </c>
      <c r="AA68">
        <v>44391</v>
      </c>
      <c r="AB68" t="s">
        <v>712</v>
      </c>
      <c r="AC68" t="s">
        <v>726</v>
      </c>
      <c r="AD68" t="s">
        <v>712</v>
      </c>
      <c r="AE68" t="s">
        <v>726</v>
      </c>
      <c r="AF68" t="s">
        <v>533</v>
      </c>
      <c r="AG68" s="58">
        <v>43480</v>
      </c>
      <c r="AH68" t="s">
        <v>733</v>
      </c>
      <c r="AI68" t="s">
        <v>734</v>
      </c>
      <c r="AK68">
        <v>0</v>
      </c>
      <c r="AL68" t="str">
        <f>"0000000186360"</f>
        <v>0000000186360</v>
      </c>
      <c r="AM68" t="s">
        <v>716</v>
      </c>
      <c r="AO68" s="58">
        <v>73050</v>
      </c>
      <c r="AP68" s="58">
        <v>73050</v>
      </c>
      <c r="AQ68" t="s">
        <v>717</v>
      </c>
      <c r="AR68" t="s">
        <v>718</v>
      </c>
      <c r="AS68">
        <v>1</v>
      </c>
      <c r="AT68" t="s">
        <v>735</v>
      </c>
      <c r="AU68">
        <v>0</v>
      </c>
      <c r="AV68">
        <v>0</v>
      </c>
      <c r="AW68" t="s">
        <v>719</v>
      </c>
      <c r="AX68" t="s">
        <v>735</v>
      </c>
      <c r="AY68" t="s">
        <v>533</v>
      </c>
      <c r="AZ68">
        <v>0</v>
      </c>
      <c r="BA68" t="s">
        <v>533</v>
      </c>
      <c r="BC68" t="s">
        <v>721</v>
      </c>
      <c r="BD68" t="s">
        <v>722</v>
      </c>
    </row>
    <row r="69" spans="11:57">
      <c r="K69" t="s">
        <v>736</v>
      </c>
      <c r="L69" t="s">
        <v>54</v>
      </c>
      <c r="M69" t="s">
        <v>737</v>
      </c>
      <c r="N69" t="s">
        <v>738</v>
      </c>
      <c r="O69" t="s">
        <v>739</v>
      </c>
      <c r="P69">
        <v>1</v>
      </c>
      <c r="Q69" t="s">
        <v>528</v>
      </c>
      <c r="R69" t="s">
        <v>528</v>
      </c>
      <c r="S69" t="s">
        <v>528</v>
      </c>
      <c r="T69" t="s">
        <v>528</v>
      </c>
      <c r="U69" t="s">
        <v>711</v>
      </c>
      <c r="V69" t="s">
        <v>533</v>
      </c>
      <c r="W69" t="s">
        <v>711</v>
      </c>
      <c r="X69" t="s">
        <v>740</v>
      </c>
      <c r="Y69" t="s">
        <v>533</v>
      </c>
      <c r="Z69" t="s">
        <v>528</v>
      </c>
      <c r="AA69">
        <v>44392</v>
      </c>
      <c r="AB69" t="s">
        <v>712</v>
      </c>
      <c r="AC69" t="s">
        <v>726</v>
      </c>
      <c r="AD69" t="s">
        <v>712</v>
      </c>
      <c r="AE69" t="s">
        <v>726</v>
      </c>
      <c r="AF69" t="s">
        <v>533</v>
      </c>
      <c r="AG69" s="58">
        <v>43873</v>
      </c>
      <c r="AH69" t="s">
        <v>741</v>
      </c>
      <c r="AI69" t="s">
        <v>728</v>
      </c>
      <c r="AK69">
        <v>0</v>
      </c>
      <c r="AL69" t="str">
        <f>"0000000011051"</f>
        <v>0000000011051</v>
      </c>
      <c r="AM69" t="s">
        <v>716</v>
      </c>
      <c r="AO69" s="58">
        <v>73050</v>
      </c>
      <c r="AP69" s="58">
        <v>73050</v>
      </c>
      <c r="AQ69" t="s">
        <v>717</v>
      </c>
      <c r="AR69" t="s">
        <v>718</v>
      </c>
      <c r="AS69">
        <v>0</v>
      </c>
      <c r="AT69" t="s">
        <v>533</v>
      </c>
      <c r="AU69">
        <v>0</v>
      </c>
      <c r="AV69">
        <v>0</v>
      </c>
      <c r="AW69" t="s">
        <v>719</v>
      </c>
      <c r="AX69" t="s">
        <v>742</v>
      </c>
      <c r="AY69" t="s">
        <v>533</v>
      </c>
      <c r="AZ69">
        <v>0</v>
      </c>
      <c r="BA69" t="s">
        <v>533</v>
      </c>
      <c r="BC69" t="s">
        <v>721</v>
      </c>
      <c r="BD69" t="s">
        <v>722</v>
      </c>
    </row>
    <row r="70" spans="11:57">
      <c r="K70" t="s">
        <v>743</v>
      </c>
      <c r="L70" t="s">
        <v>54</v>
      </c>
      <c r="M70" t="s">
        <v>744</v>
      </c>
      <c r="N70" t="s">
        <v>745</v>
      </c>
      <c r="O70" t="s">
        <v>746</v>
      </c>
      <c r="P70">
        <v>1</v>
      </c>
      <c r="Q70" t="s">
        <v>528</v>
      </c>
      <c r="R70" t="s">
        <v>528</v>
      </c>
      <c r="S70" t="s">
        <v>528</v>
      </c>
      <c r="T70" t="s">
        <v>528</v>
      </c>
      <c r="U70" t="s">
        <v>711</v>
      </c>
      <c r="V70" t="s">
        <v>533</v>
      </c>
      <c r="W70" t="s">
        <v>747</v>
      </c>
      <c r="X70" t="s">
        <v>740</v>
      </c>
      <c r="Y70" t="s">
        <v>533</v>
      </c>
      <c r="Z70" t="s">
        <v>528</v>
      </c>
      <c r="AA70">
        <v>44394</v>
      </c>
      <c r="AB70" t="s">
        <v>712</v>
      </c>
      <c r="AC70" t="s">
        <v>713</v>
      </c>
      <c r="AD70" t="s">
        <v>712</v>
      </c>
      <c r="AE70" t="s">
        <v>713</v>
      </c>
      <c r="AF70" t="s">
        <v>533</v>
      </c>
      <c r="AG70" s="58">
        <v>43858</v>
      </c>
      <c r="AH70" t="s">
        <v>748</v>
      </c>
      <c r="AI70" t="s">
        <v>728</v>
      </c>
      <c r="AK70">
        <v>0</v>
      </c>
      <c r="AL70" t="str">
        <f>"0000000011044"</f>
        <v>0000000011044</v>
      </c>
      <c r="AM70" t="s">
        <v>716</v>
      </c>
      <c r="AO70" s="58">
        <v>73050</v>
      </c>
      <c r="AP70" s="58">
        <v>73050</v>
      </c>
      <c r="AQ70" t="s">
        <v>717</v>
      </c>
      <c r="AR70" t="s">
        <v>718</v>
      </c>
      <c r="AS70">
        <v>0</v>
      </c>
      <c r="AT70" t="s">
        <v>749</v>
      </c>
      <c r="AU70">
        <v>0</v>
      </c>
      <c r="AV70">
        <v>0</v>
      </c>
      <c r="AW70" t="s">
        <v>719</v>
      </c>
      <c r="AX70" t="s">
        <v>749</v>
      </c>
      <c r="AY70" t="s">
        <v>533</v>
      </c>
      <c r="AZ70">
        <v>0</v>
      </c>
      <c r="BA70" t="s">
        <v>533</v>
      </c>
      <c r="BC70" t="s">
        <v>721</v>
      </c>
      <c r="BD70" t="s">
        <v>722</v>
      </c>
    </row>
    <row r="71" spans="11:57">
      <c r="K71" t="s">
        <v>750</v>
      </c>
      <c r="L71" t="s">
        <v>54</v>
      </c>
      <c r="M71" t="s">
        <v>751</v>
      </c>
      <c r="N71" t="s">
        <v>752</v>
      </c>
      <c r="O71" t="s">
        <v>753</v>
      </c>
      <c r="P71">
        <v>1</v>
      </c>
      <c r="Q71" t="s">
        <v>528</v>
      </c>
      <c r="R71" t="s">
        <v>528</v>
      </c>
      <c r="S71" t="s">
        <v>528</v>
      </c>
      <c r="T71" t="s">
        <v>528</v>
      </c>
      <c r="U71" t="s">
        <v>754</v>
      </c>
      <c r="V71" t="s">
        <v>533</v>
      </c>
      <c r="W71" t="s">
        <v>755</v>
      </c>
      <c r="X71" t="s">
        <v>740</v>
      </c>
      <c r="Y71" t="s">
        <v>533</v>
      </c>
      <c r="Z71" t="s">
        <v>528</v>
      </c>
      <c r="AA71">
        <v>1920</v>
      </c>
      <c r="AB71" t="s">
        <v>712</v>
      </c>
      <c r="AC71" t="s">
        <v>713</v>
      </c>
      <c r="AD71" t="s">
        <v>712</v>
      </c>
      <c r="AE71" t="s">
        <v>713</v>
      </c>
      <c r="AF71" t="s">
        <v>533</v>
      </c>
      <c r="AG71" s="58">
        <v>43600</v>
      </c>
      <c r="AH71" t="s">
        <v>756</v>
      </c>
      <c r="AI71" t="s">
        <v>757</v>
      </c>
      <c r="AK71">
        <v>0</v>
      </c>
      <c r="AL71" t="str">
        <f>"0000000011068"</f>
        <v>0000000011068</v>
      </c>
      <c r="AM71" t="s">
        <v>716</v>
      </c>
      <c r="AO71" s="58">
        <v>73050</v>
      </c>
      <c r="AP71" s="58">
        <v>73050</v>
      </c>
      <c r="AQ71" t="s">
        <v>717</v>
      </c>
      <c r="AR71" t="s">
        <v>718</v>
      </c>
      <c r="AS71">
        <v>0</v>
      </c>
      <c r="AT71" t="s">
        <v>758</v>
      </c>
      <c r="AU71">
        <v>0</v>
      </c>
      <c r="AV71">
        <v>0</v>
      </c>
      <c r="AW71" t="s">
        <v>719</v>
      </c>
      <c r="AX71" t="s">
        <v>758</v>
      </c>
      <c r="AY71" t="s">
        <v>533</v>
      </c>
      <c r="AZ71">
        <v>0</v>
      </c>
      <c r="BA71" t="s">
        <v>533</v>
      </c>
      <c r="BC71" t="s">
        <v>721</v>
      </c>
      <c r="BD71" t="s">
        <v>722</v>
      </c>
    </row>
    <row r="72" spans="11:57">
      <c r="K72" t="s">
        <v>759</v>
      </c>
      <c r="L72" t="s">
        <v>54</v>
      </c>
      <c r="M72" t="s">
        <v>760</v>
      </c>
      <c r="N72" t="s">
        <v>711</v>
      </c>
      <c r="O72" t="str">
        <f>"0000000410441"</f>
        <v>0000000410441</v>
      </c>
      <c r="P72">
        <v>1</v>
      </c>
      <c r="Q72" t="s">
        <v>528</v>
      </c>
      <c r="R72" t="s">
        <v>528</v>
      </c>
      <c r="S72" t="s">
        <v>528</v>
      </c>
      <c r="T72" t="s">
        <v>528</v>
      </c>
      <c r="U72" t="s">
        <v>711</v>
      </c>
      <c r="V72" t="s">
        <v>533</v>
      </c>
      <c r="W72" t="s">
        <v>711</v>
      </c>
      <c r="Y72" t="s">
        <v>533</v>
      </c>
      <c r="Z72" t="s">
        <v>528</v>
      </c>
      <c r="AA72">
        <v>42640</v>
      </c>
      <c r="AB72" t="s">
        <v>712</v>
      </c>
      <c r="AC72" t="s">
        <v>726</v>
      </c>
      <c r="AD72" t="s">
        <v>712</v>
      </c>
      <c r="AE72" t="s">
        <v>726</v>
      </c>
      <c r="AF72" t="s">
        <v>533</v>
      </c>
      <c r="AG72" s="58">
        <v>43629</v>
      </c>
      <c r="AH72" t="s">
        <v>761</v>
      </c>
      <c r="AI72" t="s">
        <v>734</v>
      </c>
      <c r="AK72">
        <v>0</v>
      </c>
      <c r="AL72" t="str">
        <f>"0000000410441"</f>
        <v>0000000410441</v>
      </c>
      <c r="AM72" t="s">
        <v>716</v>
      </c>
      <c r="AO72" s="58">
        <v>73050</v>
      </c>
      <c r="AP72" s="58">
        <v>73050</v>
      </c>
      <c r="AQ72" t="s">
        <v>717</v>
      </c>
      <c r="AR72" t="s">
        <v>718</v>
      </c>
      <c r="AS72">
        <v>0</v>
      </c>
      <c r="AT72" t="s">
        <v>533</v>
      </c>
      <c r="AU72">
        <v>0</v>
      </c>
      <c r="AV72">
        <v>0</v>
      </c>
      <c r="AW72" t="s">
        <v>719</v>
      </c>
      <c r="AX72" t="s">
        <v>533</v>
      </c>
      <c r="AY72" t="s">
        <v>533</v>
      </c>
      <c r="AZ72">
        <v>0</v>
      </c>
      <c r="BA72" t="s">
        <v>533</v>
      </c>
      <c r="BC72" t="s">
        <v>721</v>
      </c>
      <c r="BD72" t="s">
        <v>722</v>
      </c>
    </row>
    <row r="73" spans="11:57">
      <c r="K73" t="s">
        <v>762</v>
      </c>
      <c r="L73" t="s">
        <v>54</v>
      </c>
      <c r="M73" t="s">
        <v>763</v>
      </c>
      <c r="N73" t="s">
        <v>764</v>
      </c>
      <c r="O73" t="str">
        <f>"0000000410168"</f>
        <v>0000000410168</v>
      </c>
      <c r="P73">
        <v>1</v>
      </c>
      <c r="Q73" t="s">
        <v>528</v>
      </c>
      <c r="R73" t="s">
        <v>765</v>
      </c>
      <c r="S73" t="s">
        <v>765</v>
      </c>
      <c r="T73" t="s">
        <v>765</v>
      </c>
      <c r="U73" t="s">
        <v>711</v>
      </c>
      <c r="V73" t="s">
        <v>533</v>
      </c>
      <c r="W73" t="s">
        <v>711</v>
      </c>
      <c r="Y73" t="s">
        <v>533</v>
      </c>
      <c r="Z73" t="s">
        <v>528</v>
      </c>
      <c r="AA73">
        <v>42605</v>
      </c>
      <c r="AB73" t="s">
        <v>712</v>
      </c>
      <c r="AC73" t="s">
        <v>766</v>
      </c>
      <c r="AD73" t="s">
        <v>712</v>
      </c>
      <c r="AE73" t="s">
        <v>766</v>
      </c>
      <c r="AF73" t="s">
        <v>533</v>
      </c>
      <c r="AG73" s="58">
        <v>43887</v>
      </c>
      <c r="AH73" t="s">
        <v>767</v>
      </c>
      <c r="AI73" t="s">
        <v>734</v>
      </c>
      <c r="AK73">
        <v>0</v>
      </c>
      <c r="AL73" t="str">
        <f>"0000000410168"</f>
        <v>0000000410168</v>
      </c>
      <c r="AM73" t="s">
        <v>716</v>
      </c>
      <c r="AO73" s="58">
        <v>73050</v>
      </c>
      <c r="AP73" s="58">
        <v>73050</v>
      </c>
      <c r="AQ73" t="s">
        <v>717</v>
      </c>
      <c r="AR73" t="s">
        <v>718</v>
      </c>
      <c r="AS73">
        <v>0</v>
      </c>
      <c r="AT73" t="s">
        <v>768</v>
      </c>
      <c r="AU73">
        <v>0</v>
      </c>
      <c r="AV73">
        <v>0</v>
      </c>
      <c r="AW73" t="s">
        <v>719</v>
      </c>
      <c r="AX73" t="s">
        <v>768</v>
      </c>
      <c r="AY73" t="s">
        <v>533</v>
      </c>
      <c r="AZ73">
        <v>0</v>
      </c>
      <c r="BA73" t="s">
        <v>533</v>
      </c>
      <c r="BC73" t="s">
        <v>721</v>
      </c>
      <c r="BD73" t="s">
        <v>722</v>
      </c>
    </row>
    <row r="74" spans="11:57">
      <c r="K74" t="s">
        <v>769</v>
      </c>
      <c r="L74" t="s">
        <v>54</v>
      </c>
      <c r="M74" t="s">
        <v>770</v>
      </c>
      <c r="N74" t="s">
        <v>771</v>
      </c>
      <c r="O74" t="str">
        <f>"0000000376259"</f>
        <v>0000000376259</v>
      </c>
      <c r="P74">
        <v>1</v>
      </c>
      <c r="Q74" t="s">
        <v>528</v>
      </c>
      <c r="R74" t="s">
        <v>528</v>
      </c>
      <c r="S74" t="s">
        <v>528</v>
      </c>
      <c r="T74" t="s">
        <v>528</v>
      </c>
      <c r="U74" t="s">
        <v>711</v>
      </c>
      <c r="V74" t="s">
        <v>533</v>
      </c>
      <c r="W74" t="s">
        <v>711</v>
      </c>
      <c r="Y74" t="s">
        <v>533</v>
      </c>
      <c r="Z74" t="s">
        <v>528</v>
      </c>
      <c r="AA74">
        <v>38653</v>
      </c>
      <c r="AB74" t="s">
        <v>712</v>
      </c>
      <c r="AC74" t="s">
        <v>766</v>
      </c>
      <c r="AD74" t="s">
        <v>712</v>
      </c>
      <c r="AE74" t="s">
        <v>766</v>
      </c>
      <c r="AF74" t="s">
        <v>533</v>
      </c>
      <c r="AG74" s="58">
        <v>43832</v>
      </c>
      <c r="AH74" t="s">
        <v>772</v>
      </c>
      <c r="AI74" t="s">
        <v>773</v>
      </c>
      <c r="AK74">
        <v>0</v>
      </c>
      <c r="AL74" t="str">
        <f>"0000000376259"</f>
        <v>0000000376259</v>
      </c>
      <c r="AM74" t="s">
        <v>716</v>
      </c>
      <c r="AO74" s="58">
        <v>73050</v>
      </c>
      <c r="AP74" s="58">
        <v>73050</v>
      </c>
      <c r="AQ74" t="s">
        <v>717</v>
      </c>
      <c r="AR74" t="s">
        <v>718</v>
      </c>
      <c r="AS74">
        <v>0</v>
      </c>
      <c r="AT74" t="s">
        <v>774</v>
      </c>
      <c r="AU74">
        <v>0</v>
      </c>
      <c r="AV74">
        <v>0</v>
      </c>
      <c r="AW74" t="s">
        <v>719</v>
      </c>
      <c r="AX74" t="s">
        <v>771</v>
      </c>
      <c r="AY74" t="s">
        <v>533</v>
      </c>
      <c r="AZ74">
        <v>0</v>
      </c>
      <c r="BA74" t="s">
        <v>533</v>
      </c>
      <c r="BC74" t="s">
        <v>721</v>
      </c>
      <c r="BD74" t="s">
        <v>722</v>
      </c>
    </row>
    <row r="75" spans="11:57">
      <c r="K75" t="s">
        <v>775</v>
      </c>
      <c r="L75" t="s">
        <v>54</v>
      </c>
      <c r="M75" t="s">
        <v>341</v>
      </c>
      <c r="N75" t="s">
        <v>776</v>
      </c>
      <c r="O75" t="s">
        <v>777</v>
      </c>
      <c r="P75">
        <v>1</v>
      </c>
      <c r="Q75" t="s">
        <v>528</v>
      </c>
      <c r="R75" t="s">
        <v>765</v>
      </c>
      <c r="S75" t="s">
        <v>765</v>
      </c>
      <c r="T75" t="s">
        <v>765</v>
      </c>
      <c r="U75" t="s">
        <v>778</v>
      </c>
      <c r="V75" t="s">
        <v>533</v>
      </c>
      <c r="W75" t="s">
        <v>779</v>
      </c>
      <c r="X75" t="s">
        <v>740</v>
      </c>
      <c r="Y75" t="s">
        <v>533</v>
      </c>
      <c r="Z75" t="s">
        <v>528</v>
      </c>
      <c r="AA75">
        <v>1917</v>
      </c>
      <c r="AB75" t="s">
        <v>712</v>
      </c>
      <c r="AC75" t="s">
        <v>766</v>
      </c>
      <c r="AD75" t="s">
        <v>712</v>
      </c>
      <c r="AE75" t="s">
        <v>766</v>
      </c>
      <c r="AF75" t="s">
        <v>533</v>
      </c>
      <c r="AG75" s="58">
        <v>43706</v>
      </c>
      <c r="AH75" t="s">
        <v>780</v>
      </c>
      <c r="AI75" t="s">
        <v>734</v>
      </c>
      <c r="AK75">
        <v>0</v>
      </c>
      <c r="AL75" t="str">
        <f>"0000000011037"</f>
        <v>0000000011037</v>
      </c>
      <c r="AM75" t="s">
        <v>716</v>
      </c>
      <c r="AO75" s="58">
        <v>73050</v>
      </c>
      <c r="AP75" s="58">
        <v>73050</v>
      </c>
      <c r="AQ75" t="s">
        <v>717</v>
      </c>
      <c r="AR75" t="s">
        <v>718</v>
      </c>
      <c r="AS75">
        <v>0</v>
      </c>
      <c r="AT75" t="s">
        <v>781</v>
      </c>
      <c r="AU75">
        <v>0</v>
      </c>
      <c r="AV75">
        <v>0</v>
      </c>
      <c r="AW75" t="s">
        <v>719</v>
      </c>
      <c r="AX75" t="s">
        <v>782</v>
      </c>
      <c r="AY75" t="s">
        <v>533</v>
      </c>
      <c r="AZ75">
        <v>0</v>
      </c>
      <c r="BA75" t="s">
        <v>533</v>
      </c>
      <c r="BC75" t="s">
        <v>721</v>
      </c>
      <c r="BD75" t="s">
        <v>722</v>
      </c>
    </row>
    <row r="76" spans="11:57">
      <c r="K76" t="s">
        <v>783</v>
      </c>
      <c r="L76" t="s">
        <v>54</v>
      </c>
      <c r="M76" t="s">
        <v>784</v>
      </c>
      <c r="N76" t="s">
        <v>785</v>
      </c>
      <c r="O76" t="s">
        <v>786</v>
      </c>
      <c r="P76">
        <v>1</v>
      </c>
      <c r="Q76" t="s">
        <v>528</v>
      </c>
      <c r="R76" t="s">
        <v>528</v>
      </c>
      <c r="S76" t="s">
        <v>528</v>
      </c>
      <c r="T76" t="s">
        <v>528</v>
      </c>
      <c r="U76" t="s">
        <v>787</v>
      </c>
      <c r="V76" t="s">
        <v>533</v>
      </c>
      <c r="W76" t="s">
        <v>788</v>
      </c>
      <c r="X76" t="s">
        <v>740</v>
      </c>
      <c r="Y76" t="s">
        <v>533</v>
      </c>
      <c r="Z76" t="s">
        <v>528</v>
      </c>
      <c r="AA76">
        <v>1911</v>
      </c>
      <c r="AB76" t="s">
        <v>712</v>
      </c>
      <c r="AC76" t="s">
        <v>766</v>
      </c>
      <c r="AD76" t="s">
        <v>712</v>
      </c>
      <c r="AE76" t="s">
        <v>766</v>
      </c>
      <c r="AF76" t="s">
        <v>533</v>
      </c>
      <c r="AG76" s="58">
        <v>43739</v>
      </c>
      <c r="AH76" t="s">
        <v>789</v>
      </c>
      <c r="AI76" t="s">
        <v>734</v>
      </c>
      <c r="AK76">
        <v>0</v>
      </c>
      <c r="AL76" t="str">
        <f>"0000000010979"</f>
        <v>0000000010979</v>
      </c>
      <c r="AM76" t="s">
        <v>716</v>
      </c>
      <c r="AO76" s="58">
        <v>73050</v>
      </c>
      <c r="AP76" s="58">
        <v>73050</v>
      </c>
      <c r="AQ76" t="s">
        <v>717</v>
      </c>
      <c r="AR76" t="s">
        <v>718</v>
      </c>
      <c r="AS76">
        <v>0</v>
      </c>
      <c r="AT76" t="s">
        <v>790</v>
      </c>
      <c r="AU76">
        <v>0</v>
      </c>
      <c r="AV76">
        <v>0</v>
      </c>
      <c r="AW76" t="s">
        <v>719</v>
      </c>
      <c r="AX76" t="s">
        <v>790</v>
      </c>
      <c r="AY76" t="s">
        <v>533</v>
      </c>
      <c r="AZ76">
        <v>0</v>
      </c>
      <c r="BA76" t="s">
        <v>533</v>
      </c>
      <c r="BC76" t="s">
        <v>721</v>
      </c>
      <c r="BD76" t="s">
        <v>722</v>
      </c>
    </row>
    <row r="77" spans="11:57">
      <c r="K77" t="s">
        <v>791</v>
      </c>
      <c r="L77" t="s">
        <v>54</v>
      </c>
      <c r="M77" t="s">
        <v>792</v>
      </c>
      <c r="N77" t="s">
        <v>793</v>
      </c>
      <c r="O77" t="str">
        <f>"0000000303385"</f>
        <v>0000000303385</v>
      </c>
      <c r="P77">
        <v>1</v>
      </c>
      <c r="Q77" t="s">
        <v>528</v>
      </c>
      <c r="R77" t="s">
        <v>528</v>
      </c>
      <c r="S77" t="s">
        <v>528</v>
      </c>
      <c r="T77" t="s">
        <v>528</v>
      </c>
      <c r="U77" t="s">
        <v>711</v>
      </c>
      <c r="V77" t="s">
        <v>533</v>
      </c>
      <c r="W77" t="s">
        <v>794</v>
      </c>
      <c r="Y77" t="s">
        <v>533</v>
      </c>
      <c r="Z77" t="s">
        <v>528</v>
      </c>
      <c r="AA77">
        <v>29551</v>
      </c>
      <c r="AB77" t="s">
        <v>712</v>
      </c>
      <c r="AC77" t="s">
        <v>713</v>
      </c>
      <c r="AD77" t="s">
        <v>712</v>
      </c>
      <c r="AE77" t="s">
        <v>713</v>
      </c>
      <c r="AF77" t="s">
        <v>533</v>
      </c>
      <c r="AG77" s="58">
        <v>43340</v>
      </c>
      <c r="AH77" t="s">
        <v>714</v>
      </c>
      <c r="AI77" t="s">
        <v>715</v>
      </c>
      <c r="AK77">
        <v>0</v>
      </c>
      <c r="AL77" t="str">
        <f>"0000000303385"</f>
        <v>0000000303385</v>
      </c>
      <c r="AM77" t="s">
        <v>716</v>
      </c>
      <c r="AO77" s="58">
        <v>73050</v>
      </c>
      <c r="AP77" s="58">
        <v>73050</v>
      </c>
      <c r="AQ77" t="s">
        <v>717</v>
      </c>
      <c r="AR77" t="s">
        <v>718</v>
      </c>
      <c r="AS77">
        <v>0</v>
      </c>
      <c r="AT77" t="s">
        <v>795</v>
      </c>
      <c r="AU77">
        <v>0</v>
      </c>
      <c r="AV77">
        <v>0</v>
      </c>
      <c r="AW77" t="s">
        <v>719</v>
      </c>
      <c r="AX77" t="s">
        <v>795</v>
      </c>
      <c r="AY77" t="s">
        <v>533</v>
      </c>
      <c r="AZ77">
        <v>0</v>
      </c>
      <c r="BA77" t="s">
        <v>533</v>
      </c>
      <c r="BC77" t="s">
        <v>721</v>
      </c>
      <c r="BD77" t="s">
        <v>722</v>
      </c>
    </row>
    <row r="78" spans="11:57">
      <c r="K78" t="s">
        <v>796</v>
      </c>
      <c r="L78" t="s">
        <v>54</v>
      </c>
      <c r="M78" t="s">
        <v>797</v>
      </c>
      <c r="N78" t="s">
        <v>798</v>
      </c>
      <c r="O78" t="str">
        <f>"0000000222143"</f>
        <v>0000000222143</v>
      </c>
      <c r="P78">
        <v>1</v>
      </c>
      <c r="Q78" t="s">
        <v>528</v>
      </c>
      <c r="R78" t="s">
        <v>528</v>
      </c>
      <c r="S78" t="s">
        <v>528</v>
      </c>
      <c r="T78" t="s">
        <v>528</v>
      </c>
      <c r="U78" t="s">
        <v>711</v>
      </c>
      <c r="V78" t="s">
        <v>533</v>
      </c>
      <c r="W78" t="s">
        <v>799</v>
      </c>
      <c r="Y78" t="s">
        <v>533</v>
      </c>
      <c r="Z78" t="s">
        <v>528</v>
      </c>
      <c r="AA78">
        <v>22833</v>
      </c>
      <c r="AB78" t="s">
        <v>712</v>
      </c>
      <c r="AC78" t="s">
        <v>713</v>
      </c>
      <c r="AD78" t="s">
        <v>712</v>
      </c>
      <c r="AE78" t="s">
        <v>713</v>
      </c>
      <c r="AF78" t="s">
        <v>533</v>
      </c>
      <c r="AG78" s="58">
        <v>43703</v>
      </c>
      <c r="AH78" t="s">
        <v>800</v>
      </c>
      <c r="AI78" t="s">
        <v>734</v>
      </c>
      <c r="AK78">
        <v>0</v>
      </c>
      <c r="AL78" t="str">
        <f>"0000000222143"</f>
        <v>0000000222143</v>
      </c>
      <c r="AM78" t="s">
        <v>716</v>
      </c>
      <c r="AO78" s="58">
        <v>73050</v>
      </c>
      <c r="AP78" s="58">
        <v>73050</v>
      </c>
      <c r="AQ78" t="s">
        <v>717</v>
      </c>
      <c r="AR78" t="s">
        <v>718</v>
      </c>
      <c r="AS78">
        <v>0</v>
      </c>
      <c r="AT78" t="s">
        <v>801</v>
      </c>
      <c r="AU78">
        <v>0</v>
      </c>
      <c r="AV78">
        <v>0</v>
      </c>
      <c r="AW78" t="s">
        <v>719</v>
      </c>
      <c r="AX78" t="s">
        <v>801</v>
      </c>
      <c r="AY78" t="s">
        <v>533</v>
      </c>
      <c r="AZ78">
        <v>0</v>
      </c>
      <c r="BA78" t="s">
        <v>533</v>
      </c>
      <c r="BC78" t="s">
        <v>721</v>
      </c>
      <c r="BD78" t="s">
        <v>722</v>
      </c>
    </row>
    <row r="79" spans="11:57">
      <c r="K79" t="s">
        <v>802</v>
      </c>
      <c r="L79" t="s">
        <v>54</v>
      </c>
      <c r="M79" t="s">
        <v>803</v>
      </c>
      <c r="N79" t="s">
        <v>804</v>
      </c>
      <c r="O79" t="str">
        <f>"0000000423168"</f>
        <v>0000000423168</v>
      </c>
      <c r="P79">
        <v>1</v>
      </c>
      <c r="Q79" t="s">
        <v>528</v>
      </c>
      <c r="R79" t="s">
        <v>528</v>
      </c>
      <c r="S79" t="s">
        <v>528</v>
      </c>
      <c r="T79" t="s">
        <v>528</v>
      </c>
      <c r="U79" t="s">
        <v>711</v>
      </c>
      <c r="V79" t="s">
        <v>533</v>
      </c>
      <c r="W79" t="s">
        <v>711</v>
      </c>
      <c r="Y79" t="s">
        <v>533</v>
      </c>
      <c r="Z79" t="s">
        <v>528</v>
      </c>
      <c r="AA79">
        <v>44044</v>
      </c>
      <c r="AB79" t="s">
        <v>712</v>
      </c>
      <c r="AC79" t="s">
        <v>713</v>
      </c>
      <c r="AD79" t="s">
        <v>712</v>
      </c>
      <c r="AE79" t="s">
        <v>713</v>
      </c>
      <c r="AF79" t="s">
        <v>533</v>
      </c>
      <c r="AG79" s="58">
        <v>43546</v>
      </c>
      <c r="AH79" t="s">
        <v>805</v>
      </c>
      <c r="AI79" t="s">
        <v>734</v>
      </c>
      <c r="AK79">
        <v>0</v>
      </c>
      <c r="AL79" t="str">
        <f>"0000000423168"</f>
        <v>0000000423168</v>
      </c>
      <c r="AM79" t="s">
        <v>716</v>
      </c>
      <c r="AO79" s="58">
        <v>73050</v>
      </c>
      <c r="AP79" s="58">
        <v>73050</v>
      </c>
      <c r="AQ79" t="s">
        <v>717</v>
      </c>
      <c r="AR79" t="s">
        <v>718</v>
      </c>
      <c r="AS79">
        <v>0</v>
      </c>
      <c r="AT79" t="s">
        <v>806</v>
      </c>
      <c r="AU79">
        <v>0</v>
      </c>
      <c r="AV79">
        <v>0</v>
      </c>
      <c r="AW79" t="s">
        <v>719</v>
      </c>
      <c r="AX79" t="s">
        <v>806</v>
      </c>
      <c r="AY79" t="s">
        <v>533</v>
      </c>
      <c r="AZ79">
        <v>0</v>
      </c>
      <c r="BA79" t="s">
        <v>533</v>
      </c>
      <c r="BC79" t="s">
        <v>721</v>
      </c>
      <c r="BD79" t="s">
        <v>722</v>
      </c>
    </row>
    <row r="80" spans="11:57">
      <c r="K80" t="s">
        <v>807</v>
      </c>
      <c r="L80" t="s">
        <v>54</v>
      </c>
      <c r="M80" t="s">
        <v>808</v>
      </c>
      <c r="N80" t="s">
        <v>809</v>
      </c>
      <c r="O80" t="s">
        <v>810</v>
      </c>
      <c r="P80">
        <v>1</v>
      </c>
      <c r="Q80" t="s">
        <v>528</v>
      </c>
      <c r="R80" t="s">
        <v>528</v>
      </c>
      <c r="S80" t="s">
        <v>528</v>
      </c>
      <c r="T80" t="s">
        <v>528</v>
      </c>
      <c r="U80" t="s">
        <v>811</v>
      </c>
      <c r="V80" t="s">
        <v>533</v>
      </c>
      <c r="W80" t="s">
        <v>812</v>
      </c>
      <c r="X80" t="s">
        <v>740</v>
      </c>
      <c r="Y80" t="s">
        <v>533</v>
      </c>
      <c r="Z80" t="s">
        <v>528</v>
      </c>
      <c r="AA80">
        <v>1910</v>
      </c>
      <c r="AB80" t="s">
        <v>712</v>
      </c>
      <c r="AC80" t="s">
        <v>713</v>
      </c>
      <c r="AD80" t="s">
        <v>712</v>
      </c>
      <c r="AE80" t="s">
        <v>713</v>
      </c>
      <c r="AF80" t="s">
        <v>533</v>
      </c>
      <c r="AG80" s="58">
        <v>43836</v>
      </c>
      <c r="AH80" t="s">
        <v>813</v>
      </c>
      <c r="AI80" t="s">
        <v>814</v>
      </c>
      <c r="AK80">
        <v>0</v>
      </c>
      <c r="AL80" t="str">
        <f>"0000000010962"</f>
        <v>0000000010962</v>
      </c>
      <c r="AM80" t="s">
        <v>716</v>
      </c>
      <c r="AO80" s="58">
        <v>73050</v>
      </c>
      <c r="AP80" s="58">
        <v>73050</v>
      </c>
      <c r="AQ80" t="s">
        <v>717</v>
      </c>
      <c r="AR80" t="s">
        <v>718</v>
      </c>
      <c r="AS80">
        <v>0</v>
      </c>
      <c r="AT80" t="s">
        <v>815</v>
      </c>
      <c r="AU80">
        <v>0</v>
      </c>
      <c r="AV80">
        <v>0</v>
      </c>
      <c r="AW80" t="s">
        <v>719</v>
      </c>
      <c r="AX80" t="s">
        <v>816</v>
      </c>
      <c r="AY80" t="s">
        <v>533</v>
      </c>
      <c r="AZ80">
        <v>0</v>
      </c>
      <c r="BA80" t="s">
        <v>533</v>
      </c>
      <c r="BC80" t="s">
        <v>721</v>
      </c>
      <c r="BD80" t="s">
        <v>722</v>
      </c>
    </row>
    <row r="81" spans="11:56">
      <c r="K81" t="s">
        <v>817</v>
      </c>
      <c r="L81" t="s">
        <v>54</v>
      </c>
      <c r="M81" t="s">
        <v>818</v>
      </c>
      <c r="N81" t="s">
        <v>819</v>
      </c>
      <c r="O81" t="s">
        <v>820</v>
      </c>
      <c r="P81">
        <v>1</v>
      </c>
      <c r="Q81" t="s">
        <v>528</v>
      </c>
      <c r="R81" t="s">
        <v>528</v>
      </c>
      <c r="S81" t="s">
        <v>528</v>
      </c>
      <c r="T81" t="s">
        <v>528</v>
      </c>
      <c r="U81" t="s">
        <v>821</v>
      </c>
      <c r="V81" t="s">
        <v>533</v>
      </c>
      <c r="W81" t="s">
        <v>822</v>
      </c>
      <c r="X81" t="s">
        <v>740</v>
      </c>
      <c r="Y81" t="s">
        <v>533</v>
      </c>
      <c r="Z81" t="s">
        <v>528</v>
      </c>
      <c r="AA81">
        <v>1909</v>
      </c>
      <c r="AB81" t="s">
        <v>712</v>
      </c>
      <c r="AC81" t="s">
        <v>713</v>
      </c>
      <c r="AD81" t="s">
        <v>712</v>
      </c>
      <c r="AE81" t="s">
        <v>713</v>
      </c>
      <c r="AF81" t="s">
        <v>533</v>
      </c>
      <c r="AG81" s="58">
        <v>43836</v>
      </c>
      <c r="AH81" t="s">
        <v>823</v>
      </c>
      <c r="AI81" t="s">
        <v>814</v>
      </c>
      <c r="AK81">
        <v>0</v>
      </c>
      <c r="AL81" t="str">
        <f>"0000000010955"</f>
        <v>0000000010955</v>
      </c>
      <c r="AM81" t="s">
        <v>716</v>
      </c>
      <c r="AO81" s="58">
        <v>73050</v>
      </c>
      <c r="AP81" s="58">
        <v>73050</v>
      </c>
      <c r="AQ81" t="s">
        <v>717</v>
      </c>
      <c r="AR81" t="s">
        <v>718</v>
      </c>
      <c r="AS81">
        <v>0</v>
      </c>
      <c r="AT81" t="s">
        <v>824</v>
      </c>
      <c r="AU81">
        <v>0</v>
      </c>
      <c r="AV81">
        <v>0</v>
      </c>
      <c r="AW81" t="s">
        <v>719</v>
      </c>
      <c r="AX81" t="s">
        <v>824</v>
      </c>
      <c r="AY81" t="s">
        <v>533</v>
      </c>
      <c r="AZ81">
        <v>0</v>
      </c>
      <c r="BA81" t="s">
        <v>533</v>
      </c>
      <c r="BC81" t="s">
        <v>721</v>
      </c>
      <c r="BD81" t="s">
        <v>722</v>
      </c>
    </row>
    <row r="82" spans="11:56">
      <c r="K82" t="s">
        <v>825</v>
      </c>
      <c r="L82" t="s">
        <v>54</v>
      </c>
      <c r="M82" t="s">
        <v>826</v>
      </c>
      <c r="N82" t="s">
        <v>827</v>
      </c>
      <c r="O82" t="s">
        <v>828</v>
      </c>
      <c r="P82">
        <v>1</v>
      </c>
      <c r="Q82" t="s">
        <v>528</v>
      </c>
      <c r="R82" t="s">
        <v>528</v>
      </c>
      <c r="S82" t="s">
        <v>528</v>
      </c>
      <c r="T82" t="s">
        <v>528</v>
      </c>
      <c r="U82" t="s">
        <v>829</v>
      </c>
      <c r="V82" t="s">
        <v>533</v>
      </c>
      <c r="W82" t="s">
        <v>830</v>
      </c>
      <c r="X82" t="s">
        <v>740</v>
      </c>
      <c r="Y82" t="s">
        <v>533</v>
      </c>
      <c r="Z82" t="s">
        <v>528</v>
      </c>
      <c r="AA82">
        <v>5530</v>
      </c>
      <c r="AB82" t="s">
        <v>712</v>
      </c>
      <c r="AC82" t="s">
        <v>713</v>
      </c>
      <c r="AD82" t="s">
        <v>712</v>
      </c>
      <c r="AE82" t="s">
        <v>713</v>
      </c>
      <c r="AF82" t="s">
        <v>533</v>
      </c>
      <c r="AG82" s="58">
        <v>43663</v>
      </c>
      <c r="AH82" t="s">
        <v>831</v>
      </c>
      <c r="AI82" t="s">
        <v>734</v>
      </c>
      <c r="AK82">
        <v>0</v>
      </c>
      <c r="AL82" t="str">
        <f>"0000000047470"</f>
        <v>0000000047470</v>
      </c>
      <c r="AM82" t="s">
        <v>716</v>
      </c>
      <c r="AO82" s="58">
        <v>73050</v>
      </c>
      <c r="AP82" s="58">
        <v>73050</v>
      </c>
      <c r="AQ82" t="s">
        <v>717</v>
      </c>
      <c r="AR82" t="s">
        <v>718</v>
      </c>
      <c r="AS82">
        <v>0</v>
      </c>
      <c r="AT82" t="s">
        <v>832</v>
      </c>
      <c r="AU82">
        <v>0</v>
      </c>
      <c r="AV82">
        <v>0</v>
      </c>
      <c r="AW82" t="s">
        <v>719</v>
      </c>
      <c r="AX82" t="s">
        <v>833</v>
      </c>
      <c r="AY82" t="s">
        <v>533</v>
      </c>
      <c r="AZ82">
        <v>0</v>
      </c>
      <c r="BA82" t="s">
        <v>533</v>
      </c>
      <c r="BC82" t="s">
        <v>721</v>
      </c>
      <c r="BD82" t="s">
        <v>722</v>
      </c>
    </row>
    <row r="83" spans="11:56">
      <c r="K83" t="s">
        <v>100</v>
      </c>
      <c r="L83" t="s">
        <v>54</v>
      </c>
      <c r="M83" t="s">
        <v>99</v>
      </c>
      <c r="N83" t="s">
        <v>834</v>
      </c>
      <c r="O83" t="str">
        <f>"0000000336031"</f>
        <v>0000000336031</v>
      </c>
      <c r="P83">
        <v>1</v>
      </c>
      <c r="Q83" t="s">
        <v>528</v>
      </c>
      <c r="R83" t="s">
        <v>528</v>
      </c>
      <c r="S83" t="s">
        <v>835</v>
      </c>
      <c r="T83" t="s">
        <v>835</v>
      </c>
      <c r="U83" t="s">
        <v>836</v>
      </c>
      <c r="V83" t="s">
        <v>533</v>
      </c>
      <c r="W83" t="s">
        <v>711</v>
      </c>
      <c r="Y83" t="s">
        <v>533</v>
      </c>
      <c r="Z83" t="s">
        <v>528</v>
      </c>
      <c r="AA83">
        <v>34149</v>
      </c>
      <c r="AB83" t="s">
        <v>712</v>
      </c>
      <c r="AC83" t="s">
        <v>766</v>
      </c>
      <c r="AD83" t="s">
        <v>712</v>
      </c>
      <c r="AE83" t="s">
        <v>766</v>
      </c>
      <c r="AF83" t="s">
        <v>533</v>
      </c>
      <c r="AG83" s="58">
        <v>43775</v>
      </c>
      <c r="AH83" t="s">
        <v>837</v>
      </c>
      <c r="AI83" t="s">
        <v>734</v>
      </c>
      <c r="AK83">
        <v>0</v>
      </c>
      <c r="AL83" t="str">
        <f>"0000000336031"</f>
        <v>0000000336031</v>
      </c>
      <c r="AM83" t="s">
        <v>716</v>
      </c>
      <c r="AO83" s="58">
        <v>73050</v>
      </c>
      <c r="AP83" s="58">
        <v>73050</v>
      </c>
      <c r="AQ83" t="s">
        <v>717</v>
      </c>
      <c r="AR83" t="s">
        <v>718</v>
      </c>
      <c r="AS83">
        <v>1</v>
      </c>
      <c r="AT83" t="s">
        <v>838</v>
      </c>
      <c r="AU83">
        <v>0</v>
      </c>
      <c r="AV83">
        <v>0</v>
      </c>
      <c r="AW83" t="s">
        <v>719</v>
      </c>
      <c r="AX83" t="s">
        <v>838</v>
      </c>
      <c r="AY83" t="s">
        <v>533</v>
      </c>
      <c r="AZ83">
        <v>0</v>
      </c>
      <c r="BA83" t="s">
        <v>533</v>
      </c>
      <c r="BC83" t="s">
        <v>721</v>
      </c>
      <c r="BD83" t="s">
        <v>722</v>
      </c>
    </row>
    <row r="84" spans="11:56">
      <c r="K84" t="s">
        <v>839</v>
      </c>
      <c r="L84" t="s">
        <v>54</v>
      </c>
      <c r="M84" t="s">
        <v>840</v>
      </c>
      <c r="N84" t="s">
        <v>841</v>
      </c>
      <c r="O84" t="str">
        <f>"0000000143912"</f>
        <v>0000000143912</v>
      </c>
      <c r="P84">
        <v>1</v>
      </c>
      <c r="Q84" t="s">
        <v>528</v>
      </c>
      <c r="R84" t="s">
        <v>765</v>
      </c>
      <c r="S84" t="s">
        <v>765</v>
      </c>
      <c r="T84" t="s">
        <v>765</v>
      </c>
      <c r="U84" t="s">
        <v>842</v>
      </c>
      <c r="V84" t="s">
        <v>533</v>
      </c>
      <c r="W84" t="s">
        <v>843</v>
      </c>
      <c r="Y84" t="s">
        <v>533</v>
      </c>
      <c r="Z84" t="s">
        <v>765</v>
      </c>
      <c r="AA84">
        <v>15265</v>
      </c>
      <c r="AB84" t="s">
        <v>712</v>
      </c>
      <c r="AC84" t="s">
        <v>726</v>
      </c>
      <c r="AD84" t="s">
        <v>712</v>
      </c>
      <c r="AE84" t="s">
        <v>726</v>
      </c>
      <c r="AF84" t="s">
        <v>533</v>
      </c>
      <c r="AG84" s="58">
        <v>43340</v>
      </c>
      <c r="AH84" t="s">
        <v>714</v>
      </c>
      <c r="AI84" t="s">
        <v>715</v>
      </c>
      <c r="AK84">
        <v>0</v>
      </c>
      <c r="AL84" t="str">
        <f>"0000000143912"</f>
        <v>0000000143912</v>
      </c>
      <c r="AM84" t="s">
        <v>716</v>
      </c>
      <c r="AO84" s="58">
        <v>73050</v>
      </c>
      <c r="AP84" s="58">
        <v>73050</v>
      </c>
      <c r="AQ84" t="s">
        <v>717</v>
      </c>
      <c r="AR84" t="s">
        <v>718</v>
      </c>
      <c r="AS84">
        <v>1</v>
      </c>
      <c r="AT84" t="s">
        <v>844</v>
      </c>
      <c r="AU84">
        <v>0</v>
      </c>
      <c r="AV84">
        <v>0</v>
      </c>
      <c r="AW84" t="s">
        <v>719</v>
      </c>
      <c r="AX84" t="s">
        <v>845</v>
      </c>
      <c r="AY84" t="s">
        <v>533</v>
      </c>
      <c r="AZ84">
        <v>0</v>
      </c>
      <c r="BA84" t="s">
        <v>533</v>
      </c>
      <c r="BC84" t="s">
        <v>721</v>
      </c>
      <c r="BD84" t="s">
        <v>722</v>
      </c>
    </row>
    <row r="85" spans="11:56">
      <c r="K85" t="s">
        <v>846</v>
      </c>
      <c r="L85" t="s">
        <v>54</v>
      </c>
      <c r="M85" t="s">
        <v>847</v>
      </c>
      <c r="N85" t="s">
        <v>848</v>
      </c>
      <c r="O85" t="str">
        <f>"0000000342940"</f>
        <v>0000000342940</v>
      </c>
      <c r="P85">
        <v>1</v>
      </c>
      <c r="Q85" t="s">
        <v>528</v>
      </c>
      <c r="R85" t="s">
        <v>528</v>
      </c>
      <c r="S85" t="s">
        <v>528</v>
      </c>
      <c r="T85" t="s">
        <v>528</v>
      </c>
      <c r="U85" t="s">
        <v>849</v>
      </c>
      <c r="V85" t="s">
        <v>533</v>
      </c>
      <c r="W85" t="s">
        <v>711</v>
      </c>
      <c r="Y85" t="s">
        <v>533</v>
      </c>
      <c r="Z85" t="s">
        <v>528</v>
      </c>
      <c r="AA85">
        <v>34887</v>
      </c>
      <c r="AB85" t="s">
        <v>712</v>
      </c>
      <c r="AC85" t="s">
        <v>713</v>
      </c>
      <c r="AD85" t="s">
        <v>712</v>
      </c>
      <c r="AE85" t="s">
        <v>713</v>
      </c>
      <c r="AF85" t="s">
        <v>533</v>
      </c>
      <c r="AG85" s="58">
        <v>43860</v>
      </c>
      <c r="AH85" t="s">
        <v>850</v>
      </c>
      <c r="AI85" t="s">
        <v>734</v>
      </c>
      <c r="AK85">
        <v>0</v>
      </c>
      <c r="AL85" t="str">
        <f>"0000000342940"</f>
        <v>0000000342940</v>
      </c>
      <c r="AM85" t="s">
        <v>716</v>
      </c>
      <c r="AO85" s="58">
        <v>73050</v>
      </c>
      <c r="AP85" s="58">
        <v>73050</v>
      </c>
      <c r="AQ85" t="s">
        <v>717</v>
      </c>
      <c r="AR85" t="s">
        <v>718</v>
      </c>
      <c r="AS85">
        <v>1</v>
      </c>
      <c r="AT85" t="s">
        <v>851</v>
      </c>
      <c r="AU85">
        <v>0</v>
      </c>
      <c r="AV85">
        <v>0</v>
      </c>
      <c r="AW85" t="s">
        <v>719</v>
      </c>
      <c r="AX85" t="s">
        <v>851</v>
      </c>
      <c r="AY85" t="s">
        <v>533</v>
      </c>
      <c r="AZ85">
        <v>0</v>
      </c>
      <c r="BA85" t="s">
        <v>533</v>
      </c>
      <c r="BC85" t="s">
        <v>721</v>
      </c>
      <c r="BD85" t="s">
        <v>722</v>
      </c>
    </row>
    <row r="86" spans="11:56">
      <c r="K86" t="s">
        <v>852</v>
      </c>
      <c r="L86" t="s">
        <v>54</v>
      </c>
      <c r="M86" t="s">
        <v>853</v>
      </c>
      <c r="N86" t="s">
        <v>854</v>
      </c>
      <c r="O86" t="str">
        <f>"0000000407816"</f>
        <v>0000000407816</v>
      </c>
      <c r="P86">
        <v>1</v>
      </c>
      <c r="Q86" t="s">
        <v>528</v>
      </c>
      <c r="R86" t="s">
        <v>528</v>
      </c>
      <c r="S86" t="s">
        <v>528</v>
      </c>
      <c r="T86" t="s">
        <v>528</v>
      </c>
      <c r="U86" t="s">
        <v>711</v>
      </c>
      <c r="V86" t="s">
        <v>533</v>
      </c>
      <c r="W86" t="s">
        <v>711</v>
      </c>
      <c r="Y86" t="s">
        <v>533</v>
      </c>
      <c r="Z86" t="s">
        <v>528</v>
      </c>
      <c r="AA86">
        <v>42347</v>
      </c>
      <c r="AB86" t="s">
        <v>712</v>
      </c>
      <c r="AC86" t="s">
        <v>713</v>
      </c>
      <c r="AD86" t="s">
        <v>712</v>
      </c>
      <c r="AE86" t="s">
        <v>713</v>
      </c>
      <c r="AF86" t="s">
        <v>533</v>
      </c>
      <c r="AG86" s="58">
        <v>43514</v>
      </c>
      <c r="AH86" t="s">
        <v>855</v>
      </c>
      <c r="AI86" t="s">
        <v>814</v>
      </c>
      <c r="AK86">
        <v>0</v>
      </c>
      <c r="AL86" t="str">
        <f>"0000000407816"</f>
        <v>0000000407816</v>
      </c>
      <c r="AM86" t="s">
        <v>716</v>
      </c>
      <c r="AO86" s="58">
        <v>73050</v>
      </c>
      <c r="AP86" s="58">
        <v>73050</v>
      </c>
      <c r="AQ86" t="s">
        <v>717</v>
      </c>
      <c r="AR86" t="s">
        <v>718</v>
      </c>
      <c r="AS86">
        <v>1</v>
      </c>
      <c r="AT86" t="s">
        <v>856</v>
      </c>
      <c r="AU86">
        <v>0</v>
      </c>
      <c r="AV86">
        <v>0</v>
      </c>
      <c r="AW86" t="s">
        <v>719</v>
      </c>
      <c r="AX86" t="s">
        <v>856</v>
      </c>
      <c r="AY86" t="s">
        <v>533</v>
      </c>
      <c r="AZ86">
        <v>0</v>
      </c>
      <c r="BA86" t="s">
        <v>533</v>
      </c>
      <c r="BC86" t="s">
        <v>721</v>
      </c>
      <c r="BD86" t="s">
        <v>722</v>
      </c>
    </row>
    <row r="87" spans="11:56">
      <c r="K87" t="s">
        <v>857</v>
      </c>
      <c r="L87" t="s">
        <v>54</v>
      </c>
      <c r="M87" t="s">
        <v>858</v>
      </c>
      <c r="N87" t="s">
        <v>859</v>
      </c>
      <c r="O87" t="str">
        <f>"0000000425834"</f>
        <v>0000000425834</v>
      </c>
      <c r="P87">
        <v>1</v>
      </c>
      <c r="Q87" t="s">
        <v>528</v>
      </c>
      <c r="R87" t="s">
        <v>528</v>
      </c>
      <c r="S87" t="s">
        <v>528</v>
      </c>
      <c r="T87" t="s">
        <v>528</v>
      </c>
      <c r="U87" t="s">
        <v>711</v>
      </c>
      <c r="V87" t="s">
        <v>533</v>
      </c>
      <c r="W87" t="s">
        <v>711</v>
      </c>
      <c r="Y87" t="s">
        <v>533</v>
      </c>
      <c r="Z87" t="s">
        <v>528</v>
      </c>
      <c r="AA87">
        <v>44355</v>
      </c>
      <c r="AB87" t="s">
        <v>712</v>
      </c>
      <c r="AC87" t="s">
        <v>713</v>
      </c>
      <c r="AD87" t="s">
        <v>712</v>
      </c>
      <c r="AE87" t="s">
        <v>713</v>
      </c>
      <c r="AF87" t="s">
        <v>533</v>
      </c>
      <c r="AG87" s="58">
        <v>43860</v>
      </c>
      <c r="AH87" t="s">
        <v>850</v>
      </c>
      <c r="AI87" t="s">
        <v>734</v>
      </c>
      <c r="AK87">
        <v>0</v>
      </c>
      <c r="AL87" t="str">
        <f>"0000000425834"</f>
        <v>0000000425834</v>
      </c>
      <c r="AM87" t="s">
        <v>716</v>
      </c>
      <c r="AO87" s="58">
        <v>73050</v>
      </c>
      <c r="AP87" s="58">
        <v>73050</v>
      </c>
      <c r="AQ87" t="s">
        <v>717</v>
      </c>
      <c r="AR87" t="s">
        <v>718</v>
      </c>
      <c r="AS87">
        <v>1</v>
      </c>
      <c r="AT87" t="s">
        <v>860</v>
      </c>
      <c r="AU87">
        <v>0</v>
      </c>
      <c r="AV87">
        <v>0</v>
      </c>
      <c r="AW87" t="s">
        <v>719</v>
      </c>
      <c r="AX87" t="s">
        <v>860</v>
      </c>
      <c r="AY87" t="s">
        <v>533</v>
      </c>
      <c r="AZ87">
        <v>0</v>
      </c>
      <c r="BA87" t="s">
        <v>533</v>
      </c>
      <c r="BC87" t="s">
        <v>721</v>
      </c>
      <c r="BD87" t="s">
        <v>722</v>
      </c>
    </row>
    <row r="88" spans="11:56">
      <c r="K88" t="s">
        <v>861</v>
      </c>
      <c r="L88" t="s">
        <v>54</v>
      </c>
      <c r="M88" t="s">
        <v>862</v>
      </c>
      <c r="N88" t="s">
        <v>863</v>
      </c>
      <c r="O88" t="str">
        <f>"0000000413022"</f>
        <v>0000000413022</v>
      </c>
      <c r="P88">
        <v>1</v>
      </c>
      <c r="Q88" t="s">
        <v>528</v>
      </c>
      <c r="R88" t="s">
        <v>528</v>
      </c>
      <c r="S88" t="s">
        <v>528</v>
      </c>
      <c r="T88" t="s">
        <v>528</v>
      </c>
      <c r="U88" t="s">
        <v>864</v>
      </c>
      <c r="V88" t="s">
        <v>533</v>
      </c>
      <c r="W88" t="s">
        <v>711</v>
      </c>
      <c r="X88" t="s">
        <v>740</v>
      </c>
      <c r="Y88" t="s">
        <v>533</v>
      </c>
      <c r="Z88" t="s">
        <v>528</v>
      </c>
      <c r="AA88">
        <v>42935</v>
      </c>
      <c r="AB88" t="s">
        <v>712</v>
      </c>
      <c r="AC88" t="s">
        <v>726</v>
      </c>
      <c r="AD88" t="s">
        <v>712</v>
      </c>
      <c r="AE88" t="s">
        <v>726</v>
      </c>
      <c r="AF88" t="s">
        <v>533</v>
      </c>
      <c r="AG88" s="58">
        <v>43804</v>
      </c>
      <c r="AH88" t="s">
        <v>800</v>
      </c>
      <c r="AI88" t="s">
        <v>734</v>
      </c>
      <c r="AK88">
        <v>0</v>
      </c>
      <c r="AL88" t="str">
        <f>"0000000413022"</f>
        <v>0000000413022</v>
      </c>
      <c r="AM88" t="s">
        <v>716</v>
      </c>
      <c r="AO88" s="58">
        <v>73050</v>
      </c>
      <c r="AP88" s="58">
        <v>73050</v>
      </c>
      <c r="AQ88" t="s">
        <v>717</v>
      </c>
      <c r="AR88" t="s">
        <v>718</v>
      </c>
      <c r="AS88">
        <v>1</v>
      </c>
      <c r="AT88" t="s">
        <v>865</v>
      </c>
      <c r="AU88">
        <v>0</v>
      </c>
      <c r="AV88">
        <v>0</v>
      </c>
      <c r="AW88" t="s">
        <v>719</v>
      </c>
      <c r="AX88" t="s">
        <v>865</v>
      </c>
      <c r="AY88" t="s">
        <v>533</v>
      </c>
      <c r="AZ88">
        <v>0</v>
      </c>
      <c r="BA88" t="s">
        <v>533</v>
      </c>
      <c r="BC88" t="s">
        <v>721</v>
      </c>
      <c r="BD88" t="s">
        <v>722</v>
      </c>
    </row>
    <row r="89" spans="11:56">
      <c r="K89" t="s">
        <v>866</v>
      </c>
      <c r="L89" t="s">
        <v>54</v>
      </c>
      <c r="M89" t="s">
        <v>867</v>
      </c>
      <c r="N89" t="s">
        <v>868</v>
      </c>
      <c r="O89" t="s">
        <v>869</v>
      </c>
      <c r="P89">
        <v>1</v>
      </c>
      <c r="Q89" t="s">
        <v>528</v>
      </c>
      <c r="R89" t="s">
        <v>528</v>
      </c>
      <c r="S89" t="s">
        <v>528</v>
      </c>
      <c r="T89" t="s">
        <v>528</v>
      </c>
      <c r="U89" t="s">
        <v>870</v>
      </c>
      <c r="V89" t="s">
        <v>533</v>
      </c>
      <c r="W89" t="s">
        <v>868</v>
      </c>
      <c r="X89" t="s">
        <v>740</v>
      </c>
      <c r="Y89" t="s">
        <v>533</v>
      </c>
      <c r="Z89" t="s">
        <v>528</v>
      </c>
      <c r="AA89">
        <v>1914</v>
      </c>
      <c r="AB89" t="s">
        <v>712</v>
      </c>
      <c r="AC89" t="s">
        <v>713</v>
      </c>
      <c r="AD89" t="s">
        <v>712</v>
      </c>
      <c r="AE89" t="s">
        <v>713</v>
      </c>
      <c r="AF89" t="s">
        <v>533</v>
      </c>
      <c r="AG89" s="58">
        <v>43432</v>
      </c>
      <c r="AH89" t="s">
        <v>871</v>
      </c>
      <c r="AI89" t="s">
        <v>872</v>
      </c>
      <c r="AK89">
        <v>0</v>
      </c>
      <c r="AL89" t="str">
        <f>"0000000011006"</f>
        <v>0000000011006</v>
      </c>
      <c r="AM89" t="s">
        <v>716</v>
      </c>
      <c r="AO89" s="58">
        <v>73050</v>
      </c>
      <c r="AP89" s="58">
        <v>73050</v>
      </c>
      <c r="AQ89" t="s">
        <v>717</v>
      </c>
      <c r="AR89" t="s">
        <v>718</v>
      </c>
      <c r="AS89">
        <v>1</v>
      </c>
      <c r="AT89" t="s">
        <v>533</v>
      </c>
      <c r="AU89">
        <v>0</v>
      </c>
      <c r="AV89">
        <v>0</v>
      </c>
      <c r="AW89" t="s">
        <v>719</v>
      </c>
      <c r="AX89" t="s">
        <v>533</v>
      </c>
      <c r="AY89" t="s">
        <v>533</v>
      </c>
      <c r="AZ89">
        <v>0</v>
      </c>
      <c r="BA89" t="s">
        <v>533</v>
      </c>
      <c r="BC89" t="s">
        <v>721</v>
      </c>
      <c r="BD89" t="s">
        <v>722</v>
      </c>
    </row>
    <row r="90" spans="11:56">
      <c r="K90" t="s">
        <v>537</v>
      </c>
      <c r="L90" t="s">
        <v>535</v>
      </c>
      <c r="M90" t="s">
        <v>536</v>
      </c>
      <c r="N90" t="s">
        <v>873</v>
      </c>
      <c r="O90" t="s">
        <v>538</v>
      </c>
      <c r="P90">
        <v>1</v>
      </c>
      <c r="Q90" t="s">
        <v>528</v>
      </c>
      <c r="R90" t="s">
        <v>528</v>
      </c>
      <c r="S90" t="s">
        <v>528</v>
      </c>
      <c r="T90" t="s">
        <v>528</v>
      </c>
      <c r="U90" t="s">
        <v>874</v>
      </c>
      <c r="V90" t="s">
        <v>533</v>
      </c>
      <c r="W90" t="s">
        <v>875</v>
      </c>
      <c r="X90" t="s">
        <v>740</v>
      </c>
      <c r="Y90" t="s">
        <v>533</v>
      </c>
      <c r="Z90" t="s">
        <v>528</v>
      </c>
      <c r="AA90">
        <v>47840</v>
      </c>
      <c r="AB90" t="s">
        <v>712</v>
      </c>
      <c r="AC90" t="s">
        <v>713</v>
      </c>
      <c r="AD90" t="s">
        <v>712</v>
      </c>
      <c r="AE90" t="s">
        <v>713</v>
      </c>
      <c r="AF90" t="s">
        <v>533</v>
      </c>
      <c r="AG90" s="58">
        <v>43858</v>
      </c>
      <c r="AH90" t="s">
        <v>876</v>
      </c>
      <c r="AI90" t="s">
        <v>734</v>
      </c>
      <c r="AK90">
        <v>0</v>
      </c>
      <c r="AL90" t="str">
        <f>"0000000011013"</f>
        <v>0000000011013</v>
      </c>
      <c r="AM90" t="s">
        <v>716</v>
      </c>
      <c r="AO90" s="58">
        <v>73050</v>
      </c>
      <c r="AP90" s="58">
        <v>73050</v>
      </c>
      <c r="AQ90" t="s">
        <v>717</v>
      </c>
      <c r="AR90" t="s">
        <v>718</v>
      </c>
      <c r="AS90">
        <v>1</v>
      </c>
      <c r="AT90" t="s">
        <v>877</v>
      </c>
      <c r="AU90">
        <v>0</v>
      </c>
      <c r="AV90">
        <v>0</v>
      </c>
      <c r="AW90" t="s">
        <v>878</v>
      </c>
      <c r="AX90" t="s">
        <v>877</v>
      </c>
      <c r="AY90" t="s">
        <v>534</v>
      </c>
      <c r="AZ90">
        <v>0</v>
      </c>
      <c r="BA90" t="s">
        <v>533</v>
      </c>
      <c r="BC90" t="s">
        <v>721</v>
      </c>
      <c r="BD90" t="s">
        <v>722</v>
      </c>
    </row>
    <row r="91" spans="11:56">
      <c r="K91" t="s">
        <v>879</v>
      </c>
      <c r="L91" t="s">
        <v>535</v>
      </c>
      <c r="M91" t="s">
        <v>880</v>
      </c>
      <c r="N91" t="s">
        <v>881</v>
      </c>
      <c r="O91" t="str">
        <f>"0000000342957"</f>
        <v>0000000342957</v>
      </c>
      <c r="P91">
        <v>1</v>
      </c>
      <c r="Q91" t="s">
        <v>528</v>
      </c>
      <c r="R91" t="s">
        <v>528</v>
      </c>
      <c r="S91" t="s">
        <v>528</v>
      </c>
      <c r="T91" t="s">
        <v>528</v>
      </c>
      <c r="U91" t="s">
        <v>882</v>
      </c>
      <c r="V91" t="s">
        <v>533</v>
      </c>
      <c r="W91" t="s">
        <v>711</v>
      </c>
      <c r="Y91" t="s">
        <v>533</v>
      </c>
      <c r="Z91" t="s">
        <v>528</v>
      </c>
      <c r="AA91">
        <v>47842</v>
      </c>
      <c r="AB91" t="s">
        <v>712</v>
      </c>
      <c r="AC91" t="s">
        <v>713</v>
      </c>
      <c r="AD91" t="s">
        <v>712</v>
      </c>
      <c r="AE91" t="s">
        <v>713</v>
      </c>
      <c r="AF91" t="s">
        <v>533</v>
      </c>
      <c r="AG91" s="58">
        <v>43858</v>
      </c>
      <c r="AH91" t="s">
        <v>876</v>
      </c>
      <c r="AI91" t="s">
        <v>734</v>
      </c>
      <c r="AK91">
        <v>0</v>
      </c>
      <c r="AL91" t="str">
        <f>"0000000342957"</f>
        <v>0000000342957</v>
      </c>
      <c r="AM91" t="s">
        <v>716</v>
      </c>
      <c r="AO91" s="58">
        <v>73050</v>
      </c>
      <c r="AP91" s="58">
        <v>73050</v>
      </c>
      <c r="AQ91" t="s">
        <v>717</v>
      </c>
      <c r="AR91" t="s">
        <v>718</v>
      </c>
      <c r="AS91">
        <v>1</v>
      </c>
      <c r="AT91" t="s">
        <v>883</v>
      </c>
      <c r="AU91">
        <v>0</v>
      </c>
      <c r="AV91">
        <v>0</v>
      </c>
      <c r="AW91" t="s">
        <v>878</v>
      </c>
      <c r="AX91" t="s">
        <v>883</v>
      </c>
      <c r="AY91" t="s">
        <v>533</v>
      </c>
      <c r="AZ91">
        <v>0</v>
      </c>
      <c r="BA91" t="s">
        <v>533</v>
      </c>
      <c r="BC91" t="s">
        <v>721</v>
      </c>
      <c r="BD91" t="s">
        <v>722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856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3</vt:i4>
      </vt:variant>
    </vt:vector>
  </HeadingPairs>
  <TitlesOfParts>
    <vt:vector size="10" baseType="lpstr">
      <vt:lpstr>checklijstDVSA</vt:lpstr>
      <vt:lpstr>batch</vt:lpstr>
      <vt:lpstr>Blad5</vt:lpstr>
      <vt:lpstr>Blad4</vt:lpstr>
      <vt:lpstr>Blad2</vt:lpstr>
      <vt:lpstr>Blad1</vt:lpstr>
      <vt:lpstr>Blad3</vt:lpstr>
      <vt:lpstr>batch!Afdrukbereik</vt:lpstr>
      <vt:lpstr>checklijstDVSA!Afdrukbereik</vt:lpstr>
      <vt:lpstr>checklijstDVSA!Print_Area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2020-09-01T13:51:53Z</cp:lastPrinted>
  <dcterms:created xsi:type="dcterms:W3CDTF">2020-02-17T13:52:46Z</dcterms:created>
  <dcterms:modified xsi:type="dcterms:W3CDTF">2020-09-30T07:34:36Z</dcterms:modified>
</cp:coreProperties>
</file>

<file path=docProps/core0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2008-01-21T14:11:29Z</dcterms:created>
  <dc:creator>JVDB</dc:creator>
  <dc:description/>
  <dc:language>nl-BE</dc:language>
  <cp:lastModifiedBy/>
  <cp:lastPrinted>2019-10-28T11:40:46Z</cp:lastPrinted>
  <dcterms:modified xsi:type="dcterms:W3CDTF">2019-10-28T11:47:49Z</dcterms:modified>
  <cp:revision>54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