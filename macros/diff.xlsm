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5970" windowHeight="10470" activeTab="2"/>
  </bookViews>
  <sheets>
    <sheet name="diff1" sheetId="1" r:id="rId1"/>
    <sheet name="diff2" sheetId="2" r:id="rId2"/>
    <sheet name="partlist DIFF" sheetId="3" r:id="rId3"/>
    <sheet name="unittester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3" l="1"/>
  <c r="T3" i="3"/>
  <c r="T5" i="3"/>
  <c r="T6" i="3"/>
  <c r="T7" i="3"/>
  <c r="T9" i="3"/>
  <c r="T10" i="3"/>
  <c r="T44" i="3"/>
  <c r="T64" i="3"/>
  <c r="T65" i="3"/>
  <c r="T66" i="3"/>
  <c r="T67" i="3"/>
  <c r="T68" i="3"/>
  <c r="T69" i="3"/>
  <c r="T71" i="3"/>
  <c r="T76" i="3"/>
  <c r="T79" i="3"/>
  <c r="T81" i="3"/>
  <c r="T82" i="3"/>
  <c r="T83" i="3"/>
  <c r="T84" i="3"/>
  <c r="T85" i="3"/>
  <c r="T88" i="3"/>
  <c r="T94" i="3"/>
  <c r="T95" i="3"/>
  <c r="T96" i="3"/>
  <c r="T97" i="3"/>
  <c r="T102" i="3"/>
  <c r="T103" i="3"/>
  <c r="G2" i="3" l="1"/>
  <c r="G3" i="3"/>
  <c r="G5" i="3"/>
  <c r="G6" i="3"/>
  <c r="G7" i="3"/>
  <c r="G9" i="3"/>
  <c r="G10" i="3"/>
  <c r="G39" i="3"/>
  <c r="G57" i="3"/>
  <c r="G58" i="3"/>
  <c r="G59" i="3"/>
  <c r="G60" i="3"/>
  <c r="G61" i="3"/>
  <c r="G62" i="3"/>
  <c r="G63" i="3"/>
  <c r="G67" i="3"/>
  <c r="G71" i="3"/>
  <c r="G72" i="3"/>
  <c r="G73" i="3"/>
  <c r="G74" i="3"/>
  <c r="G75" i="3"/>
  <c r="G76" i="3"/>
  <c r="G79" i="3"/>
  <c r="G85" i="3"/>
  <c r="G86" i="3"/>
  <c r="G87" i="3"/>
  <c r="G92" i="3"/>
  <c r="G93" i="3"/>
  <c r="T60" i="4" l="1"/>
  <c r="G60" i="4"/>
  <c r="T59" i="4"/>
  <c r="G59" i="4"/>
  <c r="T58" i="4"/>
  <c r="G58" i="4"/>
  <c r="T55" i="4"/>
  <c r="G55" i="4"/>
  <c r="T51" i="4"/>
  <c r="G51" i="4"/>
  <c r="T50" i="4"/>
  <c r="G50" i="4"/>
  <c r="T49" i="4"/>
  <c r="G49" i="4"/>
  <c r="T48" i="4"/>
  <c r="G48" i="4"/>
  <c r="T47" i="4"/>
  <c r="G47" i="4"/>
  <c r="T46" i="4"/>
  <c r="G46" i="4"/>
  <c r="T45" i="4"/>
  <c r="G45" i="4"/>
  <c r="T42" i="4"/>
  <c r="G42" i="4"/>
  <c r="T41" i="4"/>
  <c r="G41" i="4"/>
  <c r="T40" i="4"/>
  <c r="G40" i="4"/>
  <c r="T39" i="4"/>
  <c r="G39" i="4"/>
  <c r="T38" i="4"/>
  <c r="G38" i="4"/>
  <c r="T35" i="4"/>
  <c r="G35" i="4"/>
  <c r="T34" i="4"/>
  <c r="G34" i="4"/>
  <c r="T33" i="4"/>
  <c r="G33" i="4"/>
  <c r="T32" i="4"/>
  <c r="G32" i="4"/>
  <c r="T5" i="4"/>
  <c r="G5" i="4"/>
  <c r="G5" i="1"/>
  <c r="G32" i="1"/>
  <c r="G33" i="1"/>
  <c r="G34" i="1"/>
  <c r="G35" i="1"/>
  <c r="G38" i="1"/>
  <c r="G39" i="1"/>
  <c r="G40" i="1"/>
  <c r="G41" i="1"/>
  <c r="G42" i="1"/>
  <c r="G45" i="1"/>
  <c r="G46" i="1"/>
  <c r="G47" i="1"/>
  <c r="G48" i="1"/>
  <c r="G49" i="1"/>
  <c r="G50" i="1"/>
  <c r="G51" i="1"/>
  <c r="G55" i="1"/>
  <c r="G58" i="1"/>
  <c r="G59" i="1"/>
  <c r="G60" i="1"/>
  <c r="G5" i="2"/>
  <c r="G32" i="2"/>
  <c r="G33" i="2"/>
  <c r="G34" i="2"/>
  <c r="G35" i="2"/>
  <c r="G38" i="2"/>
  <c r="G39" i="2"/>
  <c r="G40" i="2"/>
  <c r="G41" i="2"/>
  <c r="G42" i="2"/>
  <c r="G45" i="2"/>
  <c r="G46" i="2"/>
  <c r="G47" i="2"/>
  <c r="G48" i="2"/>
  <c r="G49" i="2"/>
  <c r="G50" i="2"/>
  <c r="G51" i="2"/>
  <c r="G55" i="2"/>
  <c r="G58" i="2"/>
  <c r="G59" i="2"/>
  <c r="G60" i="2"/>
</calcChain>
</file>

<file path=xl/sharedStrings.xml><?xml version="1.0" encoding="utf-8"?>
<sst xmlns="http://schemas.openxmlformats.org/spreadsheetml/2006/main" count="4976" uniqueCount="711">
  <si>
    <t>d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</si>
  <si>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</si>
  <si>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</si>
  <si>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</si>
  <si>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</si>
  <si>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</si>
  <si>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</si>
  <si>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</si>
  <si>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</si>
  <si>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</si>
  <si>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</si>
  <si>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</si>
  <si>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3,00</t>
  </si>
  <si>
    <t>ST</t>
  </si>
  <si>
    <t>AFBUS</t>
  </si>
  <si>
    <t>MS-M-04,0X15,0-BD</t>
  </si>
  <si>
    <t>Afstandsbus messing M 4 x 15 mm met buitendraad</t>
  </si>
  <si>
    <t>0FAS321040015</t>
  </si>
  <si>
    <t>MECHCO</t>
  </si>
  <si>
    <t>BEV</t>
  </si>
  <si>
    <t>0,75</t>
  </si>
  <si>
    <t>0,00</t>
  </si>
  <si>
    <t>4,00</t>
  </si>
  <si>
    <t>NY-D-04,0X10,0</t>
  </si>
  <si>
    <t>Afstandsbus nylon D 4 x 10 mm</t>
  </si>
  <si>
    <t>0FAS322040010</t>
  </si>
  <si>
    <t>0,16</t>
  </si>
  <si>
    <t>1,00</t>
  </si>
  <si>
    <t>DIVMA</t>
  </si>
  <si>
    <t>050056A00OPT</t>
  </si>
  <si>
    <t>Inkijkvenster Umbra 802</t>
  </si>
  <si>
    <t>3LUM000097060</t>
  </si>
  <si>
    <t>MAAK</t>
  </si>
  <si>
    <t>OPTBL</t>
  </si>
  <si>
    <t>2,54</t>
  </si>
  <si>
    <t>050098A00OPT</t>
  </si>
  <si>
    <t>Behuizing HIPS - LVC-T50 RAL2004 Oranje</t>
  </si>
  <si>
    <t>84,57</t>
  </si>
  <si>
    <t>2,00</t>
  </si>
  <si>
    <t>DNBOU</t>
  </si>
  <si>
    <t>0912-M03X06-RVS</t>
  </si>
  <si>
    <t>Binnenzeskantbout cylinderkop DIN0912  M 3x06mm A2</t>
  </si>
  <si>
    <t>0DN0912030062</t>
  </si>
  <si>
    <t>0,06</t>
  </si>
  <si>
    <t>0912-M04X08-RVS</t>
  </si>
  <si>
    <t>Binnenzeskantbout cylinderkop DIN0912  M 4x08mm A2</t>
  </si>
  <si>
    <t>0DN0912040082</t>
  </si>
  <si>
    <t>0,14</t>
  </si>
  <si>
    <t>6,00</t>
  </si>
  <si>
    <t>0912-M04X10-RVS</t>
  </si>
  <si>
    <t>Binnenzeskantbout cylinderkop DIN0912  M 4x10mm A2</t>
  </si>
  <si>
    <t>0DN0912040102</t>
  </si>
  <si>
    <t>0,25</t>
  </si>
  <si>
    <t>0912-M04X20-RVS</t>
  </si>
  <si>
    <t>Binnenzeskantbout cylinderkop DIN0912  M 4x20mm A2</t>
  </si>
  <si>
    <t>0DN0912040202</t>
  </si>
  <si>
    <t>0,15</t>
  </si>
  <si>
    <t>0912-M05X12-RVS</t>
  </si>
  <si>
    <t>Binnenzeskantbout cylinderkop DIN0912  M 5x12mm A2</t>
  </si>
  <si>
    <t>0DN0912050122</t>
  </si>
  <si>
    <t>0,26</t>
  </si>
  <si>
    <t>0912-M06X25-RVS</t>
  </si>
  <si>
    <t>Binnenzeskantbout cylinderkop DIN0912  M 6x25mm A2</t>
  </si>
  <si>
    <t>0DN0912060252</t>
  </si>
  <si>
    <t>0,32</t>
  </si>
  <si>
    <t>11,00</t>
  </si>
  <si>
    <t>DNMOE</t>
  </si>
  <si>
    <t>0934-M04RVS</t>
  </si>
  <si>
    <t>Zeskantmoer DIN0934  M 4mm A2</t>
  </si>
  <si>
    <t>0DN0934040002</t>
  </si>
  <si>
    <t>0934-M05RVS</t>
  </si>
  <si>
    <t>Zeskantmoer DIN0934  M 5mm A2</t>
  </si>
  <si>
    <t>0DN0934050002</t>
  </si>
  <si>
    <t>0,02</t>
  </si>
  <si>
    <t>0934-M06RVS</t>
  </si>
  <si>
    <t>Zeskantmoer DIN0934  M 6mm A2</t>
  </si>
  <si>
    <t>0DN0934060002</t>
  </si>
  <si>
    <t>0,11</t>
  </si>
  <si>
    <t>DNPEN</t>
  </si>
  <si>
    <t>0007-03X10-RVS</t>
  </si>
  <si>
    <t>Cylindrische pen DIN0007  3x10mm A2</t>
  </si>
  <si>
    <t>0DN0007030102</t>
  </si>
  <si>
    <t>0,08</t>
  </si>
  <si>
    <t>DNRON</t>
  </si>
  <si>
    <t>0125-04-RVS</t>
  </si>
  <si>
    <t>Vlakke sluitring DIN0125 4mm A2</t>
  </si>
  <si>
    <t>0DN0125040002</t>
  </si>
  <si>
    <t>0125-05-RVS</t>
  </si>
  <si>
    <t>Vlakke sluitring DIN0125 5mm A2</t>
  </si>
  <si>
    <t>0DN0125050002</t>
  </si>
  <si>
    <t>9021-03-RVS</t>
  </si>
  <si>
    <t>Sluitring met grote diameter DIN9021 3mm A2</t>
  </si>
  <si>
    <t>0DN9021030002</t>
  </si>
  <si>
    <t>0,01</t>
  </si>
  <si>
    <t>9021-06-RVS</t>
  </si>
  <si>
    <t>Sluitring met grote diameter DIN9021 6mm A2</t>
  </si>
  <si>
    <t>0DN9021060002</t>
  </si>
  <si>
    <t>0,12</t>
  </si>
  <si>
    <t>DNSCH</t>
  </si>
  <si>
    <t>0916-M03X16-RVS</t>
  </si>
  <si>
    <t>Stelschroef binnenzesk.kraterp DIN0916 M 3x 16mm A2</t>
  </si>
  <si>
    <t>0DN0916030162</t>
  </si>
  <si>
    <t>0916-M06X35-FE</t>
  </si>
  <si>
    <t>Stelschroef binnenzesk.kraterp DIN0916 M 6x 35mm staal</t>
  </si>
  <si>
    <t>0DN0916060351</t>
  </si>
  <si>
    <t>0,54</t>
  </si>
  <si>
    <t>14,00</t>
  </si>
  <si>
    <t>7985-M03X06-RVS</t>
  </si>
  <si>
    <t>Metaalschroef cyl.kop kruisin. DIN7985 M 3x 06mm A2</t>
  </si>
  <si>
    <t>0DN7985030062</t>
  </si>
  <si>
    <t>8,00</t>
  </si>
  <si>
    <t>7985-M03X08-RVS</t>
  </si>
  <si>
    <t>Metaalschroef cyl.kop kruisin. DIN7985 M 3x 08mm A2</t>
  </si>
  <si>
    <t>0DN7985030082</t>
  </si>
  <si>
    <t>7985-M03X10-RVS</t>
  </si>
  <si>
    <t>Metaalschroef cyl.kop kruisin. DIN7985 M 3x 10mm A2</t>
  </si>
  <si>
    <t>0DN7985030102</t>
  </si>
  <si>
    <t>7,00</t>
  </si>
  <si>
    <t>7985-M04X25-RVS</t>
  </si>
  <si>
    <t>Metaalschroef cyl.kop kruisin. DIN7985 M 4x 25mm A2</t>
  </si>
  <si>
    <t>0DN7985040252</t>
  </si>
  <si>
    <t>0,36</t>
  </si>
  <si>
    <t>7985-M05X12-RVS</t>
  </si>
  <si>
    <t>Metaalschroef cyl.kop kruisin. DIN7985 M 5x 12mm A2</t>
  </si>
  <si>
    <t>0DN7985050122</t>
  </si>
  <si>
    <t>0,85</t>
  </si>
  <si>
    <t>DRFR</t>
  </si>
  <si>
    <t>050053_00OPT</t>
  </si>
  <si>
    <t>Sluitring messing U15</t>
  </si>
  <si>
    <t>3LUM000004360</t>
  </si>
  <si>
    <t>6,52</t>
  </si>
  <si>
    <t>050054_00OPT</t>
  </si>
  <si>
    <t>Tussenstuk messing LM 6</t>
  </si>
  <si>
    <t>3LUM000007812</t>
  </si>
  <si>
    <t>9,60</t>
  </si>
  <si>
    <t>050193A00OPT</t>
  </si>
  <si>
    <t>Afstandsbus afschermplaat optisch blok Rev.A</t>
  </si>
  <si>
    <t>3LUM200018610</t>
  </si>
  <si>
    <t>050470_00OPT</t>
  </si>
  <si>
    <t>Sleufstuk - 10x10x210 mm</t>
  </si>
  <si>
    <t>3LUM100008550</t>
  </si>
  <si>
    <t>7,31</t>
  </si>
  <si>
    <t>050471_00OPT</t>
  </si>
  <si>
    <t>Lat drukstiften - 10x10x210 mm</t>
  </si>
  <si>
    <t>3LUM100008560</t>
  </si>
  <si>
    <t>4,69</t>
  </si>
  <si>
    <t>080185A00OPT</t>
  </si>
  <si>
    <t>Steun PCB ACC-led Rev A</t>
  </si>
  <si>
    <t>13,25</t>
  </si>
  <si>
    <t>110149_00OPT</t>
  </si>
  <si>
    <t>Tussenbus ACC-LED</t>
  </si>
  <si>
    <t>16,00</t>
  </si>
  <si>
    <t>120055_00OPT</t>
  </si>
  <si>
    <t>Tussenplaat voedingsprint LM1050</t>
  </si>
  <si>
    <t>8,80</t>
  </si>
  <si>
    <t>130039_00OPT</t>
  </si>
  <si>
    <t>Draadbus ACC-LED</t>
  </si>
  <si>
    <t>11,10</t>
  </si>
  <si>
    <t>EP-VK</t>
  </si>
  <si>
    <t>STOFHOES</t>
  </si>
  <si>
    <t>Stofhoes LM6-25-50</t>
  </si>
  <si>
    <t>3ACC-H40-0000</t>
  </si>
  <si>
    <t>ACC</t>
  </si>
  <si>
    <t>10,43</t>
  </si>
  <si>
    <t>HF</t>
  </si>
  <si>
    <t>020192_00CAL</t>
  </si>
  <si>
    <t>Ijkplaat CLP</t>
  </si>
  <si>
    <t>3CAL-C01-0000</t>
  </si>
  <si>
    <t>CAL</t>
  </si>
  <si>
    <t>36,40</t>
  </si>
  <si>
    <t>050976A00OPT</t>
  </si>
  <si>
    <t>Connectorplaatmodule LVC1050 Rev. A</t>
  </si>
  <si>
    <t>98,96</t>
  </si>
  <si>
    <t>080117A00OPT</t>
  </si>
  <si>
    <t>Lensfront LM50 ACC (12cellen)</t>
  </si>
  <si>
    <t>127,41</t>
  </si>
  <si>
    <t>090010A00OPT</t>
  </si>
  <si>
    <t>Waterpasmodule Praag</t>
  </si>
  <si>
    <t>25,60</t>
  </si>
  <si>
    <t>120273_00OPT</t>
  </si>
  <si>
    <t>Zijdeur ijkplaat met slot</t>
  </si>
  <si>
    <t>46,65</t>
  </si>
  <si>
    <t>150029A01OPT</t>
  </si>
  <si>
    <t>Cameramodule ACS200 F8-objectief</t>
  </si>
  <si>
    <t>281,34</t>
  </si>
  <si>
    <t>HFKAB</t>
  </si>
  <si>
    <t>040135A00OPT</t>
  </si>
  <si>
    <t>Kabel camera/bdp LM50 Rev. A</t>
  </si>
  <si>
    <t>3CAB040135100</t>
  </si>
  <si>
    <t>2,50</t>
  </si>
  <si>
    <t>050212_00KOL</t>
  </si>
  <si>
    <t>Voedingskabel LM1050 bdp/pow.bl.</t>
  </si>
  <si>
    <t>3CAB050212000</t>
  </si>
  <si>
    <t>KOLOM</t>
  </si>
  <si>
    <t>13,24</t>
  </si>
  <si>
    <t>051015_00OPT</t>
  </si>
  <si>
    <t>VGA Flatcable LVC1050</t>
  </si>
  <si>
    <t>3,40</t>
  </si>
  <si>
    <t>080158A00OPT</t>
  </si>
  <si>
    <t>Kabel enable flash ACC 100</t>
  </si>
  <si>
    <t>6,97</t>
  </si>
  <si>
    <t>080165_00OPT</t>
  </si>
  <si>
    <t>Kabel voeding IDC100 LED</t>
  </si>
  <si>
    <t>4,36</t>
  </si>
  <si>
    <t>HFPRI</t>
  </si>
  <si>
    <t>040358_00OPT/</t>
  </si>
  <si>
    <t>LM1050 Voedingsprint power supply</t>
  </si>
  <si>
    <t>78,45</t>
  </si>
  <si>
    <t>080163_01OPT/</t>
  </si>
  <si>
    <t>Bedieningspaneel LM1050 T60 - 12 cellen</t>
  </si>
  <si>
    <t>314,45</t>
  </si>
  <si>
    <t>140214A00OPT/</t>
  </si>
  <si>
    <t>PCB nieuwe ACC led</t>
  </si>
  <si>
    <t>42,69</t>
  </si>
  <si>
    <t>KABAS</t>
  </si>
  <si>
    <t>SER-01,8-VV-9P</t>
  </si>
  <si>
    <t>Seriële kabel 01,8m V/V -9P</t>
  </si>
  <si>
    <t>ELCOM</t>
  </si>
  <si>
    <t>KABEL</t>
  </si>
  <si>
    <t>2,43</t>
  </si>
  <si>
    <t>0,50</t>
  </si>
  <si>
    <t>KAKAN</t>
  </si>
  <si>
    <t>000X000MM-O-ZELFKL.DIAM20</t>
  </si>
  <si>
    <t>Kabelkanaal open zelfklevend - diameter 20</t>
  </si>
  <si>
    <t>0CAB961022220</t>
  </si>
  <si>
    <t>0,84</t>
  </si>
  <si>
    <t>MONTB</t>
  </si>
  <si>
    <t>MAG-10X4MM</t>
  </si>
  <si>
    <t>Montage-toebehoren magneten 10X4 mm</t>
  </si>
  <si>
    <t>3LUM000007180</t>
  </si>
  <si>
    <t>OND</t>
  </si>
  <si>
    <t>0,80</t>
  </si>
  <si>
    <t>NOR-DRUKSTIFT-HWN206I-D-M5</t>
  </si>
  <si>
    <t>Montage-toebehoren Norm-delen Drukstift - HWN206I D-M5</t>
  </si>
  <si>
    <t>3LUM000008590</t>
  </si>
  <si>
    <t>4,40</t>
  </si>
  <si>
    <t>PLTW</t>
  </si>
  <si>
    <t>040182A00OPT</t>
  </si>
  <si>
    <t>Tussenplaat scherm LM50 Rev.A</t>
  </si>
  <si>
    <t>16,60</t>
  </si>
  <si>
    <t>040412_00OPT</t>
  </si>
  <si>
    <t>Scherm ADS-afregeling</t>
  </si>
  <si>
    <t>3LVC100007591040412_</t>
  </si>
  <si>
    <t>26,74</t>
  </si>
  <si>
    <t>050058_00OPT</t>
  </si>
  <si>
    <t>Onderplaat LM6-LM11</t>
  </si>
  <si>
    <t>3LUM100097040</t>
  </si>
  <si>
    <t>19,22</t>
  </si>
  <si>
    <t>050194B00OPT</t>
  </si>
  <si>
    <t>Afschermplaat kabels optisch blok</t>
  </si>
  <si>
    <t>10,20</t>
  </si>
  <si>
    <t>070300_00OPT</t>
  </si>
  <si>
    <t>Zijplaat ophanging vooraan</t>
  </si>
  <si>
    <t>2,31</t>
  </si>
  <si>
    <t>070301_00OPT</t>
  </si>
  <si>
    <t>Zijplaat ophanging achteraan</t>
  </si>
  <si>
    <t>1,87</t>
  </si>
  <si>
    <t>STICK</t>
  </si>
  <si>
    <t>030220_00DIV</t>
  </si>
  <si>
    <t>Sticker LET transparant 49x199 mm</t>
  </si>
  <si>
    <t>3PAN030220000</t>
  </si>
  <si>
    <t>DIV</t>
  </si>
  <si>
    <t>0,46</t>
  </si>
  <si>
    <t>0,24</t>
  </si>
  <si>
    <t>98,49</t>
  </si>
  <si>
    <t>080117_00OPT</t>
  </si>
  <si>
    <t>Lensfront LM50 ACC</t>
  </si>
  <si>
    <t>123,65</t>
  </si>
  <si>
    <t>283,77</t>
  </si>
  <si>
    <t>2,44</t>
  </si>
  <si>
    <t>3,34</t>
  </si>
  <si>
    <t>79,47</t>
  </si>
  <si>
    <t>080163_00OPT/</t>
  </si>
  <si>
    <t>Bedieningspaneel LM1050 T60</t>
  </si>
  <si>
    <t>362,83</t>
  </si>
  <si>
    <t>43,18</t>
  </si>
  <si>
    <t>2,35</t>
  </si>
  <si>
    <t>e</t>
  </si>
  <si>
    <t>BEWKO</t>
  </si>
  <si>
    <t>ELEM</t>
  </si>
  <si>
    <t>0,07</t>
  </si>
  <si>
    <t>0125-08-RVS</t>
  </si>
  <si>
    <t>Vlakke sluitring DIN0125 8mm A2</t>
  </si>
  <si>
    <t>0DN0125080002</t>
  </si>
  <si>
    <t>0,13</t>
  </si>
  <si>
    <t>MARK</t>
  </si>
  <si>
    <t>STI-VERVALDATUM 2020</t>
  </si>
  <si>
    <t>Markering sticker VERVALDATUM 2020</t>
  </si>
  <si>
    <t>MONT</t>
  </si>
  <si>
    <t>0,82</t>
  </si>
  <si>
    <t>STI-VOLGEND NAZICHT-MT</t>
  </si>
  <si>
    <t>Markering sticker VOLGEND NAZICHT- meertalig</t>
  </si>
  <si>
    <t>DICHT</t>
  </si>
  <si>
    <t>030242A00KOL</t>
  </si>
  <si>
    <t>Kolom IPC MAN FM bewerkt (pltw)</t>
  </si>
  <si>
    <t>330,79</t>
  </si>
  <si>
    <t>030245A00KOL</t>
  </si>
  <si>
    <t>Houder proximity MAN FM (pltw)</t>
  </si>
  <si>
    <t>142,40</t>
  </si>
  <si>
    <t>030247_00KOL</t>
  </si>
  <si>
    <t>Glijrail proximity</t>
  </si>
  <si>
    <t>3SAR000004620</t>
  </si>
  <si>
    <t>9,47</t>
  </si>
  <si>
    <t>060297A00KOL</t>
  </si>
  <si>
    <t>Vert. behuizing IPC MAN FM bewerkt</t>
  </si>
  <si>
    <t>324,35</t>
  </si>
  <si>
    <t>140206_00KOL</t>
  </si>
  <si>
    <t>Schuif IPC MAN FM</t>
  </si>
  <si>
    <t>164,00</t>
  </si>
  <si>
    <t>140208_00KOL</t>
  </si>
  <si>
    <t>Steun kabelafvoer IPC MAN FM</t>
  </si>
  <si>
    <t>126,05</t>
  </si>
  <si>
    <t>M</t>
  </si>
  <si>
    <t>DPR-SR-NEOPRENE</t>
  </si>
  <si>
    <t>Sponsrubberprofiel Neoprene</t>
  </si>
  <si>
    <t>0MEC240494399</t>
  </si>
  <si>
    <t>0,22</t>
  </si>
  <si>
    <t>070146A00KOL</t>
  </si>
  <si>
    <t>Rubber onderaan tegengewicht SAR</t>
  </si>
  <si>
    <t>110102A00KOL</t>
  </si>
  <si>
    <t>Kabel tegengewicht SAR (pltw) L=1330mm</t>
  </si>
  <si>
    <t>4,30</t>
  </si>
  <si>
    <t>0912-M03X08-RVS</t>
  </si>
  <si>
    <t>Binnenzeskantbout cylinderkop DIN0912  M 3x08mm A2</t>
  </si>
  <si>
    <t>0DN0912030082</t>
  </si>
  <si>
    <t>0912-M04X06-RVS</t>
  </si>
  <si>
    <t>Binnenzeskantbout cylinderkop DIN0912  M 4x06mm A2</t>
  </si>
  <si>
    <t>0DN0912040062</t>
  </si>
  <si>
    <t>0,17</t>
  </si>
  <si>
    <t>0912-M04X12-RVS</t>
  </si>
  <si>
    <t>Binnenzeskantbout cylinderkop DIN0912  M 4x12mm A2</t>
  </si>
  <si>
    <t>0DN0912040122</t>
  </si>
  <si>
    <t>0912-M05X10-RVS</t>
  </si>
  <si>
    <t>Binnenzeskantbout cylinderkop DIN0912  M 5x10mm A2</t>
  </si>
  <si>
    <t>0DN0912050102</t>
  </si>
  <si>
    <t>0912-M05X16-RVS</t>
  </si>
  <si>
    <t>Binnenzeskantbout cylinderkop DIN0912  M 5x16mm A2</t>
  </si>
  <si>
    <t>0DN0912050162</t>
  </si>
  <si>
    <t>21,00</t>
  </si>
  <si>
    <t>0912-M05X25-RVS</t>
  </si>
  <si>
    <t>Binnenzeskantbout cylinderkop DIN0912  M 5x25mm A2</t>
  </si>
  <si>
    <t>0DN0912050252</t>
  </si>
  <si>
    <t>1,43</t>
  </si>
  <si>
    <t>0912-M06X16-RVS</t>
  </si>
  <si>
    <t>Binnenzeskantbout cylinderkop DIN0912  M 6x16mm A2</t>
  </si>
  <si>
    <t>0DN0912060162</t>
  </si>
  <si>
    <t>9,00</t>
  </si>
  <si>
    <t>0912-M06X20-RVS</t>
  </si>
  <si>
    <t>Binnenzeskantbout cylinderkop DIN0912  M 6x20mm A2</t>
  </si>
  <si>
    <t>0DN0912060202</t>
  </si>
  <si>
    <t>0,63</t>
  </si>
  <si>
    <t>1,26</t>
  </si>
  <si>
    <t>0912-M06X35-RVS</t>
  </si>
  <si>
    <t>Binnenzeskantbout cylinderkop DIN0912  M 6x35mm A2</t>
  </si>
  <si>
    <t>0DN0912060352</t>
  </si>
  <si>
    <t>0912-M08X30-RVS</t>
  </si>
  <si>
    <t>Binnenzeskantbout cylinderkop DIN0912  M 8x30mm A2</t>
  </si>
  <si>
    <t>0DN0912080302</t>
  </si>
  <si>
    <t>0,71</t>
  </si>
  <si>
    <t>0934-M08RVS</t>
  </si>
  <si>
    <t>Zeskantmoer DIN0934  M 8mm A2</t>
  </si>
  <si>
    <t>0DN0934080002</t>
  </si>
  <si>
    <t>0985-M03RVS</t>
  </si>
  <si>
    <t>Borgmoer DIN0985  M 3mm A2</t>
  </si>
  <si>
    <t>0DN0985030002</t>
  </si>
  <si>
    <t>13,00</t>
  </si>
  <si>
    <t>0985-M04RVS</t>
  </si>
  <si>
    <t>Borgmoer DIN0985  M 4mm A2</t>
  </si>
  <si>
    <t>0DN0985040002</t>
  </si>
  <si>
    <t>10,00</t>
  </si>
  <si>
    <t>0985-M05RVS</t>
  </si>
  <si>
    <t>Borgmoer DIN0985  M 5mm A2</t>
  </si>
  <si>
    <t>0DN0985050002</t>
  </si>
  <si>
    <t>0,28</t>
  </si>
  <si>
    <t>0985-M06RVS</t>
  </si>
  <si>
    <t>Borgmoer DIN0985  M 6mm A2</t>
  </si>
  <si>
    <t>0DN0985060002</t>
  </si>
  <si>
    <t>0,09</t>
  </si>
  <si>
    <t>0125-06-RVS</t>
  </si>
  <si>
    <t>Vlakke sluitring DIN0125 6mm A2</t>
  </si>
  <si>
    <t>0DN0125060002</t>
  </si>
  <si>
    <t>18,00</t>
  </si>
  <si>
    <t>0127-05-RVS</t>
  </si>
  <si>
    <t>Veerring DIN0127 5mm A2</t>
  </si>
  <si>
    <t>0DN0127050002</t>
  </si>
  <si>
    <t>0,10</t>
  </si>
  <si>
    <t>0127-06-RVS</t>
  </si>
  <si>
    <t>Veerring DIN0127 6mm A2</t>
  </si>
  <si>
    <t>0DN0127060002</t>
  </si>
  <si>
    <t>0,04</t>
  </si>
  <si>
    <t>9021-04-RVS</t>
  </si>
  <si>
    <t>Sluitring met grote diameter DIN9021 4mm A2</t>
  </si>
  <si>
    <t>0DN9021040002</t>
  </si>
  <si>
    <t>0916-M06X20-RVS</t>
  </si>
  <si>
    <t>Stelschroef binnenzesk.kraterp DIN0916 M 6x 20mm A2</t>
  </si>
  <si>
    <t>0DN0916060202</t>
  </si>
  <si>
    <t>0965-M05X10-RVS</t>
  </si>
  <si>
    <t>Metaalschroef verz.kop kruis DIN0965 M 5x 10mm A2</t>
  </si>
  <si>
    <t>0965-M06X12-RVS</t>
  </si>
  <si>
    <t>Metaalschroef verz.kop kruis DIN0965 M 6x 12mm A2</t>
  </si>
  <si>
    <t>0DN0965060122</t>
  </si>
  <si>
    <t>1,30</t>
  </si>
  <si>
    <t>DNVAR</t>
  </si>
  <si>
    <t>OOGS-M8X50X10MM</t>
  </si>
  <si>
    <t>Oogschroef M8X50X10mm Zn</t>
  </si>
  <si>
    <t>0DN9998085010</t>
  </si>
  <si>
    <t>DUMMY</t>
  </si>
  <si>
    <t>SERV</t>
  </si>
  <si>
    <t>0,42</t>
  </si>
  <si>
    <t>020144_00KOL</t>
  </si>
  <si>
    <t>Hoeksteun sleepketting APS-FMB</t>
  </si>
  <si>
    <t>3APS000201440</t>
  </si>
  <si>
    <t>30,60</t>
  </si>
  <si>
    <t>020145_00KOL</t>
  </si>
  <si>
    <t>Kolomdeksel APS-FMB</t>
  </si>
  <si>
    <t>3APS000201450</t>
  </si>
  <si>
    <t>80,00</t>
  </si>
  <si>
    <t>020146_00KOL</t>
  </si>
  <si>
    <t>Driehoeksteun sleepketting</t>
  </si>
  <si>
    <t>3APS000201460</t>
  </si>
  <si>
    <t>20,20</t>
  </si>
  <si>
    <t>020154A00KOL</t>
  </si>
  <si>
    <t>Kabelklem APS-FMB</t>
  </si>
  <si>
    <t>3APS000201540</t>
  </si>
  <si>
    <t>9,62</t>
  </si>
  <si>
    <t>020158_00KOL</t>
  </si>
  <si>
    <t>Steunarm hor. schroevendraaier-kabels APS-FMB</t>
  </si>
  <si>
    <t>3APS000201580</t>
  </si>
  <si>
    <t>22,80</t>
  </si>
  <si>
    <t>040200_00KOL</t>
  </si>
  <si>
    <t>Steunarm vertikale schroevendraaier-kabels</t>
  </si>
  <si>
    <t>3APS000402000</t>
  </si>
  <si>
    <t>43,00</t>
  </si>
  <si>
    <t>040285_00KOL</t>
  </si>
  <si>
    <t>V-blok PPC Phoenix</t>
  </si>
  <si>
    <t>3SAR000402850</t>
  </si>
  <si>
    <t>19,30</t>
  </si>
  <si>
    <t>040316_00KOL</t>
  </si>
  <si>
    <t>Kabelklem kabeltoevoer FM</t>
  </si>
  <si>
    <t>3APS000403160</t>
  </si>
  <si>
    <t>41,50</t>
  </si>
  <si>
    <t>050076_00KOL</t>
  </si>
  <si>
    <t>Glijas kolom</t>
  </si>
  <si>
    <t>3SAR000003011</t>
  </si>
  <si>
    <t>99,00</t>
  </si>
  <si>
    <t>050359_00KOL</t>
  </si>
  <si>
    <t>Verstevigingsblok SAR</t>
  </si>
  <si>
    <t>3SAR000003202</t>
  </si>
  <si>
    <t>050378_00DIS</t>
  </si>
  <si>
    <t>Kabelhouder 1 - klein</t>
  </si>
  <si>
    <t>3DIS000051630</t>
  </si>
  <si>
    <t>DIS</t>
  </si>
  <si>
    <t>050379_00DIS</t>
  </si>
  <si>
    <t>Kabelhouder 2 - groot</t>
  </si>
  <si>
    <t>3DIS000051640</t>
  </si>
  <si>
    <t>12,80</t>
  </si>
  <si>
    <t>050380_00KOL</t>
  </si>
  <si>
    <t>Verbindingsstuk glijwagen sleepketting</t>
  </si>
  <si>
    <t>3SAR300004700</t>
  </si>
  <si>
    <t>8,92</t>
  </si>
  <si>
    <t>050381_00KOL</t>
  </si>
  <si>
    <t>Plaat kabelklem sleepketting</t>
  </si>
  <si>
    <t>3SAR300004720</t>
  </si>
  <si>
    <t>3,59</t>
  </si>
  <si>
    <t>050382_00KOL</t>
  </si>
  <si>
    <t>Kabelklem sleepketting</t>
  </si>
  <si>
    <t>3SAR300004730</t>
  </si>
  <si>
    <t>6,25</t>
  </si>
  <si>
    <t>060139_00KOL</t>
  </si>
  <si>
    <t>Voetstuk kabelklem MAN FM PPC</t>
  </si>
  <si>
    <t>080409_00KOL</t>
  </si>
  <si>
    <t>Tussenplaat kliksysteem</t>
  </si>
  <si>
    <t>19,43</t>
  </si>
  <si>
    <t>120269_00KOL</t>
  </si>
  <si>
    <t>Haak slot vertikale behuizing</t>
  </si>
  <si>
    <t>4,51</t>
  </si>
  <si>
    <t>SCHA-40X20-ALU</t>
  </si>
  <si>
    <t>Scharnier EH-5A-4G4-50</t>
  </si>
  <si>
    <t>15,52</t>
  </si>
  <si>
    <t>SLOT-KNEVEL-DUBBELBAARD</t>
  </si>
  <si>
    <t>Knevelslot met dubbelbaard</t>
  </si>
  <si>
    <t>9,07</t>
  </si>
  <si>
    <t>SLOT-SPRINGSLOT-KUNSTSTOF</t>
  </si>
  <si>
    <t>Sluiting C3-805</t>
  </si>
  <si>
    <t>10,04</t>
  </si>
  <si>
    <t>EP</t>
  </si>
  <si>
    <t>030548C00DIS/</t>
  </si>
  <si>
    <t>CANDIS kastje torque controle</t>
  </si>
  <si>
    <t>544,08</t>
  </si>
  <si>
    <t>020274_00KOL</t>
  </si>
  <si>
    <t>V-blok assy</t>
  </si>
  <si>
    <t>3ACC-V10-0000</t>
  </si>
  <si>
    <t>41,67</t>
  </si>
  <si>
    <t>020301A00ACC</t>
  </si>
  <si>
    <t>Vertikale butee set SAR</t>
  </si>
  <si>
    <t>3SARK25044500</t>
  </si>
  <si>
    <t>86,94</t>
  </si>
  <si>
    <t>020312_00KOL</t>
  </si>
  <si>
    <t>Katrol TM assy</t>
  </si>
  <si>
    <t>3SARK25070300</t>
  </si>
  <si>
    <t>71,52</t>
  </si>
  <si>
    <t>020338A00KOL</t>
  </si>
  <si>
    <t>Glijwagen SAR (pltw)</t>
  </si>
  <si>
    <t>636,03</t>
  </si>
  <si>
    <t>030224A00KOL</t>
  </si>
  <si>
    <t>I/O box MAN FM PPC</t>
  </si>
  <si>
    <t>3SAR27K000006</t>
  </si>
  <si>
    <t>563,03</t>
  </si>
  <si>
    <t>030233_00KOL</t>
  </si>
  <si>
    <t>I/O control unit</t>
  </si>
  <si>
    <t>3SAR26K000009</t>
  </si>
  <si>
    <t>668,61</t>
  </si>
  <si>
    <t>030271_00KOL</t>
  </si>
  <si>
    <t>Detectielattenset SAR FM</t>
  </si>
  <si>
    <t>3SARK22015100</t>
  </si>
  <si>
    <t>26,38</t>
  </si>
  <si>
    <t>060300A00KOL</t>
  </si>
  <si>
    <t>Rolwagen BA MAN FM (pltw)</t>
  </si>
  <si>
    <t>1126,19</t>
  </si>
  <si>
    <t>060304A00KOL</t>
  </si>
  <si>
    <t>Control/signal module MAN FM (Siemens)</t>
  </si>
  <si>
    <t>448,68</t>
  </si>
  <si>
    <t>080005_00KOL</t>
  </si>
  <si>
    <t>Tegengewicht SAR</t>
  </si>
  <si>
    <t>121,42</t>
  </si>
  <si>
    <t>100356C00KOL</t>
  </si>
  <si>
    <t>IPC Phoenix VL PPC 3000</t>
  </si>
  <si>
    <t>4042,28</t>
  </si>
  <si>
    <t>140204_00KOL</t>
  </si>
  <si>
    <t>Sleepketting LVCC IPC MAN FM</t>
  </si>
  <si>
    <t>244,11</t>
  </si>
  <si>
    <t>190018_01KOL</t>
  </si>
  <si>
    <t>Dubbel handvat mechanisch (tussenplaat 28mm)</t>
  </si>
  <si>
    <t>119,87</t>
  </si>
  <si>
    <t>020037_00KOL</t>
  </si>
  <si>
    <t>Kabel power + I/O</t>
  </si>
  <si>
    <t>3CAB020037000</t>
  </si>
  <si>
    <t>48,61</t>
  </si>
  <si>
    <t>030053A00KOL</t>
  </si>
  <si>
    <t>CAN termination HAN 120E</t>
  </si>
  <si>
    <t>3CAB030053000</t>
  </si>
  <si>
    <t>25,41</t>
  </si>
  <si>
    <t>030248A00KOL</t>
  </si>
  <si>
    <t>Kabel extender prox IPC MAN FM</t>
  </si>
  <si>
    <t>48,89</t>
  </si>
  <si>
    <t>030250_00KOL</t>
  </si>
  <si>
    <t>Kabel prox pos U/D MAN PPC</t>
  </si>
  <si>
    <t>3CAB030250000</t>
  </si>
  <si>
    <t>121,57</t>
  </si>
  <si>
    <t>030298_00KOL</t>
  </si>
  <si>
    <t>Kabel prox L/R MAN FM PPC</t>
  </si>
  <si>
    <t>3CAB030298000</t>
  </si>
  <si>
    <t>63,44</t>
  </si>
  <si>
    <t>040170A00KOL</t>
  </si>
  <si>
    <t>Kabel CAN APS unit/CANDIS APS</t>
  </si>
  <si>
    <t>3CAB040170000</t>
  </si>
  <si>
    <t>25,05</t>
  </si>
  <si>
    <t>040172_00KOL</t>
  </si>
  <si>
    <t>Kabel voeding CANDIS APS FMB</t>
  </si>
  <si>
    <t>3CAB040172000</t>
  </si>
  <si>
    <t>23,03</t>
  </si>
  <si>
    <t>040310A00KOL</t>
  </si>
  <si>
    <t>Kabel CAN LVS PPC CANDIS</t>
  </si>
  <si>
    <t>3CAB040310000</t>
  </si>
  <si>
    <t>44,64</t>
  </si>
  <si>
    <t>110216_00KOL</t>
  </si>
  <si>
    <t>Kabel COM1 IPC Phoenix</t>
  </si>
  <si>
    <t>20,93</t>
  </si>
  <si>
    <t>110217_00KOL</t>
  </si>
  <si>
    <t>Kabel ethernet IPC Phoenix</t>
  </si>
  <si>
    <t>70,35</t>
  </si>
  <si>
    <t>170261_01KOL</t>
  </si>
  <si>
    <t>Kabel voeding PPC Phoenix VL PPC 3000</t>
  </si>
  <si>
    <t>10,24</t>
  </si>
  <si>
    <t>KABTO</t>
  </si>
  <si>
    <t>NIPPELRUBBER9</t>
  </si>
  <si>
    <t>Nippel rubber diam. 9</t>
  </si>
  <si>
    <t>0CAB922100009</t>
  </si>
  <si>
    <t>0,40</t>
  </si>
  <si>
    <t>080X040MM-O</t>
  </si>
  <si>
    <t>Kabelkanaal 80h x 40b mm open</t>
  </si>
  <si>
    <t>0CAB960180040</t>
  </si>
  <si>
    <t>3,24</t>
  </si>
  <si>
    <t>0,70</t>
  </si>
  <si>
    <t>KAST</t>
  </si>
  <si>
    <t>RIT-2590000-SZ</t>
  </si>
  <si>
    <t>Kabelslang diameter =48mm</t>
  </si>
  <si>
    <t>0CAS160002590</t>
  </si>
  <si>
    <t>2,19</t>
  </si>
  <si>
    <t>KLEM</t>
  </si>
  <si>
    <t>DIVERS-        - QPRO-M6</t>
  </si>
  <si>
    <t>Q-profiel glijmoer M6</t>
  </si>
  <si>
    <t>0DN9999200005</t>
  </si>
  <si>
    <t>2,11</t>
  </si>
  <si>
    <t>NIP</t>
  </si>
  <si>
    <t>MOER-P48,0-NY</t>
  </si>
  <si>
    <t>Moer PG 48 nylon</t>
  </si>
  <si>
    <t>0CAB920250048</t>
  </si>
  <si>
    <t>1,11</t>
  </si>
  <si>
    <t>NIPP-P48,0-NY</t>
  </si>
  <si>
    <t>Nippel PG 48 nylon</t>
  </si>
  <si>
    <t>0CAB920200048</t>
  </si>
  <si>
    <t>5,60</t>
  </si>
  <si>
    <t>020107_00KOL</t>
  </si>
  <si>
    <t>Kast deur APS-FMB</t>
  </si>
  <si>
    <t>3APS000201070</t>
  </si>
  <si>
    <t>55,04</t>
  </si>
  <si>
    <t>020108_00KOL</t>
  </si>
  <si>
    <t>Bovenstuk APS-FMB</t>
  </si>
  <si>
    <t>3APS000201080</t>
  </si>
  <si>
    <t>31,77</t>
  </si>
  <si>
    <t>020117_00KOL</t>
  </si>
  <si>
    <t>Afdekplaat sleepketting</t>
  </si>
  <si>
    <t>3APS000201170</t>
  </si>
  <si>
    <t>39,34</t>
  </si>
  <si>
    <t>0,03</t>
  </si>
  <si>
    <t>548,88</t>
  </si>
  <si>
    <t>48,87</t>
  </si>
  <si>
    <t>80,94</t>
  </si>
  <si>
    <t>615,45</t>
  </si>
  <si>
    <t>681,21</t>
  </si>
  <si>
    <t>448,62</t>
  </si>
  <si>
    <t>10,18</t>
  </si>
  <si>
    <t>0,56</t>
  </si>
  <si>
    <t>0934-M12RVS</t>
  </si>
  <si>
    <t>Zeskantmoer DIN0934  M 12mm A2</t>
  </si>
  <si>
    <t>0DN0934120002</t>
  </si>
  <si>
    <t>0,20</t>
  </si>
  <si>
    <t>1587-M12RVS</t>
  </si>
  <si>
    <t>Dopmoer DIN1587  M 12mm A2</t>
  </si>
  <si>
    <t>0DN1587120002</t>
  </si>
  <si>
    <t>0,93</t>
  </si>
  <si>
    <t>0007-08X20-RVS</t>
  </si>
  <si>
    <t>Cylindrische pen DIN0007  8x20mm A2</t>
  </si>
  <si>
    <t>0DN0007080202</t>
  </si>
  <si>
    <t>0,43</t>
  </si>
  <si>
    <t>0125-12-RVS</t>
  </si>
  <si>
    <t>Vlakke sluitring DIN0125 12mm A2</t>
  </si>
  <si>
    <t>0DN0125120002</t>
  </si>
  <si>
    <t>0916-M12X60-RVS</t>
  </si>
  <si>
    <t>Stelschroef binnenzesk.kraterp DIN0916 M 12x 60mm A2</t>
  </si>
  <si>
    <t>0DN0916120602</t>
  </si>
  <si>
    <t>030246_00KOL</t>
  </si>
  <si>
    <t>Tussenbus hendel</t>
  </si>
  <si>
    <t>3SAR000302460</t>
  </si>
  <si>
    <t>11,59</t>
  </si>
  <si>
    <t>22,00</t>
  </si>
  <si>
    <t>050307A00KOL</t>
  </si>
  <si>
    <t>Regelbaar steunstuk SAR</t>
  </si>
  <si>
    <t>3SAR100005131</t>
  </si>
  <si>
    <t>24,00</t>
  </si>
  <si>
    <t>020296_00LAS/</t>
  </si>
  <si>
    <t>Lijnlaser 10mW SAR</t>
  </si>
  <si>
    <t>3ACC-L40-0000</t>
  </si>
  <si>
    <t>LAS</t>
  </si>
  <si>
    <t>330,25</t>
  </si>
  <si>
    <t>GLIJ</t>
  </si>
  <si>
    <t>GMF-16X017,0MM-BB1617DU</t>
  </si>
  <si>
    <t>Glijlager met flens 16 x 17 mm BB1617DU</t>
  </si>
  <si>
    <t>0MEC112161700</t>
  </si>
  <si>
    <t>LAG</t>
  </si>
  <si>
    <t>4,28</t>
  </si>
  <si>
    <t>562,99</t>
  </si>
  <si>
    <t>030239A00KOL</t>
  </si>
  <si>
    <t>Rolwagen MAN FM IPC (pltw)</t>
  </si>
  <si>
    <t>1348,89</t>
  </si>
  <si>
    <t>050856_00ACC</t>
  </si>
  <si>
    <t>Laserhandvat enkele lijnlaser</t>
  </si>
  <si>
    <t>73,17</t>
  </si>
  <si>
    <t>243,88</t>
  </si>
  <si>
    <t xml:space="preserve">  </t>
  </si>
  <si>
    <t>63,19</t>
  </si>
  <si>
    <t>22,93</t>
  </si>
  <si>
    <t>44,62</t>
  </si>
  <si>
    <t>20,78</t>
  </si>
  <si>
    <t>140205_00KOL</t>
  </si>
  <si>
    <t>Kabel voeding lijnlaser MAN FM</t>
  </si>
  <si>
    <t>30,16</t>
  </si>
  <si>
    <t>ÿþ</t>
  </si>
  <si>
    <t>InputObject                                                                        SideIndicator</t>
  </si>
  <si>
    <t>-----------                                                                        -------------</t>
  </si>
  <si>
    <t xml:space="preserve">fileB                                                                              =&gt;           </t>
  </si>
  <si>
    <t xml:space="preserve">8,00!ST!DNBOU!0912-M06X20-RVS!Binnenzeskantbout cylinderkop DIN0912  M 6x20mm A2   =&gt;           </t>
  </si>
  <si>
    <t xml:space="preserve">1,00!ST!DNMOE!0934-M12RVS!Zeskantmoer DIN0934  M 12mm A2                           =&gt;           </t>
  </si>
  <si>
    <t xml:space="preserve">1,00!ST!DNMOE!1587-M12RVS!Dopmoer DIN1587  M 12mm A2                               =&gt;           </t>
  </si>
  <si>
    <t xml:space="preserve">1,00!ST!DNPEN!0007-08X20-RVS!Cylindrische pen DIN0007  8x20mm A2                   =&gt;           </t>
  </si>
  <si>
    <t xml:space="preserve">6,00!ST!DNRON!0125-06-RVS!Vlakke sluitring DIN0125 6mm A2                          =&gt;           </t>
  </si>
  <si>
    <t xml:space="preserve">2,00!ST!DNRON!0125-12-RVS!Vlakke sluitring DIN0125 12mm A2                         =&gt;           </t>
  </si>
  <si>
    <t xml:space="preserve">1,00!ST!DNSCH!0916-M12X60-RVS!Stelschroef binnenzesk.kraterp DIN0916 M 12x 60mm A2 =&gt;           </t>
  </si>
  <si>
    <t xml:space="preserve">1,00!ST!DRFR!030246_00KOL!Tussenbus hendel                                         =&gt;           </t>
  </si>
  <si>
    <t xml:space="preserve">1,00!ST!DRFR!050307A00KOL!Regelbaar steunstuk SAR                                  =&gt;           </t>
  </si>
  <si>
    <t xml:space="preserve">1,00!ST!EP!020296_00LAS/!Lijnlaser 10mW SAR                                        =&gt;           </t>
  </si>
  <si>
    <t xml:space="preserve">2,00!ST!GLIJ!GMF-16X017,0MM-BB1617DU!Glijlager met flens 16 x 17 mm BB1617DU       =&gt;           </t>
  </si>
  <si>
    <t xml:space="preserve">1,00!ST!HF!030239A00KOL!Rolwagen MAN FM IPC (pltw)                                 =&gt;           </t>
  </si>
  <si>
    <t xml:space="preserve">1,00!ST!HF!050856_00ACC!Laserhandvat enkele lijnlaser                              =&gt;           </t>
  </si>
  <si>
    <t xml:space="preserve">1,00!ST!HFKAB!140205_00KOL!Kabel voeding lijnlaser MAN FM                          =&gt;           </t>
  </si>
  <si>
    <t xml:space="preserve">fileA                                                                              &lt;=           </t>
  </si>
  <si>
    <t xml:space="preserve">9,00!ST!DNBOU!0912-M06X20-RVS!Binnenzeskantbout cylinderkop DIN0912  M 6x20mm A2   &lt;=           </t>
  </si>
  <si>
    <t xml:space="preserve">4,00!ST!DNRON!0125-06-RVS!Vlakke sluitring DIN0125 6mm A2                          &lt;=           </t>
  </si>
  <si>
    <t xml:space="preserve">1,00!ST!HF!060300A00KOL!Rolwagen BA MAN FM (pltw)                                  &lt;=           </t>
  </si>
  <si>
    <t xml:space="preserve">1,00!ST!HF!190018_01KOL!Dubbel handvat mechanisch (tussenplaat 28mm)               &lt;=           </t>
  </si>
  <si>
    <t xml:space="preserve">0,40!ST!KAKAN!080X040MM-O!Kabelkanaal 80h x 40b mm open                            &lt;=           </t>
  </si>
  <si>
    <t xml:space="preserve">0,70!M!KAST!RIT-2590000-SZ!Kabelslang diameter =48mm                               &lt;=           </t>
  </si>
  <si>
    <t xml:space="preserve">4,00!ST!KLEM!DIVERS-        - QPRO-M6!Q-profiel glijmoer M6                        &lt;=           </t>
  </si>
  <si>
    <t xml:space="preserve">1,00!ST!MARK!STI-VERVALDATUM 2020!Markering sticker VERVALDATUM 2020               &lt;=           </t>
  </si>
  <si>
    <t xml:space="preserve">1,00!ST!MARK!STI-VOLGEND NAZICHT-MT!Markering sticker VOLGEND NAZICHT- meertalig   &lt;=           </t>
  </si>
  <si>
    <t xml:space="preserve">1,00!ST!NIP!MOER-P48,0-NY!Moer PG 48 nylon                                         &lt;=           </t>
  </si>
  <si>
    <t xml:space="preserve">1,00!ST!NIP!NIPP-P48,0-NY!Nippel PG 48 nylon                                       &lt;=           </t>
  </si>
  <si>
    <t xml:space="preserve">1,00!ST!PLTW!020107_00KOL!Kast deur APS-FMB                                        &lt;=           </t>
  </si>
  <si>
    <t xml:space="preserve">1,00!ST!PLTW!020108_00KOL!Bovenstuk APS-FMB                                        &lt;=           </t>
  </si>
  <si>
    <t xml:space="preserve">1,00!ST!PLTW!020117_00KOL!Afdekplaat sleepketting                                  &lt;=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</si>
</sst>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0" fillId="3" borderId="0" xfId="0" applyFill="1" applyBorder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114300</xdr:rowOff>
        </xdr:from>
        <xdr:to>
          <xdr:col>4</xdr:col>
          <xdr:colOff>762000</xdr:colOff>
          <xdr:row>2</xdr:row>
          <xdr:rowOff>171450</xdr:rowOff>
        </xdr:to>
        <xdr:sp macro="" textlink="">
          <xdr:nvSpPr>
            <xdr:cNvPr id="3073" name="verschilZoeke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5</xdr:row>
          <xdr:rowOff>171450</xdr:rowOff>
        </xdr:from>
        <xdr:to>
          <xdr:col>4</xdr:col>
          <xdr:colOff>1514475</xdr:colOff>
          <xdr:row>8</xdr:row>
          <xdr:rowOff>9525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</xdr:row>
          <xdr:rowOff>57150</xdr:rowOff>
        </xdr:from>
        <xdr:to>
          <xdr:col>5</xdr:col>
          <xdr:colOff>1162050</xdr:colOff>
          <xdr:row>7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482600</xdr:colOff>
          <xdr:row>0</xdr:row>
          <xdr:rowOff>168275</xdr:rowOff>
        </xdr:from>
        <xdr:to>
          <xdr:col>25</xdr:col>
          <xdr:colOff>279400</xdr:colOff>
          <xdr:row>2</xdr:row>
          <xdr:rowOff>92075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61"/>
  <sheetViews>
    <sheetView workbookViewId="0">
      <selection activeCell="C5" sqref="A1:L61"/>
    </sheetView>
  </sheetViews>
  <sheetFormatPr defaultRowHeight="15" x14ac:dyDescent="0.25"/>
  <sheetData>
    <row r="1" spans="1:12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2" x14ac:dyDescent="0.25"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20</v>
      </c>
      <c r="K2" t="s">
        <v>21</v>
      </c>
      <c r="L2" t="s">
        <v>20</v>
      </c>
    </row>
    <row r="3" spans="1:12" x14ac:dyDescent="0.25">
      <c r="B3" t="s">
        <v>22</v>
      </c>
      <c r="C3" t="s">
        <v>13</v>
      </c>
      <c r="D3" t="s">
        <v>14</v>
      </c>
      <c r="E3" t="s">
        <v>23</v>
      </c>
      <c r="F3" t="s">
        <v>24</v>
      </c>
      <c r="G3" t="s">
        <v>25</v>
      </c>
      <c r="H3" t="s">
        <v>18</v>
      </c>
      <c r="I3" t="s">
        <v>19</v>
      </c>
      <c r="J3" t="s">
        <v>26</v>
      </c>
      <c r="K3" t="s">
        <v>21</v>
      </c>
      <c r="L3" t="s">
        <v>26</v>
      </c>
    </row>
    <row r="4" spans="1:12" x14ac:dyDescent="0.25">
      <c r="B4" t="s">
        <v>27</v>
      </c>
      <c r="C4" t="s">
        <v>13</v>
      </c>
      <c r="D4" t="s">
        <v>28</v>
      </c>
      <c r="E4" t="s">
        <v>29</v>
      </c>
      <c r="F4" t="s">
        <v>30</v>
      </c>
      <c r="G4" t="s">
        <v>31</v>
      </c>
      <c r="H4" t="s">
        <v>32</v>
      </c>
      <c r="I4" t="s">
        <v>33</v>
      </c>
      <c r="J4" t="s">
        <v>34</v>
      </c>
      <c r="K4" t="s">
        <v>21</v>
      </c>
      <c r="L4" t="s">
        <v>34</v>
      </c>
    </row>
    <row r="5" spans="1:12" x14ac:dyDescent="0.25">
      <c r="B5" t="s">
        <v>27</v>
      </c>
      <c r="C5" t="s">
        <v>13</v>
      </c>
      <c r="D5" t="s">
        <v>28</v>
      </c>
      <c r="E5" t="s">
        <v>35</v>
      </c>
      <c r="F5" t="s">
        <v>36</v>
      </c>
      <c r="G5" t="str">
        <f>"0000000132787"</f>
        <v>0000000132787</v>
      </c>
      <c r="H5" t="s">
        <v>32</v>
      </c>
      <c r="I5" t="s">
        <v>33</v>
      </c>
      <c r="J5" t="s">
        <v>37</v>
      </c>
      <c r="K5" t="s">
        <v>21</v>
      </c>
      <c r="L5" t="s">
        <v>37</v>
      </c>
    </row>
    <row r="6" spans="1:12" x14ac:dyDescent="0.25">
      <c r="B6" t="s">
        <v>38</v>
      </c>
      <c r="C6" t="s">
        <v>13</v>
      </c>
      <c r="D6" t="s">
        <v>39</v>
      </c>
      <c r="E6" t="s">
        <v>40</v>
      </c>
      <c r="F6" t="s">
        <v>41</v>
      </c>
      <c r="G6" t="s">
        <v>42</v>
      </c>
      <c r="H6" t="s">
        <v>18</v>
      </c>
      <c r="I6" t="s">
        <v>19</v>
      </c>
      <c r="J6" t="s">
        <v>43</v>
      </c>
      <c r="K6" t="s">
        <v>21</v>
      </c>
      <c r="L6" t="s">
        <v>43</v>
      </c>
    </row>
    <row r="7" spans="1:12" x14ac:dyDescent="0.25">
      <c r="B7" t="s">
        <v>12</v>
      </c>
      <c r="C7" t="s">
        <v>13</v>
      </c>
      <c r="D7" t="s">
        <v>39</v>
      </c>
      <c r="E7" t="s">
        <v>44</v>
      </c>
      <c r="F7" t="s">
        <v>45</v>
      </c>
      <c r="G7" t="s">
        <v>46</v>
      </c>
      <c r="H7" t="s">
        <v>18</v>
      </c>
      <c r="I7" t="s">
        <v>19</v>
      </c>
      <c r="J7" t="s">
        <v>47</v>
      </c>
      <c r="K7" t="s">
        <v>21</v>
      </c>
      <c r="L7" t="s">
        <v>47</v>
      </c>
    </row>
    <row r="8" spans="1:12" x14ac:dyDescent="0.25">
      <c r="B8" t="s">
        <v>48</v>
      </c>
      <c r="C8" t="s">
        <v>13</v>
      </c>
      <c r="D8" t="s">
        <v>39</v>
      </c>
      <c r="E8" t="s">
        <v>49</v>
      </c>
      <c r="F8" t="s">
        <v>50</v>
      </c>
      <c r="G8" t="s">
        <v>51</v>
      </c>
      <c r="H8" t="s">
        <v>18</v>
      </c>
      <c r="I8" t="s">
        <v>19</v>
      </c>
      <c r="J8" t="s">
        <v>52</v>
      </c>
      <c r="K8" t="s">
        <v>21</v>
      </c>
      <c r="L8" t="s">
        <v>52</v>
      </c>
    </row>
    <row r="9" spans="1:12" x14ac:dyDescent="0.25">
      <c r="B9" t="s">
        <v>22</v>
      </c>
      <c r="C9" t="s">
        <v>13</v>
      </c>
      <c r="D9" t="s">
        <v>39</v>
      </c>
      <c r="E9" t="s">
        <v>53</v>
      </c>
      <c r="F9" t="s">
        <v>54</v>
      </c>
      <c r="G9" t="s">
        <v>55</v>
      </c>
      <c r="H9" t="s">
        <v>18</v>
      </c>
      <c r="I9" t="s">
        <v>19</v>
      </c>
      <c r="J9" t="s">
        <v>56</v>
      </c>
      <c r="K9" t="s">
        <v>21</v>
      </c>
      <c r="L9" t="s">
        <v>56</v>
      </c>
    </row>
    <row r="10" spans="1:12" x14ac:dyDescent="0.25">
      <c r="B10" t="s">
        <v>22</v>
      </c>
      <c r="C10" t="s">
        <v>13</v>
      </c>
      <c r="D10" t="s">
        <v>39</v>
      </c>
      <c r="E10" t="s">
        <v>57</v>
      </c>
      <c r="F10" t="s">
        <v>58</v>
      </c>
      <c r="G10" t="s">
        <v>59</v>
      </c>
      <c r="H10" t="s">
        <v>18</v>
      </c>
      <c r="I10" t="s">
        <v>19</v>
      </c>
      <c r="J10" t="s">
        <v>60</v>
      </c>
      <c r="K10" t="s">
        <v>21</v>
      </c>
      <c r="L10" t="s">
        <v>60</v>
      </c>
    </row>
    <row r="11" spans="1:12" x14ac:dyDescent="0.25">
      <c r="B11" t="s">
        <v>22</v>
      </c>
      <c r="C11" t="s">
        <v>13</v>
      </c>
      <c r="D11" t="s">
        <v>39</v>
      </c>
      <c r="E11" t="s">
        <v>61</v>
      </c>
      <c r="F11" t="s">
        <v>62</v>
      </c>
      <c r="G11" t="s">
        <v>63</v>
      </c>
      <c r="H11" t="s">
        <v>18</v>
      </c>
      <c r="I11" t="s">
        <v>19</v>
      </c>
      <c r="J11" t="s">
        <v>64</v>
      </c>
      <c r="K11" t="s">
        <v>21</v>
      </c>
      <c r="L11" t="s">
        <v>64</v>
      </c>
    </row>
    <row r="12" spans="1:12" x14ac:dyDescent="0.25">
      <c r="B12" t="s">
        <v>65</v>
      </c>
      <c r="C12" t="s">
        <v>13</v>
      </c>
      <c r="D12" t="s">
        <v>66</v>
      </c>
      <c r="E12" t="s">
        <v>67</v>
      </c>
      <c r="F12" t="s">
        <v>68</v>
      </c>
      <c r="G12" t="s">
        <v>69</v>
      </c>
      <c r="H12" t="s">
        <v>18</v>
      </c>
      <c r="I12" t="s">
        <v>19</v>
      </c>
      <c r="J12" t="s">
        <v>47</v>
      </c>
      <c r="K12" t="s">
        <v>21</v>
      </c>
      <c r="L12" t="s">
        <v>47</v>
      </c>
    </row>
    <row r="13" spans="1:12" x14ac:dyDescent="0.25">
      <c r="B13" t="s">
        <v>38</v>
      </c>
      <c r="C13" t="s">
        <v>13</v>
      </c>
      <c r="D13" t="s">
        <v>66</v>
      </c>
      <c r="E13" t="s">
        <v>70</v>
      </c>
      <c r="F13" t="s">
        <v>71</v>
      </c>
      <c r="G13" t="s">
        <v>72</v>
      </c>
      <c r="H13" t="s">
        <v>18</v>
      </c>
      <c r="I13" t="s">
        <v>19</v>
      </c>
      <c r="J13" t="s">
        <v>73</v>
      </c>
      <c r="K13" t="s">
        <v>21</v>
      </c>
      <c r="L13" t="s">
        <v>73</v>
      </c>
    </row>
    <row r="14" spans="1:12" x14ac:dyDescent="0.25">
      <c r="B14" t="s">
        <v>22</v>
      </c>
      <c r="C14" t="s">
        <v>13</v>
      </c>
      <c r="D14" t="s">
        <v>66</v>
      </c>
      <c r="E14" t="s">
        <v>74</v>
      </c>
      <c r="F14" t="s">
        <v>75</v>
      </c>
      <c r="G14" t="s">
        <v>76</v>
      </c>
      <c r="H14" t="s">
        <v>18</v>
      </c>
      <c r="I14" t="s">
        <v>19</v>
      </c>
      <c r="J14" t="s">
        <v>77</v>
      </c>
      <c r="K14" t="s">
        <v>21</v>
      </c>
      <c r="L14" t="s">
        <v>77</v>
      </c>
    </row>
    <row r="15" spans="1:12" x14ac:dyDescent="0.25">
      <c r="B15" t="s">
        <v>27</v>
      </c>
      <c r="C15" t="s">
        <v>13</v>
      </c>
      <c r="D15" t="s">
        <v>78</v>
      </c>
      <c r="E15" t="s">
        <v>79</v>
      </c>
      <c r="F15" t="s">
        <v>80</v>
      </c>
      <c r="G15" t="s">
        <v>81</v>
      </c>
      <c r="H15" t="s">
        <v>18</v>
      </c>
      <c r="I15" t="s">
        <v>19</v>
      </c>
      <c r="J15" t="s">
        <v>82</v>
      </c>
      <c r="K15" t="s">
        <v>21</v>
      </c>
      <c r="L15" t="s">
        <v>82</v>
      </c>
    </row>
    <row r="16" spans="1:12" x14ac:dyDescent="0.25">
      <c r="B16" t="s">
        <v>22</v>
      </c>
      <c r="C16" t="s">
        <v>13</v>
      </c>
      <c r="D16" t="s">
        <v>83</v>
      </c>
      <c r="E16" t="s">
        <v>84</v>
      </c>
      <c r="F16" t="s">
        <v>85</v>
      </c>
      <c r="G16" t="s">
        <v>86</v>
      </c>
      <c r="H16" t="s">
        <v>18</v>
      </c>
      <c r="I16" t="s">
        <v>19</v>
      </c>
      <c r="J16" t="s">
        <v>73</v>
      </c>
      <c r="K16" t="s">
        <v>21</v>
      </c>
      <c r="L16" t="s">
        <v>73</v>
      </c>
    </row>
    <row r="17" spans="2:12" x14ac:dyDescent="0.25">
      <c r="B17" t="s">
        <v>22</v>
      </c>
      <c r="C17" t="s">
        <v>13</v>
      </c>
      <c r="D17" t="s">
        <v>83</v>
      </c>
      <c r="E17" t="s">
        <v>87</v>
      </c>
      <c r="F17" t="s">
        <v>88</v>
      </c>
      <c r="G17" t="s">
        <v>89</v>
      </c>
      <c r="H17" t="s">
        <v>18</v>
      </c>
      <c r="I17" t="s">
        <v>19</v>
      </c>
      <c r="J17" t="s">
        <v>73</v>
      </c>
      <c r="K17" t="s">
        <v>21</v>
      </c>
      <c r="L17" t="s">
        <v>73</v>
      </c>
    </row>
    <row r="18" spans="2:12" x14ac:dyDescent="0.25">
      <c r="B18" t="s">
        <v>27</v>
      </c>
      <c r="C18" t="s">
        <v>13</v>
      </c>
      <c r="D18" t="s">
        <v>83</v>
      </c>
      <c r="E18" t="s">
        <v>90</v>
      </c>
      <c r="F18" t="s">
        <v>91</v>
      </c>
      <c r="G18" t="s">
        <v>92</v>
      </c>
      <c r="H18" t="s">
        <v>18</v>
      </c>
      <c r="I18" t="s">
        <v>19</v>
      </c>
      <c r="J18" t="s">
        <v>93</v>
      </c>
      <c r="K18" t="s">
        <v>21</v>
      </c>
      <c r="L18" t="s">
        <v>93</v>
      </c>
    </row>
    <row r="19" spans="2:12" x14ac:dyDescent="0.25">
      <c r="B19" t="s">
        <v>22</v>
      </c>
      <c r="C19" t="s">
        <v>13</v>
      </c>
      <c r="D19" t="s">
        <v>83</v>
      </c>
      <c r="E19" t="s">
        <v>94</v>
      </c>
      <c r="F19" t="s">
        <v>95</v>
      </c>
      <c r="G19" t="s">
        <v>96</v>
      </c>
      <c r="H19" t="s">
        <v>18</v>
      </c>
      <c r="I19" t="s">
        <v>19</v>
      </c>
      <c r="J19" t="s">
        <v>97</v>
      </c>
      <c r="K19" t="s">
        <v>21</v>
      </c>
      <c r="L19" t="s">
        <v>97</v>
      </c>
    </row>
    <row r="20" spans="2:12" x14ac:dyDescent="0.25">
      <c r="B20" t="s">
        <v>38</v>
      </c>
      <c r="C20" t="s">
        <v>13</v>
      </c>
      <c r="D20" t="s">
        <v>98</v>
      </c>
      <c r="E20" t="s">
        <v>99</v>
      </c>
      <c r="F20" t="s">
        <v>100</v>
      </c>
      <c r="G20" t="s">
        <v>101</v>
      </c>
      <c r="H20" t="s">
        <v>18</v>
      </c>
      <c r="I20" t="s">
        <v>19</v>
      </c>
      <c r="J20" t="s">
        <v>47</v>
      </c>
      <c r="K20" t="s">
        <v>21</v>
      </c>
      <c r="L20" t="s">
        <v>47</v>
      </c>
    </row>
    <row r="21" spans="2:12" x14ac:dyDescent="0.25">
      <c r="B21" t="s">
        <v>22</v>
      </c>
      <c r="C21" t="s">
        <v>13</v>
      </c>
      <c r="D21" t="s">
        <v>98</v>
      </c>
      <c r="E21" t="s">
        <v>102</v>
      </c>
      <c r="F21" t="s">
        <v>103</v>
      </c>
      <c r="G21" t="s">
        <v>104</v>
      </c>
      <c r="H21" t="s">
        <v>18</v>
      </c>
      <c r="I21" t="s">
        <v>19</v>
      </c>
      <c r="J21" t="s">
        <v>105</v>
      </c>
      <c r="K21" t="s">
        <v>21</v>
      </c>
      <c r="L21" t="s">
        <v>105</v>
      </c>
    </row>
    <row r="22" spans="2:12" x14ac:dyDescent="0.25">
      <c r="B22" t="s">
        <v>106</v>
      </c>
      <c r="C22" t="s">
        <v>13</v>
      </c>
      <c r="D22" t="s">
        <v>98</v>
      </c>
      <c r="E22" t="s">
        <v>107</v>
      </c>
      <c r="F22" t="s">
        <v>108</v>
      </c>
      <c r="G22" t="s">
        <v>109</v>
      </c>
      <c r="H22" t="s">
        <v>18</v>
      </c>
      <c r="I22" t="s">
        <v>19</v>
      </c>
      <c r="J22" t="s">
        <v>263</v>
      </c>
      <c r="K22" t="s">
        <v>21</v>
      </c>
      <c r="L22" t="s">
        <v>263</v>
      </c>
    </row>
    <row r="23" spans="2:12" x14ac:dyDescent="0.25">
      <c r="B23" t="s">
        <v>110</v>
      </c>
      <c r="C23" t="s">
        <v>13</v>
      </c>
      <c r="D23" t="s">
        <v>98</v>
      </c>
      <c r="E23" t="s">
        <v>111</v>
      </c>
      <c r="F23" t="s">
        <v>112</v>
      </c>
      <c r="G23" t="s">
        <v>113</v>
      </c>
      <c r="H23" t="s">
        <v>18</v>
      </c>
      <c r="I23" t="s">
        <v>19</v>
      </c>
      <c r="J23" t="s">
        <v>97</v>
      </c>
      <c r="K23" t="s">
        <v>21</v>
      </c>
      <c r="L23" t="s">
        <v>97</v>
      </c>
    </row>
    <row r="24" spans="2:12" x14ac:dyDescent="0.25">
      <c r="B24" t="s">
        <v>27</v>
      </c>
      <c r="C24" t="s">
        <v>13</v>
      </c>
      <c r="D24" t="s">
        <v>98</v>
      </c>
      <c r="E24" t="s">
        <v>114</v>
      </c>
      <c r="F24" t="s">
        <v>115</v>
      </c>
      <c r="G24" t="s">
        <v>116</v>
      </c>
      <c r="H24" t="s">
        <v>18</v>
      </c>
      <c r="I24" t="s">
        <v>19</v>
      </c>
      <c r="J24" t="s">
        <v>73</v>
      </c>
      <c r="K24" t="s">
        <v>21</v>
      </c>
      <c r="L24" t="s">
        <v>73</v>
      </c>
    </row>
    <row r="25" spans="2:12" x14ac:dyDescent="0.25">
      <c r="B25" t="s">
        <v>117</v>
      </c>
      <c r="C25" t="s">
        <v>13</v>
      </c>
      <c r="D25" t="s">
        <v>98</v>
      </c>
      <c r="E25" t="s">
        <v>118</v>
      </c>
      <c r="F25" t="s">
        <v>119</v>
      </c>
      <c r="G25" t="s">
        <v>120</v>
      </c>
      <c r="H25" t="s">
        <v>18</v>
      </c>
      <c r="I25" t="s">
        <v>19</v>
      </c>
      <c r="J25" t="s">
        <v>121</v>
      </c>
      <c r="K25" t="s">
        <v>21</v>
      </c>
      <c r="L25" t="s">
        <v>121</v>
      </c>
    </row>
    <row r="26" spans="2:12" x14ac:dyDescent="0.25">
      <c r="B26" t="s">
        <v>106</v>
      </c>
      <c r="C26" t="s">
        <v>13</v>
      </c>
      <c r="D26" t="s">
        <v>98</v>
      </c>
      <c r="E26" t="s">
        <v>122</v>
      </c>
      <c r="F26" t="s">
        <v>123</v>
      </c>
      <c r="G26" t="s">
        <v>124</v>
      </c>
      <c r="H26" t="s">
        <v>18</v>
      </c>
      <c r="I26" t="s">
        <v>19</v>
      </c>
      <c r="J26" t="s">
        <v>125</v>
      </c>
      <c r="K26" t="s">
        <v>21</v>
      </c>
      <c r="L26" t="s">
        <v>125</v>
      </c>
    </row>
    <row r="27" spans="2:12" x14ac:dyDescent="0.25">
      <c r="B27" t="s">
        <v>22</v>
      </c>
      <c r="C27" t="s">
        <v>13</v>
      </c>
      <c r="D27" t="s">
        <v>126</v>
      </c>
      <c r="E27" t="s">
        <v>127</v>
      </c>
      <c r="F27" t="s">
        <v>128</v>
      </c>
      <c r="G27" t="s">
        <v>129</v>
      </c>
      <c r="H27" t="s">
        <v>32</v>
      </c>
      <c r="I27" t="s">
        <v>33</v>
      </c>
      <c r="J27" t="s">
        <v>130</v>
      </c>
      <c r="K27" t="s">
        <v>21</v>
      </c>
      <c r="L27" t="s">
        <v>130</v>
      </c>
    </row>
    <row r="28" spans="2:12" x14ac:dyDescent="0.25">
      <c r="B28" t="s">
        <v>22</v>
      </c>
      <c r="C28" t="s">
        <v>13</v>
      </c>
      <c r="D28" t="s">
        <v>126</v>
      </c>
      <c r="E28" t="s">
        <v>131</v>
      </c>
      <c r="F28" t="s">
        <v>132</v>
      </c>
      <c r="G28" t="s">
        <v>133</v>
      </c>
      <c r="H28" t="s">
        <v>32</v>
      </c>
      <c r="I28" t="s">
        <v>33</v>
      </c>
      <c r="J28" t="s">
        <v>134</v>
      </c>
      <c r="K28" t="s">
        <v>21</v>
      </c>
      <c r="L28" t="s">
        <v>134</v>
      </c>
    </row>
    <row r="29" spans="2:12" x14ac:dyDescent="0.25">
      <c r="B29" t="s">
        <v>22</v>
      </c>
      <c r="C29" t="s">
        <v>13</v>
      </c>
      <c r="D29" t="s">
        <v>126</v>
      </c>
      <c r="E29" t="s">
        <v>135</v>
      </c>
      <c r="F29" t="s">
        <v>136</v>
      </c>
      <c r="G29" t="s">
        <v>137</v>
      </c>
      <c r="H29" t="s">
        <v>32</v>
      </c>
      <c r="I29" t="s">
        <v>33</v>
      </c>
      <c r="J29" t="s">
        <v>134</v>
      </c>
      <c r="K29" t="s">
        <v>21</v>
      </c>
      <c r="L29" t="s">
        <v>134</v>
      </c>
    </row>
    <row r="30" spans="2:12" x14ac:dyDescent="0.25">
      <c r="B30" t="s">
        <v>27</v>
      </c>
      <c r="C30" t="s">
        <v>13</v>
      </c>
      <c r="D30" t="s">
        <v>126</v>
      </c>
      <c r="E30" t="s">
        <v>138</v>
      </c>
      <c r="F30" t="s">
        <v>139</v>
      </c>
      <c r="G30" t="s">
        <v>140</v>
      </c>
      <c r="H30" t="s">
        <v>32</v>
      </c>
      <c r="I30" t="s">
        <v>33</v>
      </c>
      <c r="J30" t="s">
        <v>141</v>
      </c>
      <c r="K30" t="s">
        <v>21</v>
      </c>
      <c r="L30" t="s">
        <v>141</v>
      </c>
    </row>
    <row r="31" spans="2:12" x14ac:dyDescent="0.25">
      <c r="B31" t="s">
        <v>27</v>
      </c>
      <c r="C31" t="s">
        <v>13</v>
      </c>
      <c r="D31" t="s">
        <v>126</v>
      </c>
      <c r="E31" t="s">
        <v>142</v>
      </c>
      <c r="F31" t="s">
        <v>143</v>
      </c>
      <c r="G31" t="s">
        <v>144</v>
      </c>
      <c r="H31" t="s">
        <v>32</v>
      </c>
      <c r="I31" t="s">
        <v>33</v>
      </c>
      <c r="J31" t="s">
        <v>145</v>
      </c>
      <c r="K31" t="s">
        <v>21</v>
      </c>
      <c r="L31" t="s">
        <v>145</v>
      </c>
    </row>
    <row r="32" spans="2:12" x14ac:dyDescent="0.25">
      <c r="B32" t="s">
        <v>27</v>
      </c>
      <c r="C32" t="s">
        <v>13</v>
      </c>
      <c r="D32" t="s">
        <v>126</v>
      </c>
      <c r="E32" t="s">
        <v>146</v>
      </c>
      <c r="F32" t="s">
        <v>147</v>
      </c>
      <c r="G32" t="str">
        <f>"0000000223119"</f>
        <v>0000000223119</v>
      </c>
      <c r="H32" t="s">
        <v>32</v>
      </c>
      <c r="I32" t="s">
        <v>33</v>
      </c>
      <c r="J32" t="s">
        <v>148</v>
      </c>
      <c r="K32" t="s">
        <v>21</v>
      </c>
      <c r="L32" t="s">
        <v>148</v>
      </c>
    </row>
    <row r="33" spans="1:12" x14ac:dyDescent="0.25">
      <c r="B33" t="s">
        <v>38</v>
      </c>
      <c r="C33" t="s">
        <v>13</v>
      </c>
      <c r="D33" t="s">
        <v>126</v>
      </c>
      <c r="E33" t="s">
        <v>149</v>
      </c>
      <c r="F33" t="s">
        <v>150</v>
      </c>
      <c r="G33" t="str">
        <f>"0000000223126"</f>
        <v>0000000223126</v>
      </c>
      <c r="H33" t="s">
        <v>32</v>
      </c>
      <c r="I33" t="s">
        <v>33</v>
      </c>
      <c r="J33" t="s">
        <v>151</v>
      </c>
      <c r="K33" t="s">
        <v>21</v>
      </c>
      <c r="L33" t="s">
        <v>151</v>
      </c>
    </row>
    <row r="34" spans="1:12" x14ac:dyDescent="0.25">
      <c r="B34" t="s">
        <v>27</v>
      </c>
      <c r="C34" t="s">
        <v>13</v>
      </c>
      <c r="D34" t="s">
        <v>126</v>
      </c>
      <c r="E34" t="s">
        <v>152</v>
      </c>
      <c r="F34" t="s">
        <v>153</v>
      </c>
      <c r="G34" t="str">
        <f>"0000000243643"</f>
        <v>0000000243643</v>
      </c>
      <c r="H34" t="s">
        <v>32</v>
      </c>
      <c r="I34" t="s">
        <v>33</v>
      </c>
      <c r="J34" t="s">
        <v>154</v>
      </c>
      <c r="K34" t="s">
        <v>21</v>
      </c>
      <c r="L34" t="s">
        <v>154</v>
      </c>
    </row>
    <row r="35" spans="1:12" x14ac:dyDescent="0.25">
      <c r="B35" t="s">
        <v>38</v>
      </c>
      <c r="C35" t="s">
        <v>13</v>
      </c>
      <c r="D35" t="s">
        <v>126</v>
      </c>
      <c r="E35" t="s">
        <v>155</v>
      </c>
      <c r="F35" t="s">
        <v>156</v>
      </c>
      <c r="G35" t="str">
        <f>"0000000278836"</f>
        <v>0000000278836</v>
      </c>
      <c r="H35" t="s">
        <v>32</v>
      </c>
      <c r="I35" t="s">
        <v>33</v>
      </c>
      <c r="J35" t="s">
        <v>157</v>
      </c>
      <c r="K35" t="s">
        <v>21</v>
      </c>
      <c r="L35" t="s">
        <v>157</v>
      </c>
    </row>
    <row r="36" spans="1:12" x14ac:dyDescent="0.25">
      <c r="A36" t="s">
        <v>1</v>
      </c>
      <c r="B36" t="s">
        <v>27</v>
      </c>
      <c r="C36" t="s">
        <v>13</v>
      </c>
      <c r="D36" t="s">
        <v>158</v>
      </c>
      <c r="E36" t="s">
        <v>159</v>
      </c>
      <c r="F36" t="s">
        <v>160</v>
      </c>
      <c r="G36" t="s">
        <v>161</v>
      </c>
      <c r="H36" t="s">
        <v>32</v>
      </c>
      <c r="I36" t="s">
        <v>162</v>
      </c>
      <c r="J36" t="s">
        <v>163</v>
      </c>
      <c r="K36" t="s">
        <v>21</v>
      </c>
      <c r="L36" t="s">
        <v>163</v>
      </c>
    </row>
    <row r="37" spans="1:12" x14ac:dyDescent="0.25">
      <c r="A37" t="s">
        <v>1</v>
      </c>
      <c r="B37" t="s">
        <v>27</v>
      </c>
      <c r="C37" t="s">
        <v>13</v>
      </c>
      <c r="D37" t="s">
        <v>164</v>
      </c>
      <c r="E37" t="s">
        <v>165</v>
      </c>
      <c r="F37" t="s">
        <v>166</v>
      </c>
      <c r="G37" t="s">
        <v>167</v>
      </c>
      <c r="H37" t="s">
        <v>32</v>
      </c>
      <c r="I37" t="s">
        <v>168</v>
      </c>
      <c r="J37" t="s">
        <v>169</v>
      </c>
      <c r="K37" t="s">
        <v>21</v>
      </c>
      <c r="L37" t="s">
        <v>169</v>
      </c>
    </row>
    <row r="38" spans="1:12" x14ac:dyDescent="0.25">
      <c r="A38" t="s">
        <v>1</v>
      </c>
      <c r="B38" t="s">
        <v>27</v>
      </c>
      <c r="C38" t="s">
        <v>13</v>
      </c>
      <c r="D38" t="s">
        <v>164</v>
      </c>
      <c r="E38" t="s">
        <v>170</v>
      </c>
      <c r="F38" t="s">
        <v>171</v>
      </c>
      <c r="G38" t="str">
        <f>"0000000129190"</f>
        <v>0000000129190</v>
      </c>
      <c r="H38" t="s">
        <v>32</v>
      </c>
      <c r="I38" t="s">
        <v>33</v>
      </c>
      <c r="J38" t="s">
        <v>264</v>
      </c>
      <c r="K38" t="s">
        <v>21</v>
      </c>
      <c r="L38" t="s">
        <v>264</v>
      </c>
    </row>
    <row r="39" spans="1:12" x14ac:dyDescent="0.25">
      <c r="A39" t="s">
        <v>1</v>
      </c>
      <c r="B39" t="s">
        <v>27</v>
      </c>
      <c r="C39" t="s">
        <v>13</v>
      </c>
      <c r="D39" t="s">
        <v>164</v>
      </c>
      <c r="E39" t="s">
        <v>265</v>
      </c>
      <c r="F39" t="s">
        <v>266</v>
      </c>
      <c r="G39" t="str">
        <f>"0000000151634"</f>
        <v>0000000151634</v>
      </c>
      <c r="H39" t="s">
        <v>32</v>
      </c>
      <c r="I39" t="s">
        <v>33</v>
      </c>
      <c r="J39" t="s">
        <v>267</v>
      </c>
      <c r="K39" t="s">
        <v>21</v>
      </c>
      <c r="L39" t="s">
        <v>267</v>
      </c>
    </row>
    <row r="40" spans="1:12" x14ac:dyDescent="0.25">
      <c r="B40" t="s">
        <v>27</v>
      </c>
      <c r="C40" t="s">
        <v>13</v>
      </c>
      <c r="D40" t="s">
        <v>164</v>
      </c>
      <c r="E40" t="s">
        <v>176</v>
      </c>
      <c r="F40" t="s">
        <v>177</v>
      </c>
      <c r="G40" t="str">
        <f>"0000000170956"</f>
        <v>0000000170956</v>
      </c>
      <c r="H40" t="s">
        <v>32</v>
      </c>
      <c r="I40" t="s">
        <v>33</v>
      </c>
      <c r="J40" t="s">
        <v>178</v>
      </c>
      <c r="K40" t="s">
        <v>21</v>
      </c>
      <c r="L40" t="s">
        <v>178</v>
      </c>
    </row>
    <row r="41" spans="1:12" x14ac:dyDescent="0.25">
      <c r="A41" t="s">
        <v>1</v>
      </c>
      <c r="B41" t="s">
        <v>27</v>
      </c>
      <c r="C41" t="s">
        <v>13</v>
      </c>
      <c r="D41" t="s">
        <v>164</v>
      </c>
      <c r="E41" t="s">
        <v>179</v>
      </c>
      <c r="F41" t="s">
        <v>180</v>
      </c>
      <c r="G41" t="str">
        <f>"0000000263573"</f>
        <v>0000000263573</v>
      </c>
      <c r="H41" t="s">
        <v>32</v>
      </c>
      <c r="I41" t="s">
        <v>33</v>
      </c>
      <c r="J41" t="s">
        <v>181</v>
      </c>
      <c r="K41" t="s">
        <v>21</v>
      </c>
      <c r="L41" t="s">
        <v>181</v>
      </c>
    </row>
    <row r="42" spans="1:12" x14ac:dyDescent="0.25">
      <c r="A42" t="s">
        <v>1</v>
      </c>
      <c r="B42" t="s">
        <v>27</v>
      </c>
      <c r="C42" t="s">
        <v>13</v>
      </c>
      <c r="D42" t="s">
        <v>164</v>
      </c>
      <c r="E42" t="s">
        <v>182</v>
      </c>
      <c r="F42" t="s">
        <v>183</v>
      </c>
      <c r="G42" t="str">
        <f>"0000000352031"</f>
        <v>0000000352031</v>
      </c>
      <c r="H42" t="s">
        <v>32</v>
      </c>
      <c r="I42" t="s">
        <v>33</v>
      </c>
      <c r="J42" t="s">
        <v>268</v>
      </c>
      <c r="K42" t="s">
        <v>21</v>
      </c>
      <c r="L42" t="s">
        <v>268</v>
      </c>
    </row>
    <row r="43" spans="1:12" x14ac:dyDescent="0.25">
      <c r="A43" t="s">
        <v>1</v>
      </c>
      <c r="B43" t="s">
        <v>27</v>
      </c>
      <c r="C43" t="s">
        <v>13</v>
      </c>
      <c r="D43" t="s">
        <v>185</v>
      </c>
      <c r="E43" t="s">
        <v>186</v>
      </c>
      <c r="F43" t="s">
        <v>187</v>
      </c>
      <c r="G43" t="s">
        <v>188</v>
      </c>
      <c r="H43" t="s">
        <v>32</v>
      </c>
      <c r="I43" t="s">
        <v>33</v>
      </c>
      <c r="J43" t="s">
        <v>269</v>
      </c>
      <c r="K43" t="s">
        <v>21</v>
      </c>
      <c r="L43" t="s">
        <v>269</v>
      </c>
    </row>
    <row r="44" spans="1:12" x14ac:dyDescent="0.25">
      <c r="A44" t="s">
        <v>1</v>
      </c>
      <c r="B44" t="s">
        <v>27</v>
      </c>
      <c r="C44" t="s">
        <v>13</v>
      </c>
      <c r="D44" t="s">
        <v>185</v>
      </c>
      <c r="E44" t="s">
        <v>190</v>
      </c>
      <c r="F44" t="s">
        <v>191</v>
      </c>
      <c r="G44" t="s">
        <v>192</v>
      </c>
      <c r="H44" t="s">
        <v>32</v>
      </c>
      <c r="I44" t="s">
        <v>193</v>
      </c>
      <c r="J44" t="s">
        <v>194</v>
      </c>
      <c r="K44" t="s">
        <v>21</v>
      </c>
      <c r="L44" t="s">
        <v>194</v>
      </c>
    </row>
    <row r="45" spans="1:12" x14ac:dyDescent="0.25">
      <c r="A45" t="s">
        <v>1</v>
      </c>
      <c r="B45" t="s">
        <v>27</v>
      </c>
      <c r="C45" t="s">
        <v>13</v>
      </c>
      <c r="D45" t="s">
        <v>185</v>
      </c>
      <c r="E45" t="s">
        <v>195</v>
      </c>
      <c r="F45" t="s">
        <v>196</v>
      </c>
      <c r="G45" t="str">
        <f>"0000000075022"</f>
        <v>0000000075022</v>
      </c>
      <c r="H45" t="s">
        <v>32</v>
      </c>
      <c r="I45" t="s">
        <v>33</v>
      </c>
      <c r="J45" t="s">
        <v>270</v>
      </c>
      <c r="K45" t="s">
        <v>21</v>
      </c>
      <c r="L45" t="s">
        <v>270</v>
      </c>
    </row>
    <row r="46" spans="1:12" x14ac:dyDescent="0.25">
      <c r="A46" t="s">
        <v>1</v>
      </c>
      <c r="B46" t="s">
        <v>27</v>
      </c>
      <c r="C46" t="s">
        <v>13</v>
      </c>
      <c r="D46" t="s">
        <v>185</v>
      </c>
      <c r="E46" t="s">
        <v>198</v>
      </c>
      <c r="F46" t="s">
        <v>199</v>
      </c>
      <c r="G46" t="str">
        <f>"0000000163026"</f>
        <v>0000000163026</v>
      </c>
      <c r="H46" t="s">
        <v>32</v>
      </c>
      <c r="I46" t="s">
        <v>33</v>
      </c>
      <c r="J46" t="s">
        <v>200</v>
      </c>
      <c r="K46" t="s">
        <v>21</v>
      </c>
      <c r="L46" t="s">
        <v>200</v>
      </c>
    </row>
    <row r="47" spans="1:12" x14ac:dyDescent="0.25">
      <c r="A47" t="s">
        <v>1</v>
      </c>
      <c r="B47" t="s">
        <v>27</v>
      </c>
      <c r="C47" t="s">
        <v>13</v>
      </c>
      <c r="D47" t="s">
        <v>185</v>
      </c>
      <c r="E47" t="s">
        <v>201</v>
      </c>
      <c r="F47" t="s">
        <v>202</v>
      </c>
      <c r="G47" t="str">
        <f>"0000000163033"</f>
        <v>0000000163033</v>
      </c>
      <c r="H47" t="s">
        <v>32</v>
      </c>
      <c r="I47" t="s">
        <v>33</v>
      </c>
      <c r="J47" t="s">
        <v>203</v>
      </c>
      <c r="K47" t="s">
        <v>21</v>
      </c>
      <c r="L47" t="s">
        <v>203</v>
      </c>
    </row>
    <row r="48" spans="1:12" x14ac:dyDescent="0.25">
      <c r="A48" t="s">
        <v>1</v>
      </c>
      <c r="B48" t="s">
        <v>27</v>
      </c>
      <c r="C48" t="s">
        <v>13</v>
      </c>
      <c r="D48" t="s">
        <v>204</v>
      </c>
      <c r="E48" t="s">
        <v>205</v>
      </c>
      <c r="F48" t="s">
        <v>206</v>
      </c>
      <c r="G48" t="str">
        <f>"0000000106320"</f>
        <v>0000000106320</v>
      </c>
      <c r="H48" t="s">
        <v>32</v>
      </c>
      <c r="I48" t="s">
        <v>33</v>
      </c>
      <c r="J48" t="s">
        <v>271</v>
      </c>
      <c r="K48" t="s">
        <v>21</v>
      </c>
      <c r="L48" t="s">
        <v>271</v>
      </c>
    </row>
    <row r="49" spans="1:12" x14ac:dyDescent="0.25">
      <c r="A49" t="s">
        <v>1</v>
      </c>
      <c r="B49" t="s">
        <v>27</v>
      </c>
      <c r="C49" t="s">
        <v>13</v>
      </c>
      <c r="D49" t="s">
        <v>204</v>
      </c>
      <c r="E49" t="s">
        <v>272</v>
      </c>
      <c r="F49" t="s">
        <v>273</v>
      </c>
      <c r="G49" t="str">
        <f>"0000000153553"</f>
        <v>0000000153553</v>
      </c>
      <c r="H49" t="s">
        <v>32</v>
      </c>
      <c r="I49" t="s">
        <v>33</v>
      </c>
      <c r="J49" t="s">
        <v>274</v>
      </c>
      <c r="K49" t="s">
        <v>21</v>
      </c>
      <c r="L49" t="s">
        <v>274</v>
      </c>
    </row>
    <row r="50" spans="1:12" x14ac:dyDescent="0.25">
      <c r="A50" t="s">
        <v>1</v>
      </c>
      <c r="B50" t="s">
        <v>27</v>
      </c>
      <c r="C50" t="s">
        <v>13</v>
      </c>
      <c r="D50" t="s">
        <v>204</v>
      </c>
      <c r="E50" t="s">
        <v>211</v>
      </c>
      <c r="F50" t="s">
        <v>212</v>
      </c>
      <c r="G50" t="str">
        <f>"0000000319447"</f>
        <v>0000000319447</v>
      </c>
      <c r="H50" t="s">
        <v>32</v>
      </c>
      <c r="I50" t="s">
        <v>33</v>
      </c>
      <c r="J50" t="s">
        <v>275</v>
      </c>
      <c r="K50" t="s">
        <v>21</v>
      </c>
      <c r="L50" t="s">
        <v>275</v>
      </c>
    </row>
    <row r="51" spans="1:12" x14ac:dyDescent="0.25">
      <c r="B51" t="s">
        <v>27</v>
      </c>
      <c r="C51" t="s">
        <v>13</v>
      </c>
      <c r="D51" t="s">
        <v>214</v>
      </c>
      <c r="E51" t="s">
        <v>215</v>
      </c>
      <c r="F51" t="s">
        <v>216</v>
      </c>
      <c r="G51" t="str">
        <f>"0000000094634"</f>
        <v>0000000094634</v>
      </c>
      <c r="H51" t="s">
        <v>217</v>
      </c>
      <c r="I51" t="s">
        <v>218</v>
      </c>
      <c r="J51" t="s">
        <v>276</v>
      </c>
      <c r="K51" t="s">
        <v>21</v>
      </c>
      <c r="L51" t="s">
        <v>276</v>
      </c>
    </row>
    <row r="52" spans="1:12" x14ac:dyDescent="0.25">
      <c r="B52" t="s">
        <v>220</v>
      </c>
      <c r="C52" t="s">
        <v>13</v>
      </c>
      <c r="D52" t="s">
        <v>221</v>
      </c>
      <c r="E52" t="s">
        <v>222</v>
      </c>
      <c r="F52" t="s">
        <v>223</v>
      </c>
      <c r="G52" t="s">
        <v>224</v>
      </c>
      <c r="H52" t="s">
        <v>217</v>
      </c>
      <c r="I52" t="s">
        <v>218</v>
      </c>
      <c r="J52" t="s">
        <v>225</v>
      </c>
      <c r="K52" t="s">
        <v>21</v>
      </c>
      <c r="L52" t="s">
        <v>225</v>
      </c>
    </row>
    <row r="53" spans="1:12" x14ac:dyDescent="0.25">
      <c r="B53" t="s">
        <v>22</v>
      </c>
      <c r="C53" t="s">
        <v>13</v>
      </c>
      <c r="D53" t="s">
        <v>226</v>
      </c>
      <c r="E53" t="s">
        <v>227</v>
      </c>
      <c r="F53" t="s">
        <v>228</v>
      </c>
      <c r="G53" t="s">
        <v>229</v>
      </c>
      <c r="H53" t="s">
        <v>18</v>
      </c>
      <c r="I53" t="s">
        <v>230</v>
      </c>
      <c r="J53" t="s">
        <v>231</v>
      </c>
      <c r="K53" t="s">
        <v>21</v>
      </c>
      <c r="L53" t="s">
        <v>231</v>
      </c>
    </row>
    <row r="54" spans="1:12" x14ac:dyDescent="0.25">
      <c r="B54" t="s">
        <v>38</v>
      </c>
      <c r="C54" t="s">
        <v>13</v>
      </c>
      <c r="D54" t="s">
        <v>226</v>
      </c>
      <c r="E54" t="s">
        <v>232</v>
      </c>
      <c r="F54" t="s">
        <v>233</v>
      </c>
      <c r="G54" t="s">
        <v>234</v>
      </c>
      <c r="H54" t="s">
        <v>18</v>
      </c>
      <c r="I54" t="s">
        <v>230</v>
      </c>
      <c r="J54" t="s">
        <v>235</v>
      </c>
      <c r="K54" t="s">
        <v>21</v>
      </c>
      <c r="L54" t="s">
        <v>235</v>
      </c>
    </row>
    <row r="55" spans="1:12" x14ac:dyDescent="0.25">
      <c r="B55" t="s">
        <v>27</v>
      </c>
      <c r="C55" t="s">
        <v>13</v>
      </c>
      <c r="D55" t="s">
        <v>236</v>
      </c>
      <c r="E55" t="s">
        <v>237</v>
      </c>
      <c r="F55" t="s">
        <v>238</v>
      </c>
      <c r="G55" t="str">
        <f>"0000000135436"</f>
        <v>0000000135436</v>
      </c>
      <c r="H55" t="s">
        <v>32</v>
      </c>
      <c r="I55" t="s">
        <v>33</v>
      </c>
      <c r="J55" t="s">
        <v>239</v>
      </c>
      <c r="K55" t="s">
        <v>21</v>
      </c>
      <c r="L55" t="s">
        <v>239</v>
      </c>
    </row>
    <row r="56" spans="1:12" x14ac:dyDescent="0.25">
      <c r="B56" t="s">
        <v>27</v>
      </c>
      <c r="C56" t="s">
        <v>13</v>
      </c>
      <c r="D56" t="s">
        <v>236</v>
      </c>
      <c r="E56" t="s">
        <v>240</v>
      </c>
      <c r="F56" t="s">
        <v>241</v>
      </c>
      <c r="G56" t="s">
        <v>242</v>
      </c>
      <c r="H56" t="s">
        <v>32</v>
      </c>
      <c r="I56" t="s">
        <v>33</v>
      </c>
      <c r="J56" t="s">
        <v>243</v>
      </c>
      <c r="K56" t="s">
        <v>21</v>
      </c>
      <c r="L56" t="s">
        <v>243</v>
      </c>
    </row>
    <row r="57" spans="1:12" x14ac:dyDescent="0.25">
      <c r="B57" t="s">
        <v>27</v>
      </c>
      <c r="C57" t="s">
        <v>13</v>
      </c>
      <c r="D57" t="s">
        <v>236</v>
      </c>
      <c r="E57" t="s">
        <v>244</v>
      </c>
      <c r="F57" t="s">
        <v>245</v>
      </c>
      <c r="G57" t="s">
        <v>246</v>
      </c>
      <c r="H57" t="s">
        <v>32</v>
      </c>
      <c r="I57" t="s">
        <v>33</v>
      </c>
      <c r="J57" t="s">
        <v>247</v>
      </c>
      <c r="K57" t="s">
        <v>21</v>
      </c>
      <c r="L57" t="s">
        <v>247</v>
      </c>
    </row>
    <row r="58" spans="1:12" x14ac:dyDescent="0.25">
      <c r="B58" t="s">
        <v>27</v>
      </c>
      <c r="C58" t="s">
        <v>13</v>
      </c>
      <c r="D58" t="s">
        <v>236</v>
      </c>
      <c r="E58" t="s">
        <v>248</v>
      </c>
      <c r="F58" t="s">
        <v>249</v>
      </c>
      <c r="G58" t="str">
        <f>"0000000135443"</f>
        <v>0000000135443</v>
      </c>
      <c r="H58" t="s">
        <v>32</v>
      </c>
      <c r="I58" t="s">
        <v>33</v>
      </c>
      <c r="J58" t="s">
        <v>250</v>
      </c>
      <c r="K58" t="s">
        <v>21</v>
      </c>
      <c r="L58" t="s">
        <v>250</v>
      </c>
    </row>
    <row r="59" spans="1:12" x14ac:dyDescent="0.25">
      <c r="B59" t="s">
        <v>27</v>
      </c>
      <c r="C59" t="s">
        <v>13</v>
      </c>
      <c r="D59" t="s">
        <v>236</v>
      </c>
      <c r="E59" t="s">
        <v>251</v>
      </c>
      <c r="F59" t="s">
        <v>252</v>
      </c>
      <c r="G59" t="str">
        <f>"0000000134262"</f>
        <v>0000000134262</v>
      </c>
      <c r="H59" t="s">
        <v>32</v>
      </c>
      <c r="I59" t="s">
        <v>33</v>
      </c>
      <c r="J59" t="s">
        <v>253</v>
      </c>
      <c r="K59" t="s">
        <v>21</v>
      </c>
      <c r="L59" t="s">
        <v>253</v>
      </c>
    </row>
    <row r="60" spans="1:12" x14ac:dyDescent="0.25">
      <c r="B60" t="s">
        <v>27</v>
      </c>
      <c r="C60" t="s">
        <v>13</v>
      </c>
      <c r="D60" t="s">
        <v>236</v>
      </c>
      <c r="E60" t="s">
        <v>254</v>
      </c>
      <c r="F60" t="s">
        <v>255</v>
      </c>
      <c r="G60" t="str">
        <f>"0000000134279"</f>
        <v>0000000134279</v>
      </c>
      <c r="H60" t="s">
        <v>32</v>
      </c>
      <c r="I60" t="s">
        <v>33</v>
      </c>
      <c r="J60" t="s">
        <v>256</v>
      </c>
      <c r="K60" t="s">
        <v>21</v>
      </c>
      <c r="L60" t="s">
        <v>256</v>
      </c>
    </row>
    <row r="61" spans="1:12" x14ac:dyDescent="0.25">
      <c r="B61" t="s">
        <v>27</v>
      </c>
      <c r="C61" t="s">
        <v>13</v>
      </c>
      <c r="D61" t="s">
        <v>257</v>
      </c>
      <c r="E61" t="s">
        <v>258</v>
      </c>
      <c r="F61" t="s">
        <v>259</v>
      </c>
      <c r="G61" t="s">
        <v>260</v>
      </c>
      <c r="H61" t="s">
        <v>32</v>
      </c>
      <c r="I61" t="s">
        <v>261</v>
      </c>
      <c r="J61" t="s">
        <v>262</v>
      </c>
      <c r="K61" t="s">
        <v>21</v>
      </c>
      <c r="L61" t="s">
        <v>262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L61"/>
  <sheetViews>
    <sheetView workbookViewId="0">
      <selection sqref="A1:L1048576"/>
    </sheetView>
  </sheetViews>
  <sheetFormatPr defaultRowHeight="15" x14ac:dyDescent="0.25"/>
  <sheetData>
    <row r="1" spans="1:12" x14ac:dyDescent="0.25">
      <c r="A1" t="s">
        <v>277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2" x14ac:dyDescent="0.25"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20</v>
      </c>
      <c r="K2" t="s">
        <v>21</v>
      </c>
      <c r="L2" t="s">
        <v>20</v>
      </c>
    </row>
    <row r="3" spans="1:12" x14ac:dyDescent="0.25">
      <c r="B3" t="s">
        <v>22</v>
      </c>
      <c r="C3" t="s">
        <v>13</v>
      </c>
      <c r="D3" t="s">
        <v>14</v>
      </c>
      <c r="E3" t="s">
        <v>23</v>
      </c>
      <c r="F3" t="s">
        <v>24</v>
      </c>
      <c r="G3" t="s">
        <v>25</v>
      </c>
      <c r="H3" t="s">
        <v>18</v>
      </c>
      <c r="I3" t="s">
        <v>19</v>
      </c>
      <c r="J3" t="s">
        <v>26</v>
      </c>
      <c r="K3" t="s">
        <v>21</v>
      </c>
      <c r="L3" t="s">
        <v>26</v>
      </c>
    </row>
    <row r="4" spans="1:12" x14ac:dyDescent="0.25">
      <c r="B4" t="s">
        <v>27</v>
      </c>
      <c r="C4" t="s">
        <v>13</v>
      </c>
      <c r="D4" t="s">
        <v>28</v>
      </c>
      <c r="E4" t="s">
        <v>29</v>
      </c>
      <c r="F4" t="s">
        <v>30</v>
      </c>
      <c r="G4" t="s">
        <v>31</v>
      </c>
      <c r="H4" t="s">
        <v>32</v>
      </c>
      <c r="I4" t="s">
        <v>33</v>
      </c>
      <c r="J4" t="s">
        <v>34</v>
      </c>
      <c r="K4" t="s">
        <v>21</v>
      </c>
      <c r="L4" t="s">
        <v>34</v>
      </c>
    </row>
    <row r="5" spans="1:12" x14ac:dyDescent="0.25">
      <c r="B5" t="s">
        <v>27</v>
      </c>
      <c r="C5" t="s">
        <v>13</v>
      </c>
      <c r="D5" t="s">
        <v>28</v>
      </c>
      <c r="E5" t="s">
        <v>35</v>
      </c>
      <c r="F5" t="s">
        <v>36</v>
      </c>
      <c r="G5" t="str">
        <f>"0000000132787"</f>
        <v>0000000132787</v>
      </c>
      <c r="H5" t="s">
        <v>32</v>
      </c>
      <c r="I5" t="s">
        <v>33</v>
      </c>
      <c r="J5" t="s">
        <v>37</v>
      </c>
      <c r="K5" t="s">
        <v>21</v>
      </c>
      <c r="L5" t="s">
        <v>37</v>
      </c>
    </row>
    <row r="6" spans="1:12" x14ac:dyDescent="0.25">
      <c r="B6" t="s">
        <v>38</v>
      </c>
      <c r="C6" t="s">
        <v>13</v>
      </c>
      <c r="D6" t="s">
        <v>39</v>
      </c>
      <c r="E6" t="s">
        <v>40</v>
      </c>
      <c r="F6" t="s">
        <v>41</v>
      </c>
      <c r="G6" t="s">
        <v>42</v>
      </c>
      <c r="H6" t="s">
        <v>18</v>
      </c>
      <c r="I6" t="s">
        <v>19</v>
      </c>
      <c r="J6" t="s">
        <v>43</v>
      </c>
      <c r="K6" t="s">
        <v>21</v>
      </c>
      <c r="L6" t="s">
        <v>43</v>
      </c>
    </row>
    <row r="7" spans="1:12" x14ac:dyDescent="0.25">
      <c r="B7" t="s">
        <v>12</v>
      </c>
      <c r="C7" t="s">
        <v>13</v>
      </c>
      <c r="D7" t="s">
        <v>39</v>
      </c>
      <c r="E7" t="s">
        <v>44</v>
      </c>
      <c r="F7" t="s">
        <v>45</v>
      </c>
      <c r="G7" t="s">
        <v>46</v>
      </c>
      <c r="H7" t="s">
        <v>18</v>
      </c>
      <c r="I7" t="s">
        <v>19</v>
      </c>
      <c r="J7" t="s">
        <v>47</v>
      </c>
      <c r="K7" t="s">
        <v>21</v>
      </c>
      <c r="L7" t="s">
        <v>47</v>
      </c>
    </row>
    <row r="8" spans="1:12" x14ac:dyDescent="0.25">
      <c r="B8" t="s">
        <v>48</v>
      </c>
      <c r="C8" t="s">
        <v>13</v>
      </c>
      <c r="D8" t="s">
        <v>39</v>
      </c>
      <c r="E8" t="s">
        <v>49</v>
      </c>
      <c r="F8" t="s">
        <v>50</v>
      </c>
      <c r="G8" t="s">
        <v>51</v>
      </c>
      <c r="H8" t="s">
        <v>18</v>
      </c>
      <c r="I8" t="s">
        <v>19</v>
      </c>
      <c r="J8" t="s">
        <v>52</v>
      </c>
      <c r="K8" t="s">
        <v>21</v>
      </c>
      <c r="L8" t="s">
        <v>52</v>
      </c>
    </row>
    <row r="9" spans="1:12" x14ac:dyDescent="0.25">
      <c r="B9" t="s">
        <v>22</v>
      </c>
      <c r="C9" t="s">
        <v>13</v>
      </c>
      <c r="D9" t="s">
        <v>39</v>
      </c>
      <c r="E9" t="s">
        <v>53</v>
      </c>
      <c r="F9" t="s">
        <v>54</v>
      </c>
      <c r="G9" t="s">
        <v>55</v>
      </c>
      <c r="H9" t="s">
        <v>18</v>
      </c>
      <c r="I9" t="s">
        <v>19</v>
      </c>
      <c r="J9" t="s">
        <v>56</v>
      </c>
      <c r="K9" t="s">
        <v>21</v>
      </c>
      <c r="L9" t="s">
        <v>56</v>
      </c>
    </row>
    <row r="10" spans="1:12" x14ac:dyDescent="0.25">
      <c r="B10" t="s">
        <v>22</v>
      </c>
      <c r="C10" t="s">
        <v>13</v>
      </c>
      <c r="D10" t="s">
        <v>39</v>
      </c>
      <c r="E10" t="s">
        <v>57</v>
      </c>
      <c r="F10" t="s">
        <v>58</v>
      </c>
      <c r="G10" t="s">
        <v>59</v>
      </c>
      <c r="H10" t="s">
        <v>18</v>
      </c>
      <c r="I10" t="s">
        <v>19</v>
      </c>
      <c r="J10" t="s">
        <v>60</v>
      </c>
      <c r="K10" t="s">
        <v>21</v>
      </c>
      <c r="L10" t="s">
        <v>60</v>
      </c>
    </row>
    <row r="11" spans="1:12" x14ac:dyDescent="0.25">
      <c r="B11" t="s">
        <v>22</v>
      </c>
      <c r="C11" t="s">
        <v>13</v>
      </c>
      <c r="D11" t="s">
        <v>39</v>
      </c>
      <c r="E11" t="s">
        <v>61</v>
      </c>
      <c r="F11" t="s">
        <v>62</v>
      </c>
      <c r="G11" t="s">
        <v>63</v>
      </c>
      <c r="H11" t="s">
        <v>18</v>
      </c>
      <c r="I11" t="s">
        <v>19</v>
      </c>
      <c r="J11" t="s">
        <v>64</v>
      </c>
      <c r="K11" t="s">
        <v>21</v>
      </c>
      <c r="L11" t="s">
        <v>64</v>
      </c>
    </row>
    <row r="12" spans="1:12" x14ac:dyDescent="0.25">
      <c r="B12" t="s">
        <v>65</v>
      </c>
      <c r="C12" t="s">
        <v>13</v>
      </c>
      <c r="D12" t="s">
        <v>66</v>
      </c>
      <c r="E12" t="s">
        <v>67</v>
      </c>
      <c r="F12" t="s">
        <v>68</v>
      </c>
      <c r="G12" t="s">
        <v>69</v>
      </c>
      <c r="H12" t="s">
        <v>18</v>
      </c>
      <c r="I12" t="s">
        <v>19</v>
      </c>
      <c r="J12" t="s">
        <v>47</v>
      </c>
      <c r="K12" t="s">
        <v>21</v>
      </c>
      <c r="L12" t="s">
        <v>47</v>
      </c>
    </row>
    <row r="13" spans="1:12" x14ac:dyDescent="0.25">
      <c r="B13" t="s">
        <v>38</v>
      </c>
      <c r="C13" t="s">
        <v>13</v>
      </c>
      <c r="D13" t="s">
        <v>66</v>
      </c>
      <c r="E13" t="s">
        <v>70</v>
      </c>
      <c r="F13" t="s">
        <v>71</v>
      </c>
      <c r="G13" t="s">
        <v>72</v>
      </c>
      <c r="H13" t="s">
        <v>18</v>
      </c>
      <c r="I13" t="s">
        <v>19</v>
      </c>
      <c r="J13" t="s">
        <v>73</v>
      </c>
      <c r="K13" t="s">
        <v>21</v>
      </c>
      <c r="L13" t="s">
        <v>73</v>
      </c>
    </row>
    <row r="14" spans="1:12" x14ac:dyDescent="0.25">
      <c r="B14" t="s">
        <v>22</v>
      </c>
      <c r="C14" t="s">
        <v>13</v>
      </c>
      <c r="D14" t="s">
        <v>66</v>
      </c>
      <c r="E14" t="s">
        <v>74</v>
      </c>
      <c r="F14" t="s">
        <v>75</v>
      </c>
      <c r="G14" t="s">
        <v>76</v>
      </c>
      <c r="H14" t="s">
        <v>18</v>
      </c>
      <c r="I14" t="s">
        <v>19</v>
      </c>
      <c r="J14" t="s">
        <v>77</v>
      </c>
      <c r="K14" t="s">
        <v>21</v>
      </c>
      <c r="L14" t="s">
        <v>77</v>
      </c>
    </row>
    <row r="15" spans="1:12" x14ac:dyDescent="0.25">
      <c r="B15" t="s">
        <v>27</v>
      </c>
      <c r="C15" t="s">
        <v>13</v>
      </c>
      <c r="D15" t="s">
        <v>78</v>
      </c>
      <c r="E15" t="s">
        <v>79</v>
      </c>
      <c r="F15" t="s">
        <v>80</v>
      </c>
      <c r="G15" t="s">
        <v>81</v>
      </c>
      <c r="H15" t="s">
        <v>18</v>
      </c>
      <c r="I15" t="s">
        <v>19</v>
      </c>
      <c r="J15" t="s">
        <v>82</v>
      </c>
      <c r="K15" t="s">
        <v>21</v>
      </c>
      <c r="L15" t="s">
        <v>82</v>
      </c>
    </row>
    <row r="16" spans="1:12" x14ac:dyDescent="0.25">
      <c r="B16" t="s">
        <v>22</v>
      </c>
      <c r="C16" t="s">
        <v>13</v>
      </c>
      <c r="D16" t="s">
        <v>83</v>
      </c>
      <c r="E16" t="s">
        <v>84</v>
      </c>
      <c r="F16" t="s">
        <v>85</v>
      </c>
      <c r="G16" t="s">
        <v>86</v>
      </c>
      <c r="H16" t="s">
        <v>18</v>
      </c>
      <c r="I16" t="s">
        <v>19</v>
      </c>
      <c r="J16" t="s">
        <v>73</v>
      </c>
      <c r="K16" t="s">
        <v>21</v>
      </c>
      <c r="L16" t="s">
        <v>73</v>
      </c>
    </row>
    <row r="17" spans="2:12" x14ac:dyDescent="0.25">
      <c r="B17" t="s">
        <v>22</v>
      </c>
      <c r="C17" t="s">
        <v>13</v>
      </c>
      <c r="D17" t="s">
        <v>83</v>
      </c>
      <c r="E17" t="s">
        <v>87</v>
      </c>
      <c r="F17" t="s">
        <v>88</v>
      </c>
      <c r="G17" t="s">
        <v>89</v>
      </c>
      <c r="H17" t="s">
        <v>18</v>
      </c>
      <c r="I17" t="s">
        <v>19</v>
      </c>
      <c r="J17" t="s">
        <v>73</v>
      </c>
      <c r="K17" t="s">
        <v>21</v>
      </c>
      <c r="L17" t="s">
        <v>73</v>
      </c>
    </row>
    <row r="18" spans="2:12" x14ac:dyDescent="0.25">
      <c r="B18" t="s">
        <v>27</v>
      </c>
      <c r="C18" t="s">
        <v>13</v>
      </c>
      <c r="D18" t="s">
        <v>83</v>
      </c>
      <c r="E18" t="s">
        <v>90</v>
      </c>
      <c r="F18" t="s">
        <v>91</v>
      </c>
      <c r="G18" t="s">
        <v>92</v>
      </c>
      <c r="H18" t="s">
        <v>18</v>
      </c>
      <c r="I18" t="s">
        <v>19</v>
      </c>
      <c r="J18" t="s">
        <v>93</v>
      </c>
      <c r="K18" t="s">
        <v>21</v>
      </c>
      <c r="L18" t="s">
        <v>93</v>
      </c>
    </row>
    <row r="19" spans="2:12" x14ac:dyDescent="0.25">
      <c r="B19" t="s">
        <v>22</v>
      </c>
      <c r="C19" t="s">
        <v>13</v>
      </c>
      <c r="D19" t="s">
        <v>83</v>
      </c>
      <c r="E19" t="s">
        <v>94</v>
      </c>
      <c r="F19" t="s">
        <v>95</v>
      </c>
      <c r="G19" t="s">
        <v>96</v>
      </c>
      <c r="H19" t="s">
        <v>18</v>
      </c>
      <c r="I19" t="s">
        <v>19</v>
      </c>
      <c r="J19" t="s">
        <v>97</v>
      </c>
      <c r="K19" t="s">
        <v>21</v>
      </c>
      <c r="L19" t="s">
        <v>97</v>
      </c>
    </row>
    <row r="20" spans="2:12" x14ac:dyDescent="0.25">
      <c r="B20" t="s">
        <v>38</v>
      </c>
      <c r="C20" t="s">
        <v>13</v>
      </c>
      <c r="D20" t="s">
        <v>98</v>
      </c>
      <c r="E20" t="s">
        <v>99</v>
      </c>
      <c r="F20" t="s">
        <v>100</v>
      </c>
      <c r="G20" t="s">
        <v>101</v>
      </c>
      <c r="H20" t="s">
        <v>18</v>
      </c>
      <c r="I20" t="s">
        <v>19</v>
      </c>
      <c r="J20" t="s">
        <v>47</v>
      </c>
      <c r="K20" t="s">
        <v>21</v>
      </c>
      <c r="L20" t="s">
        <v>47</v>
      </c>
    </row>
    <row r="21" spans="2:12" x14ac:dyDescent="0.25">
      <c r="B21" t="s">
        <v>22</v>
      </c>
      <c r="C21" t="s">
        <v>13</v>
      </c>
      <c r="D21" t="s">
        <v>98</v>
      </c>
      <c r="E21" t="s">
        <v>102</v>
      </c>
      <c r="F21" t="s">
        <v>103</v>
      </c>
      <c r="G21" t="s">
        <v>104</v>
      </c>
      <c r="H21" t="s">
        <v>18</v>
      </c>
      <c r="I21" t="s">
        <v>19</v>
      </c>
      <c r="J21" t="s">
        <v>105</v>
      </c>
      <c r="K21" t="s">
        <v>21</v>
      </c>
      <c r="L21" t="s">
        <v>105</v>
      </c>
    </row>
    <row r="22" spans="2:12" x14ac:dyDescent="0.25">
      <c r="B22" t="s">
        <v>106</v>
      </c>
      <c r="C22" t="s">
        <v>13</v>
      </c>
      <c r="D22" t="s">
        <v>98</v>
      </c>
      <c r="E22" t="s">
        <v>107</v>
      </c>
      <c r="F22" t="s">
        <v>108</v>
      </c>
      <c r="G22" t="s">
        <v>109</v>
      </c>
      <c r="H22" t="s">
        <v>18</v>
      </c>
      <c r="I22" t="s">
        <v>19</v>
      </c>
      <c r="J22" t="s">
        <v>52</v>
      </c>
      <c r="K22" t="s">
        <v>21</v>
      </c>
      <c r="L22" t="s">
        <v>52</v>
      </c>
    </row>
    <row r="23" spans="2:12" x14ac:dyDescent="0.25">
      <c r="B23" t="s">
        <v>110</v>
      </c>
      <c r="C23" t="s">
        <v>13</v>
      </c>
      <c r="D23" t="s">
        <v>98</v>
      </c>
      <c r="E23" t="s">
        <v>111</v>
      </c>
      <c r="F23" t="s">
        <v>112</v>
      </c>
      <c r="G23" t="s">
        <v>113</v>
      </c>
      <c r="H23" t="s">
        <v>18</v>
      </c>
      <c r="I23" t="s">
        <v>19</v>
      </c>
      <c r="J23" t="s">
        <v>97</v>
      </c>
      <c r="K23" t="s">
        <v>21</v>
      </c>
      <c r="L23" t="s">
        <v>97</v>
      </c>
    </row>
    <row r="24" spans="2:12" x14ac:dyDescent="0.25">
      <c r="B24" t="s">
        <v>27</v>
      </c>
      <c r="C24" t="s">
        <v>13</v>
      </c>
      <c r="D24" t="s">
        <v>98</v>
      </c>
      <c r="E24" t="s">
        <v>114</v>
      </c>
      <c r="F24" t="s">
        <v>115</v>
      </c>
      <c r="G24" t="s">
        <v>116</v>
      </c>
      <c r="H24" t="s">
        <v>18</v>
      </c>
      <c r="I24" t="s">
        <v>19</v>
      </c>
      <c r="J24" t="s">
        <v>73</v>
      </c>
      <c r="K24" t="s">
        <v>21</v>
      </c>
      <c r="L24" t="s">
        <v>73</v>
      </c>
    </row>
    <row r="25" spans="2:12" x14ac:dyDescent="0.25">
      <c r="B25" t="s">
        <v>117</v>
      </c>
      <c r="C25" t="s">
        <v>13</v>
      </c>
      <c r="D25" t="s">
        <v>98</v>
      </c>
      <c r="E25" t="s">
        <v>118</v>
      </c>
      <c r="F25" t="s">
        <v>119</v>
      </c>
      <c r="G25" t="s">
        <v>120</v>
      </c>
      <c r="H25" t="s">
        <v>18</v>
      </c>
      <c r="I25" t="s">
        <v>19</v>
      </c>
      <c r="J25" t="s">
        <v>121</v>
      </c>
      <c r="K25" t="s">
        <v>21</v>
      </c>
      <c r="L25" t="s">
        <v>121</v>
      </c>
    </row>
    <row r="26" spans="2:12" x14ac:dyDescent="0.25">
      <c r="B26" t="s">
        <v>106</v>
      </c>
      <c r="C26" t="s">
        <v>13</v>
      </c>
      <c r="D26" t="s">
        <v>98</v>
      </c>
      <c r="E26" t="s">
        <v>122</v>
      </c>
      <c r="F26" t="s">
        <v>123</v>
      </c>
      <c r="G26" t="s">
        <v>124</v>
      </c>
      <c r="H26" t="s">
        <v>18</v>
      </c>
      <c r="I26" t="s">
        <v>19</v>
      </c>
      <c r="J26" t="s">
        <v>125</v>
      </c>
      <c r="K26" t="s">
        <v>21</v>
      </c>
      <c r="L26" t="s">
        <v>125</v>
      </c>
    </row>
    <row r="27" spans="2:12" x14ac:dyDescent="0.25">
      <c r="B27" t="s">
        <v>22</v>
      </c>
      <c r="C27" t="s">
        <v>13</v>
      </c>
      <c r="D27" t="s">
        <v>126</v>
      </c>
      <c r="E27" t="s">
        <v>127</v>
      </c>
      <c r="F27" t="s">
        <v>128</v>
      </c>
      <c r="G27" t="s">
        <v>129</v>
      </c>
      <c r="H27" t="s">
        <v>32</v>
      </c>
      <c r="I27" t="s">
        <v>33</v>
      </c>
      <c r="J27" t="s">
        <v>130</v>
      </c>
      <c r="K27" t="s">
        <v>21</v>
      </c>
      <c r="L27" t="s">
        <v>130</v>
      </c>
    </row>
    <row r="28" spans="2:12" x14ac:dyDescent="0.25">
      <c r="B28" t="s">
        <v>22</v>
      </c>
      <c r="C28" t="s">
        <v>13</v>
      </c>
      <c r="D28" t="s">
        <v>126</v>
      </c>
      <c r="E28" t="s">
        <v>131</v>
      </c>
      <c r="F28" t="s">
        <v>132</v>
      </c>
      <c r="G28" t="s">
        <v>133</v>
      </c>
      <c r="H28" t="s">
        <v>32</v>
      </c>
      <c r="I28" t="s">
        <v>33</v>
      </c>
      <c r="J28" t="s">
        <v>134</v>
      </c>
      <c r="K28" t="s">
        <v>21</v>
      </c>
      <c r="L28" t="s">
        <v>134</v>
      </c>
    </row>
    <row r="29" spans="2:12" x14ac:dyDescent="0.25">
      <c r="B29" t="s">
        <v>22</v>
      </c>
      <c r="C29" t="s">
        <v>13</v>
      </c>
      <c r="D29" t="s">
        <v>126</v>
      </c>
      <c r="E29" t="s">
        <v>135</v>
      </c>
      <c r="F29" t="s">
        <v>136</v>
      </c>
      <c r="G29" t="s">
        <v>137</v>
      </c>
      <c r="H29" t="s">
        <v>32</v>
      </c>
      <c r="I29" t="s">
        <v>33</v>
      </c>
      <c r="J29" t="s">
        <v>134</v>
      </c>
      <c r="K29" t="s">
        <v>21</v>
      </c>
      <c r="L29" t="s">
        <v>134</v>
      </c>
    </row>
    <row r="30" spans="2:12" x14ac:dyDescent="0.25">
      <c r="B30" t="s">
        <v>27</v>
      </c>
      <c r="C30" t="s">
        <v>13</v>
      </c>
      <c r="D30" t="s">
        <v>126</v>
      </c>
      <c r="E30" t="s">
        <v>138</v>
      </c>
      <c r="F30" t="s">
        <v>139</v>
      </c>
      <c r="G30" t="s">
        <v>140</v>
      </c>
      <c r="H30" t="s">
        <v>32</v>
      </c>
      <c r="I30" t="s">
        <v>33</v>
      </c>
      <c r="J30" t="s">
        <v>141</v>
      </c>
      <c r="K30" t="s">
        <v>21</v>
      </c>
      <c r="L30" t="s">
        <v>141</v>
      </c>
    </row>
    <row r="31" spans="2:12" x14ac:dyDescent="0.25">
      <c r="B31" t="s">
        <v>27</v>
      </c>
      <c r="C31" t="s">
        <v>13</v>
      </c>
      <c r="D31" t="s">
        <v>126</v>
      </c>
      <c r="E31" t="s">
        <v>142</v>
      </c>
      <c r="F31" t="s">
        <v>143</v>
      </c>
      <c r="G31" t="s">
        <v>144</v>
      </c>
      <c r="H31" t="s">
        <v>32</v>
      </c>
      <c r="I31" t="s">
        <v>33</v>
      </c>
      <c r="J31" t="s">
        <v>145</v>
      </c>
      <c r="K31" t="s">
        <v>21</v>
      </c>
      <c r="L31" t="s">
        <v>145</v>
      </c>
    </row>
    <row r="32" spans="2:12" x14ac:dyDescent="0.25">
      <c r="B32" t="s">
        <v>27</v>
      </c>
      <c r="C32" t="s">
        <v>13</v>
      </c>
      <c r="D32" t="s">
        <v>126</v>
      </c>
      <c r="E32" t="s">
        <v>146</v>
      </c>
      <c r="F32" t="s">
        <v>147</v>
      </c>
      <c r="G32" t="str">
        <f>"0000000223119"</f>
        <v>0000000223119</v>
      </c>
      <c r="H32" t="s">
        <v>32</v>
      </c>
      <c r="I32" t="s">
        <v>33</v>
      </c>
      <c r="J32" t="s">
        <v>148</v>
      </c>
      <c r="K32" t="s">
        <v>21</v>
      </c>
      <c r="L32" t="s">
        <v>148</v>
      </c>
    </row>
    <row r="33" spans="1:12" x14ac:dyDescent="0.25">
      <c r="B33" t="s">
        <v>38</v>
      </c>
      <c r="C33" t="s">
        <v>13</v>
      </c>
      <c r="D33" t="s">
        <v>126</v>
      </c>
      <c r="E33" t="s">
        <v>149</v>
      </c>
      <c r="F33" t="s">
        <v>150</v>
      </c>
      <c r="G33" t="str">
        <f>"0000000223126"</f>
        <v>0000000223126</v>
      </c>
      <c r="H33" t="s">
        <v>32</v>
      </c>
      <c r="I33" t="s">
        <v>33</v>
      </c>
      <c r="J33" t="s">
        <v>151</v>
      </c>
      <c r="K33" t="s">
        <v>21</v>
      </c>
      <c r="L33" t="s">
        <v>151</v>
      </c>
    </row>
    <row r="34" spans="1:12" x14ac:dyDescent="0.25">
      <c r="B34" t="s">
        <v>27</v>
      </c>
      <c r="C34" t="s">
        <v>13</v>
      </c>
      <c r="D34" t="s">
        <v>126</v>
      </c>
      <c r="E34" t="s">
        <v>152</v>
      </c>
      <c r="F34" t="s">
        <v>153</v>
      </c>
      <c r="G34" t="str">
        <f>"0000000243643"</f>
        <v>0000000243643</v>
      </c>
      <c r="H34" t="s">
        <v>32</v>
      </c>
      <c r="I34" t="s">
        <v>33</v>
      </c>
      <c r="J34" t="s">
        <v>154</v>
      </c>
      <c r="K34" t="s">
        <v>21</v>
      </c>
      <c r="L34" t="s">
        <v>154</v>
      </c>
    </row>
    <row r="35" spans="1:12" x14ac:dyDescent="0.25">
      <c r="B35" t="s">
        <v>38</v>
      </c>
      <c r="C35" t="s">
        <v>13</v>
      </c>
      <c r="D35" t="s">
        <v>126</v>
      </c>
      <c r="E35" t="s">
        <v>155</v>
      </c>
      <c r="F35" t="s">
        <v>156</v>
      </c>
      <c r="G35" t="str">
        <f>"0000000278836"</f>
        <v>0000000278836</v>
      </c>
      <c r="H35" t="s">
        <v>32</v>
      </c>
      <c r="I35" t="s">
        <v>33</v>
      </c>
      <c r="J35" t="s">
        <v>157</v>
      </c>
      <c r="K35" t="s">
        <v>21</v>
      </c>
      <c r="L35" t="s">
        <v>157</v>
      </c>
    </row>
    <row r="36" spans="1:12" x14ac:dyDescent="0.25">
      <c r="A36" t="s">
        <v>1</v>
      </c>
      <c r="B36" t="s">
        <v>27</v>
      </c>
      <c r="C36" t="s">
        <v>13</v>
      </c>
      <c r="D36" t="s">
        <v>158</v>
      </c>
      <c r="E36" t="s">
        <v>159</v>
      </c>
      <c r="F36" t="s">
        <v>160</v>
      </c>
      <c r="G36" t="s">
        <v>161</v>
      </c>
      <c r="H36" t="s">
        <v>32</v>
      </c>
      <c r="I36" t="s">
        <v>162</v>
      </c>
      <c r="J36" t="s">
        <v>163</v>
      </c>
      <c r="K36" t="s">
        <v>21</v>
      </c>
      <c r="L36" t="s">
        <v>163</v>
      </c>
    </row>
    <row r="37" spans="1:12" x14ac:dyDescent="0.25">
      <c r="A37" t="s">
        <v>1</v>
      </c>
      <c r="B37" t="s">
        <v>27</v>
      </c>
      <c r="C37" t="s">
        <v>13</v>
      </c>
      <c r="D37" t="s">
        <v>164</v>
      </c>
      <c r="E37" t="s">
        <v>165</v>
      </c>
      <c r="F37" t="s">
        <v>166</v>
      </c>
      <c r="G37" t="s">
        <v>167</v>
      </c>
      <c r="H37" t="s">
        <v>32</v>
      </c>
      <c r="I37" t="s">
        <v>168</v>
      </c>
      <c r="J37" t="s">
        <v>169</v>
      </c>
      <c r="K37" t="s">
        <v>21</v>
      </c>
      <c r="L37" t="s">
        <v>169</v>
      </c>
    </row>
    <row r="38" spans="1:12" x14ac:dyDescent="0.25">
      <c r="A38" t="s">
        <v>1</v>
      </c>
      <c r="B38" t="s">
        <v>27</v>
      </c>
      <c r="C38" t="s">
        <v>13</v>
      </c>
      <c r="D38" t="s">
        <v>164</v>
      </c>
      <c r="E38" t="s">
        <v>170</v>
      </c>
      <c r="F38" t="s">
        <v>171</v>
      </c>
      <c r="G38" t="str">
        <f>"0000000129190"</f>
        <v>0000000129190</v>
      </c>
      <c r="H38" t="s">
        <v>32</v>
      </c>
      <c r="I38" t="s">
        <v>33</v>
      </c>
      <c r="J38" t="s">
        <v>172</v>
      </c>
      <c r="K38" t="s">
        <v>21</v>
      </c>
      <c r="L38" t="s">
        <v>172</v>
      </c>
    </row>
    <row r="39" spans="1:12" x14ac:dyDescent="0.25">
      <c r="A39" t="s">
        <v>1</v>
      </c>
      <c r="B39" t="s">
        <v>27</v>
      </c>
      <c r="C39" t="s">
        <v>13</v>
      </c>
      <c r="D39" t="s">
        <v>164</v>
      </c>
      <c r="E39" t="s">
        <v>173</v>
      </c>
      <c r="F39" t="s">
        <v>174</v>
      </c>
      <c r="G39" t="str">
        <f>"0000000416627"</f>
        <v>0000000416627</v>
      </c>
      <c r="H39" t="s">
        <v>32</v>
      </c>
      <c r="I39" t="s">
        <v>33</v>
      </c>
      <c r="J39" t="s">
        <v>175</v>
      </c>
      <c r="K39" t="s">
        <v>21</v>
      </c>
      <c r="L39" t="s">
        <v>175</v>
      </c>
    </row>
    <row r="40" spans="1:12" x14ac:dyDescent="0.25">
      <c r="B40" t="s">
        <v>27</v>
      </c>
      <c r="C40" t="s">
        <v>13</v>
      </c>
      <c r="D40" t="s">
        <v>164</v>
      </c>
      <c r="E40" t="s">
        <v>176</v>
      </c>
      <c r="F40" t="s">
        <v>177</v>
      </c>
      <c r="G40" t="str">
        <f>"0000000170956"</f>
        <v>0000000170956</v>
      </c>
      <c r="H40" t="s">
        <v>32</v>
      </c>
      <c r="I40" t="s">
        <v>33</v>
      </c>
      <c r="J40" t="s">
        <v>178</v>
      </c>
      <c r="K40" t="s">
        <v>21</v>
      </c>
      <c r="L40" t="s">
        <v>178</v>
      </c>
    </row>
    <row r="41" spans="1:12" x14ac:dyDescent="0.25">
      <c r="A41" t="s">
        <v>1</v>
      </c>
      <c r="B41" t="s">
        <v>27</v>
      </c>
      <c r="C41" t="s">
        <v>13</v>
      </c>
      <c r="D41" t="s">
        <v>164</v>
      </c>
      <c r="E41" t="s">
        <v>179</v>
      </c>
      <c r="F41" t="s">
        <v>180</v>
      </c>
      <c r="G41" t="str">
        <f>"0000000263573"</f>
        <v>0000000263573</v>
      </c>
      <c r="H41" t="s">
        <v>32</v>
      </c>
      <c r="I41" t="s">
        <v>33</v>
      </c>
      <c r="J41" t="s">
        <v>181</v>
      </c>
      <c r="K41" t="s">
        <v>21</v>
      </c>
      <c r="L41" t="s">
        <v>181</v>
      </c>
    </row>
    <row r="42" spans="1:12" x14ac:dyDescent="0.25">
      <c r="A42" t="s">
        <v>1</v>
      </c>
      <c r="B42" t="s">
        <v>27</v>
      </c>
      <c r="C42" t="s">
        <v>13</v>
      </c>
      <c r="D42" t="s">
        <v>164</v>
      </c>
      <c r="E42" t="s">
        <v>182</v>
      </c>
      <c r="F42" t="s">
        <v>183</v>
      </c>
      <c r="G42" t="str">
        <f>"0000000352031"</f>
        <v>0000000352031</v>
      </c>
      <c r="H42" t="s">
        <v>32</v>
      </c>
      <c r="I42" t="s">
        <v>33</v>
      </c>
      <c r="J42" t="s">
        <v>184</v>
      </c>
      <c r="K42" t="s">
        <v>21</v>
      </c>
      <c r="L42" t="s">
        <v>184</v>
      </c>
    </row>
    <row r="43" spans="1:12" x14ac:dyDescent="0.25">
      <c r="A43" t="s">
        <v>1</v>
      </c>
      <c r="B43" t="s">
        <v>27</v>
      </c>
      <c r="C43" t="s">
        <v>13</v>
      </c>
      <c r="D43" t="s">
        <v>185</v>
      </c>
      <c r="E43" t="s">
        <v>186</v>
      </c>
      <c r="F43" t="s">
        <v>187</v>
      </c>
      <c r="G43" t="s">
        <v>188</v>
      </c>
      <c r="H43" t="s">
        <v>32</v>
      </c>
      <c r="I43" t="s">
        <v>33</v>
      </c>
      <c r="J43" t="s">
        <v>189</v>
      </c>
      <c r="K43" t="s">
        <v>21</v>
      </c>
      <c r="L43" t="s">
        <v>189</v>
      </c>
    </row>
    <row r="44" spans="1:12" x14ac:dyDescent="0.25">
      <c r="A44" t="s">
        <v>1</v>
      </c>
      <c r="B44" t="s">
        <v>27</v>
      </c>
      <c r="C44" t="s">
        <v>13</v>
      </c>
      <c r="D44" t="s">
        <v>185</v>
      </c>
      <c r="E44" t="s">
        <v>190</v>
      </c>
      <c r="F44" t="s">
        <v>191</v>
      </c>
      <c r="G44" t="s">
        <v>192</v>
      </c>
      <c r="H44" t="s">
        <v>32</v>
      </c>
      <c r="I44" t="s">
        <v>193</v>
      </c>
      <c r="J44" t="s">
        <v>194</v>
      </c>
      <c r="K44" t="s">
        <v>21</v>
      </c>
      <c r="L44" t="s">
        <v>194</v>
      </c>
    </row>
    <row r="45" spans="1:12" x14ac:dyDescent="0.25">
      <c r="A45" t="s">
        <v>1</v>
      </c>
      <c r="B45" t="s">
        <v>27</v>
      </c>
      <c r="C45" t="s">
        <v>13</v>
      </c>
      <c r="D45" t="s">
        <v>185</v>
      </c>
      <c r="E45" t="s">
        <v>195</v>
      </c>
      <c r="F45" t="s">
        <v>196</v>
      </c>
      <c r="G45" t="str">
        <f>"0000000075022"</f>
        <v>0000000075022</v>
      </c>
      <c r="H45" t="s">
        <v>32</v>
      </c>
      <c r="I45" t="s">
        <v>33</v>
      </c>
      <c r="J45" t="s">
        <v>197</v>
      </c>
      <c r="K45" t="s">
        <v>21</v>
      </c>
      <c r="L45" t="s">
        <v>197</v>
      </c>
    </row>
    <row r="46" spans="1:12" x14ac:dyDescent="0.25">
      <c r="A46" t="s">
        <v>1</v>
      </c>
      <c r="B46" t="s">
        <v>27</v>
      </c>
      <c r="C46" t="s">
        <v>13</v>
      </c>
      <c r="D46" t="s">
        <v>185</v>
      </c>
      <c r="E46" t="s">
        <v>198</v>
      </c>
      <c r="F46" t="s">
        <v>199</v>
      </c>
      <c r="G46" t="str">
        <f>"0000000163026"</f>
        <v>0000000163026</v>
      </c>
      <c r="H46" t="s">
        <v>32</v>
      </c>
      <c r="I46" t="s">
        <v>33</v>
      </c>
      <c r="J46" t="s">
        <v>200</v>
      </c>
      <c r="K46" t="s">
        <v>21</v>
      </c>
      <c r="L46" t="s">
        <v>200</v>
      </c>
    </row>
    <row r="47" spans="1:12" x14ac:dyDescent="0.25">
      <c r="A47" t="s">
        <v>1</v>
      </c>
      <c r="B47" t="s">
        <v>27</v>
      </c>
      <c r="C47" t="s">
        <v>13</v>
      </c>
      <c r="D47" t="s">
        <v>185</v>
      </c>
      <c r="E47" t="s">
        <v>201</v>
      </c>
      <c r="F47" t="s">
        <v>202</v>
      </c>
      <c r="G47" t="str">
        <f>"0000000163033"</f>
        <v>0000000163033</v>
      </c>
      <c r="H47" t="s">
        <v>32</v>
      </c>
      <c r="I47" t="s">
        <v>33</v>
      </c>
      <c r="J47" t="s">
        <v>203</v>
      </c>
      <c r="K47" t="s">
        <v>21</v>
      </c>
      <c r="L47" t="s">
        <v>203</v>
      </c>
    </row>
    <row r="48" spans="1:12" x14ac:dyDescent="0.25">
      <c r="A48" t="s">
        <v>1</v>
      </c>
      <c r="B48" t="s">
        <v>27</v>
      </c>
      <c r="C48" t="s">
        <v>13</v>
      </c>
      <c r="D48" t="s">
        <v>204</v>
      </c>
      <c r="E48" t="s">
        <v>205</v>
      </c>
      <c r="F48" t="s">
        <v>206</v>
      </c>
      <c r="G48" t="str">
        <f>"0000000106320"</f>
        <v>0000000106320</v>
      </c>
      <c r="H48" t="s">
        <v>32</v>
      </c>
      <c r="I48" t="s">
        <v>33</v>
      </c>
      <c r="J48" t="s">
        <v>207</v>
      </c>
      <c r="K48" t="s">
        <v>21</v>
      </c>
      <c r="L48" t="s">
        <v>207</v>
      </c>
    </row>
    <row r="49" spans="1:12" x14ac:dyDescent="0.25">
      <c r="A49" t="s">
        <v>1</v>
      </c>
      <c r="B49" t="s">
        <v>27</v>
      </c>
      <c r="C49" t="s">
        <v>13</v>
      </c>
      <c r="D49" t="s">
        <v>204</v>
      </c>
      <c r="E49" t="s">
        <v>208</v>
      </c>
      <c r="F49" t="s">
        <v>209</v>
      </c>
      <c r="G49" t="str">
        <f>"0000000374811"</f>
        <v>0000000374811</v>
      </c>
      <c r="H49" t="s">
        <v>32</v>
      </c>
      <c r="I49" t="s">
        <v>33</v>
      </c>
      <c r="J49" t="s">
        <v>210</v>
      </c>
      <c r="K49" t="s">
        <v>21</v>
      </c>
      <c r="L49" t="s">
        <v>210</v>
      </c>
    </row>
    <row r="50" spans="1:12" x14ac:dyDescent="0.25">
      <c r="A50" t="s">
        <v>1</v>
      </c>
      <c r="B50" t="s">
        <v>27</v>
      </c>
      <c r="C50" t="s">
        <v>13</v>
      </c>
      <c r="D50" t="s">
        <v>204</v>
      </c>
      <c r="E50" t="s">
        <v>211</v>
      </c>
      <c r="F50" t="s">
        <v>212</v>
      </c>
      <c r="G50" t="str">
        <f>"0000000319447"</f>
        <v>0000000319447</v>
      </c>
      <c r="H50" t="s">
        <v>32</v>
      </c>
      <c r="I50" t="s">
        <v>33</v>
      </c>
      <c r="J50" t="s">
        <v>213</v>
      </c>
      <c r="K50" t="s">
        <v>21</v>
      </c>
      <c r="L50" t="s">
        <v>213</v>
      </c>
    </row>
    <row r="51" spans="1:12" x14ac:dyDescent="0.25">
      <c r="B51" t="s">
        <v>27</v>
      </c>
      <c r="C51" t="s">
        <v>13</v>
      </c>
      <c r="D51" t="s">
        <v>214</v>
      </c>
      <c r="E51" t="s">
        <v>215</v>
      </c>
      <c r="F51" t="s">
        <v>216</v>
      </c>
      <c r="G51" t="str">
        <f>"0000000094634"</f>
        <v>0000000094634</v>
      </c>
      <c r="H51" t="s">
        <v>217</v>
      </c>
      <c r="I51" t="s">
        <v>218</v>
      </c>
      <c r="J51" t="s">
        <v>219</v>
      </c>
      <c r="K51" t="s">
        <v>21</v>
      </c>
      <c r="L51" t="s">
        <v>219</v>
      </c>
    </row>
    <row r="52" spans="1:12" x14ac:dyDescent="0.25">
      <c r="B52" t="s">
        <v>220</v>
      </c>
      <c r="C52" t="s">
        <v>13</v>
      </c>
      <c r="D52" t="s">
        <v>221</v>
      </c>
      <c r="E52" t="s">
        <v>222</v>
      </c>
      <c r="F52" t="s">
        <v>223</v>
      </c>
      <c r="G52" t="s">
        <v>224</v>
      </c>
      <c r="H52" t="s">
        <v>217</v>
      </c>
      <c r="I52" t="s">
        <v>218</v>
      </c>
      <c r="J52" t="s">
        <v>225</v>
      </c>
      <c r="K52" t="s">
        <v>21</v>
      </c>
      <c r="L52" t="s">
        <v>225</v>
      </c>
    </row>
    <row r="53" spans="1:12" x14ac:dyDescent="0.25">
      <c r="B53" t="s">
        <v>22</v>
      </c>
      <c r="C53" t="s">
        <v>13</v>
      </c>
      <c r="D53" t="s">
        <v>226</v>
      </c>
      <c r="E53" t="s">
        <v>227</v>
      </c>
      <c r="F53" t="s">
        <v>228</v>
      </c>
      <c r="G53" t="s">
        <v>229</v>
      </c>
      <c r="H53" t="s">
        <v>18</v>
      </c>
      <c r="I53" t="s">
        <v>230</v>
      </c>
      <c r="J53" t="s">
        <v>231</v>
      </c>
      <c r="K53" t="s">
        <v>21</v>
      </c>
      <c r="L53" t="s">
        <v>231</v>
      </c>
    </row>
    <row r="54" spans="1:12" x14ac:dyDescent="0.25">
      <c r="B54" t="s">
        <v>38</v>
      </c>
      <c r="C54" t="s">
        <v>13</v>
      </c>
      <c r="D54" t="s">
        <v>226</v>
      </c>
      <c r="E54" t="s">
        <v>232</v>
      </c>
      <c r="F54" t="s">
        <v>233</v>
      </c>
      <c r="G54" t="s">
        <v>234</v>
      </c>
      <c r="H54" t="s">
        <v>18</v>
      </c>
      <c r="I54" t="s">
        <v>230</v>
      </c>
      <c r="J54" t="s">
        <v>235</v>
      </c>
      <c r="K54" t="s">
        <v>21</v>
      </c>
      <c r="L54" t="s">
        <v>235</v>
      </c>
    </row>
    <row r="55" spans="1:12" x14ac:dyDescent="0.25">
      <c r="B55" t="s">
        <v>27</v>
      </c>
      <c r="C55" t="s">
        <v>13</v>
      </c>
      <c r="D55" t="s">
        <v>236</v>
      </c>
      <c r="E55" t="s">
        <v>237</v>
      </c>
      <c r="F55" t="s">
        <v>238</v>
      </c>
      <c r="G55" t="str">
        <f>"0000000135436"</f>
        <v>0000000135436</v>
      </c>
      <c r="H55" t="s">
        <v>32</v>
      </c>
      <c r="I55" t="s">
        <v>33</v>
      </c>
      <c r="J55" t="s">
        <v>239</v>
      </c>
      <c r="K55" t="s">
        <v>21</v>
      </c>
      <c r="L55" t="s">
        <v>239</v>
      </c>
    </row>
    <row r="56" spans="1:12" x14ac:dyDescent="0.25">
      <c r="B56" t="s">
        <v>27</v>
      </c>
      <c r="C56" t="s">
        <v>13</v>
      </c>
      <c r="D56" t="s">
        <v>236</v>
      </c>
      <c r="E56" t="s">
        <v>240</v>
      </c>
      <c r="F56" t="s">
        <v>241</v>
      </c>
      <c r="G56" t="s">
        <v>242</v>
      </c>
      <c r="H56" t="s">
        <v>32</v>
      </c>
      <c r="I56" t="s">
        <v>33</v>
      </c>
      <c r="J56" t="s">
        <v>243</v>
      </c>
      <c r="K56" t="s">
        <v>21</v>
      </c>
      <c r="L56" t="s">
        <v>243</v>
      </c>
    </row>
    <row r="57" spans="1:12" x14ac:dyDescent="0.25">
      <c r="B57" t="s">
        <v>27</v>
      </c>
      <c r="C57" t="s">
        <v>13</v>
      </c>
      <c r="D57" t="s">
        <v>236</v>
      </c>
      <c r="E57" t="s">
        <v>244</v>
      </c>
      <c r="F57" t="s">
        <v>245</v>
      </c>
      <c r="G57" t="s">
        <v>246</v>
      </c>
      <c r="H57" t="s">
        <v>32</v>
      </c>
      <c r="I57" t="s">
        <v>33</v>
      </c>
      <c r="J57" t="s">
        <v>247</v>
      </c>
      <c r="K57" t="s">
        <v>21</v>
      </c>
      <c r="L57" t="s">
        <v>247</v>
      </c>
    </row>
    <row r="58" spans="1:12" x14ac:dyDescent="0.25">
      <c r="B58" t="s">
        <v>27</v>
      </c>
      <c r="C58" t="s">
        <v>13</v>
      </c>
      <c r="D58" t="s">
        <v>236</v>
      </c>
      <c r="E58" t="s">
        <v>248</v>
      </c>
      <c r="F58" t="s">
        <v>249</v>
      </c>
      <c r="G58" t="str">
        <f>"0000000135443"</f>
        <v>0000000135443</v>
      </c>
      <c r="H58" t="s">
        <v>32</v>
      </c>
      <c r="I58" t="s">
        <v>33</v>
      </c>
      <c r="J58" t="s">
        <v>250</v>
      </c>
      <c r="K58" t="s">
        <v>21</v>
      </c>
      <c r="L58" t="s">
        <v>250</v>
      </c>
    </row>
    <row r="59" spans="1:12" x14ac:dyDescent="0.25">
      <c r="B59" t="s">
        <v>27</v>
      </c>
      <c r="C59" t="s">
        <v>13</v>
      </c>
      <c r="D59" t="s">
        <v>236</v>
      </c>
      <c r="E59" t="s">
        <v>251</v>
      </c>
      <c r="F59" t="s">
        <v>252</v>
      </c>
      <c r="G59" t="str">
        <f>"0000000134262"</f>
        <v>0000000134262</v>
      </c>
      <c r="H59" t="s">
        <v>32</v>
      </c>
      <c r="I59" t="s">
        <v>33</v>
      </c>
      <c r="J59" t="s">
        <v>253</v>
      </c>
      <c r="K59" t="s">
        <v>21</v>
      </c>
      <c r="L59" t="s">
        <v>253</v>
      </c>
    </row>
    <row r="60" spans="1:12" x14ac:dyDescent="0.25">
      <c r="B60" t="s">
        <v>27</v>
      </c>
      <c r="C60" t="s">
        <v>13</v>
      </c>
      <c r="D60" t="s">
        <v>236</v>
      </c>
      <c r="E60" t="s">
        <v>254</v>
      </c>
      <c r="F60" t="s">
        <v>255</v>
      </c>
      <c r="G60" t="str">
        <f>"0000000134279"</f>
        <v>0000000134279</v>
      </c>
      <c r="H60" t="s">
        <v>32</v>
      </c>
      <c r="I60" t="s">
        <v>33</v>
      </c>
      <c r="J60" t="s">
        <v>256</v>
      </c>
      <c r="K60" t="s">
        <v>21</v>
      </c>
      <c r="L60" t="s">
        <v>256</v>
      </c>
    </row>
    <row r="61" spans="1:12" x14ac:dyDescent="0.25">
      <c r="B61" t="s">
        <v>27</v>
      </c>
      <c r="C61" t="s">
        <v>13</v>
      </c>
      <c r="D61" t="s">
        <v>257</v>
      </c>
      <c r="E61" t="s">
        <v>258</v>
      </c>
      <c r="F61" t="s">
        <v>259</v>
      </c>
      <c r="G61" t="s">
        <v>260</v>
      </c>
      <c r="H61" t="s">
        <v>32</v>
      </c>
      <c r="I61" t="s">
        <v>261</v>
      </c>
      <c r="J61" t="s">
        <v>262</v>
      </c>
      <c r="K61" t="s">
        <v>21</v>
      </c>
      <c r="L61" t="s">
        <v>262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0000"/>
  </sheetPr>
  <dimension ref="A1:AQ108"/>
  <sheetViews>
    <sheetView tabSelected="1" topLeftCell="U1" zoomScaleNormal="100" workbookViewId="0">
      <selection activeCell="N1" sqref="N1:S108"/>
    </sheetView>
  </sheetViews>
  <sheetFormatPr defaultRowHeight="15" x14ac:dyDescent="0.25"/>
  <cols>
    <col min="1" max="1" width="6.85546875" style="1" customWidth="1"/>
    <col min="2" max="2" width="6.7109375" style="1" bestFit="1" customWidth="1"/>
    <col min="3" max="3" width="4.28515625" style="1" bestFit="1" customWidth="1"/>
    <col min="4" max="4" width="9.42578125" style="1" bestFit="1" customWidth="1"/>
    <col min="5" max="5" width="30.140625" style="1" bestFit="1" customWidth="1"/>
    <col min="6" max="6" width="56" style="1" bestFit="1" customWidth="1"/>
    <col min="7" max="7" width="21.7109375" style="1" bestFit="1" customWidth="1"/>
    <col min="8" max="12" width="9.28515625" style="1" customWidth="1"/>
    <col min="13" max="13" width="9.28515625" style="2" customWidth="1"/>
    <col min="14" max="14" width="6.85546875" style="3" customWidth="1"/>
    <col min="15" max="15" width="6.7109375" style="3" bestFit="1" customWidth="1"/>
    <col min="16" max="16" width="4.28515625" style="3" bestFit="1" customWidth="1"/>
    <col min="17" max="17" width="9.42578125" style="3" bestFit="1" customWidth="1"/>
    <col min="18" max="18" width="30.140625" style="3" bestFit="1" customWidth="1"/>
    <col min="19" max="19" width="56" style="3" bestFit="1" customWidth="1"/>
    <col min="20" max="20" width="21.7109375" style="3" bestFit="1" customWidth="1"/>
    <col min="21" max="25" width="7.7109375" style="3" customWidth="1"/>
    <col min="26" max="26" width="7.7109375" style="4" customWidth="1"/>
    <col min="27" max="27" width="84.42578125" customWidth="1"/>
    <col min="28" max="28" width="1.28515625" customWidth="1"/>
  </cols>
  <sheetData>
    <row r="1" spans="1:29" x14ac:dyDescent="0.25">
      <c r="A1" s="1">
        <v>190014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N1" s="3">
        <v>140203</v>
      </c>
      <c r="O1" s="3" t="s">
        <v>2</v>
      </c>
      <c r="P1" s="3" t="s">
        <v>3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11</v>
      </c>
      <c r="AA1" t="s">
        <v>678</v>
      </c>
    </row>
    <row r="2" spans="1:29" x14ac:dyDescent="0.25">
      <c r="A2" s="1" t="s">
        <v>1</v>
      </c>
      <c r="B2" s="1" t="s">
        <v>27</v>
      </c>
      <c r="C2" s="1" t="s">
        <v>13</v>
      </c>
      <c r="D2" s="1" t="s">
        <v>278</v>
      </c>
      <c r="E2" s="1" t="s">
        <v>293</v>
      </c>
      <c r="F2" s="1" t="s">
        <v>294</v>
      </c>
      <c r="G2" s="1" t="str">
        <f>"0000000308649"</f>
        <v>0000000308649</v>
      </c>
      <c r="H2" s="1" t="s">
        <v>32</v>
      </c>
      <c r="I2" s="1" t="s">
        <v>193</v>
      </c>
      <c r="J2" s="1" t="s">
        <v>295</v>
      </c>
      <c r="K2" s="1" t="s">
        <v>21</v>
      </c>
      <c r="L2" s="1" t="s">
        <v>295</v>
      </c>
      <c r="N2" s="3" t="s">
        <v>1</v>
      </c>
      <c r="O2" s="3" t="s">
        <v>27</v>
      </c>
      <c r="P2" s="3" t="s">
        <v>13</v>
      </c>
      <c r="Q2" s="3" t="s">
        <v>278</v>
      </c>
      <c r="R2" s="3" t="s">
        <v>293</v>
      </c>
      <c r="S2" s="3" t="s">
        <v>294</v>
      </c>
      <c r="T2" s="3" t="str">
        <f>"0000000308649"</f>
        <v>0000000308649</v>
      </c>
      <c r="U2" s="3" t="s">
        <v>32</v>
      </c>
      <c r="V2" s="3" t="s">
        <v>193</v>
      </c>
      <c r="W2" s="3" t="s">
        <v>295</v>
      </c>
      <c r="X2" s="3" t="s">
        <v>21</v>
      </c>
      <c r="Y2" s="3" t="s">
        <v>295</v>
      </c>
      <c r="AA2" t="s">
        <v>679</v>
      </c>
      <c r="AB2" s="5"/>
    </row>
    <row r="3" spans="1:29" x14ac:dyDescent="0.25">
      <c r="A3" s="1" t="s">
        <v>1</v>
      </c>
      <c r="B3" s="1" t="s">
        <v>38</v>
      </c>
      <c r="C3" s="1" t="s">
        <v>13</v>
      </c>
      <c r="D3" s="1" t="s">
        <v>278</v>
      </c>
      <c r="E3" s="1" t="s">
        <v>296</v>
      </c>
      <c r="F3" s="1" t="s">
        <v>297</v>
      </c>
      <c r="G3" s="1" t="str">
        <f>"0000000308564"</f>
        <v>0000000308564</v>
      </c>
      <c r="H3" s="1" t="s">
        <v>32</v>
      </c>
      <c r="I3" s="1" t="s">
        <v>193</v>
      </c>
      <c r="J3" s="1" t="s">
        <v>298</v>
      </c>
      <c r="K3" s="1" t="s">
        <v>21</v>
      </c>
      <c r="L3" s="1" t="s">
        <v>298</v>
      </c>
      <c r="N3" s="3" t="s">
        <v>1</v>
      </c>
      <c r="O3" s="3" t="s">
        <v>38</v>
      </c>
      <c r="P3" s="3" t="s">
        <v>13</v>
      </c>
      <c r="Q3" s="3" t="s">
        <v>278</v>
      </c>
      <c r="R3" s="3" t="s">
        <v>296</v>
      </c>
      <c r="S3" s="3" t="s">
        <v>297</v>
      </c>
      <c r="T3" s="3" t="str">
        <f>"0000000308564"</f>
        <v>0000000308564</v>
      </c>
      <c r="U3" s="3" t="s">
        <v>32</v>
      </c>
      <c r="V3" s="3" t="s">
        <v>193</v>
      </c>
      <c r="W3" s="3" t="s">
        <v>298</v>
      </c>
      <c r="X3" s="3" t="s">
        <v>21</v>
      </c>
      <c r="Y3" s="3" t="s">
        <v>298</v>
      </c>
      <c r="AA3" t="s">
        <v>680</v>
      </c>
    </row>
    <row r="4" spans="1:29" x14ac:dyDescent="0.25">
      <c r="A4" s="1" t="s">
        <v>1</v>
      </c>
      <c r="B4" s="1" t="s">
        <v>27</v>
      </c>
      <c r="C4" s="1" t="s">
        <v>13</v>
      </c>
      <c r="D4" s="1" t="s">
        <v>278</v>
      </c>
      <c r="E4" s="1" t="s">
        <v>299</v>
      </c>
      <c r="F4" s="1" t="s">
        <v>300</v>
      </c>
      <c r="G4" s="1" t="s">
        <v>301</v>
      </c>
      <c r="H4" s="1" t="s">
        <v>32</v>
      </c>
      <c r="I4" s="1" t="s">
        <v>193</v>
      </c>
      <c r="J4" s="1" t="s">
        <v>302</v>
      </c>
      <c r="K4" s="1" t="s">
        <v>21</v>
      </c>
      <c r="L4" s="1" t="s">
        <v>302</v>
      </c>
      <c r="N4" s="3" t="s">
        <v>1</v>
      </c>
      <c r="O4" s="3" t="s">
        <v>27</v>
      </c>
      <c r="P4" s="3" t="s">
        <v>13</v>
      </c>
      <c r="Q4" s="3" t="s">
        <v>278</v>
      </c>
      <c r="R4" s="3" t="s">
        <v>299</v>
      </c>
      <c r="S4" s="3" t="s">
        <v>300</v>
      </c>
      <c r="T4" s="3" t="s">
        <v>301</v>
      </c>
      <c r="U4" s="3" t="s">
        <v>32</v>
      </c>
      <c r="V4" s="3" t="s">
        <v>193</v>
      </c>
      <c r="W4" s="3" t="s">
        <v>302</v>
      </c>
      <c r="X4" s="3" t="s">
        <v>21</v>
      </c>
      <c r="Y4" s="3" t="s">
        <v>302</v>
      </c>
      <c r="AA4" t="s">
        <v>681</v>
      </c>
      <c r="AB4" s="5"/>
      <c r="AC4" t="s">
        <v>696</v>
      </c>
    </row>
    <row r="5" spans="1:29" x14ac:dyDescent="0.25">
      <c r="A5" s="1" t="s">
        <v>1</v>
      </c>
      <c r="B5" s="1" t="s">
        <v>27</v>
      </c>
      <c r="C5" s="1" t="s">
        <v>13</v>
      </c>
      <c r="D5" s="1" t="s">
        <v>278</v>
      </c>
      <c r="E5" s="1" t="s">
        <v>303</v>
      </c>
      <c r="F5" s="1" t="s">
        <v>304</v>
      </c>
      <c r="G5" s="1" t="str">
        <f>"0000000308632"</f>
        <v>0000000308632</v>
      </c>
      <c r="H5" s="1" t="s">
        <v>32</v>
      </c>
      <c r="I5" s="1" t="s">
        <v>193</v>
      </c>
      <c r="J5" s="1" t="s">
        <v>305</v>
      </c>
      <c r="K5" s="1" t="s">
        <v>21</v>
      </c>
      <c r="L5" s="1" t="s">
        <v>305</v>
      </c>
      <c r="N5" s="3" t="s">
        <v>1</v>
      </c>
      <c r="O5" s="3" t="s">
        <v>27</v>
      </c>
      <c r="P5" s="3" t="s">
        <v>13</v>
      </c>
      <c r="Q5" s="3" t="s">
        <v>278</v>
      </c>
      <c r="R5" s="3" t="s">
        <v>303</v>
      </c>
      <c r="S5" s="3" t="s">
        <v>304</v>
      </c>
      <c r="T5" s="3" t="str">
        <f>"0000000308632"</f>
        <v>0000000308632</v>
      </c>
      <c r="U5" s="3" t="s">
        <v>32</v>
      </c>
      <c r="V5" s="3" t="s">
        <v>193</v>
      </c>
      <c r="W5" s="3" t="s">
        <v>305</v>
      </c>
      <c r="X5" s="3" t="s">
        <v>21</v>
      </c>
      <c r="Y5" s="3" t="s">
        <v>305</v>
      </c>
      <c r="AA5" t="s">
        <v>682</v>
      </c>
      <c r="AC5" t="s">
        <v>697</v>
      </c>
    </row>
    <row r="6" spans="1:29" x14ac:dyDescent="0.25">
      <c r="A6" s="1" t="s">
        <v>1</v>
      </c>
      <c r="B6" s="1" t="s">
        <v>27</v>
      </c>
      <c r="C6" s="1" t="s">
        <v>13</v>
      </c>
      <c r="D6" s="1" t="s">
        <v>278</v>
      </c>
      <c r="E6" s="1" t="s">
        <v>306</v>
      </c>
      <c r="F6" s="1" t="s">
        <v>307</v>
      </c>
      <c r="G6" s="1" t="str">
        <f>"0000000308854"</f>
        <v>0000000308854</v>
      </c>
      <c r="H6" s="1" t="s">
        <v>32</v>
      </c>
      <c r="I6" s="1" t="s">
        <v>193</v>
      </c>
      <c r="J6" s="1" t="s">
        <v>308</v>
      </c>
      <c r="K6" s="1" t="s">
        <v>21</v>
      </c>
      <c r="L6" s="1" t="s">
        <v>308</v>
      </c>
      <c r="N6" s="3" t="s">
        <v>1</v>
      </c>
      <c r="O6" s="3" t="s">
        <v>27</v>
      </c>
      <c r="P6" s="3" t="s">
        <v>13</v>
      </c>
      <c r="Q6" s="3" t="s">
        <v>278</v>
      </c>
      <c r="R6" s="3" t="s">
        <v>306</v>
      </c>
      <c r="S6" s="3" t="s">
        <v>307</v>
      </c>
      <c r="T6" s="3" t="str">
        <f>"0000000308854"</f>
        <v>0000000308854</v>
      </c>
      <c r="U6" s="3" t="s">
        <v>32</v>
      </c>
      <c r="V6" s="3" t="s">
        <v>193</v>
      </c>
      <c r="W6" s="3" t="s">
        <v>308</v>
      </c>
      <c r="X6" s="3" t="s">
        <v>21</v>
      </c>
      <c r="Y6" s="3" t="s">
        <v>308</v>
      </c>
      <c r="AA6" t="s">
        <v>683</v>
      </c>
      <c r="AB6" s="5"/>
      <c r="AC6" t="s">
        <v>698</v>
      </c>
    </row>
    <row r="7" spans="1:29" x14ac:dyDescent="0.25">
      <c r="A7" s="1" t="s">
        <v>1</v>
      </c>
      <c r="B7" s="1" t="s">
        <v>27</v>
      </c>
      <c r="C7" s="1" t="s">
        <v>13</v>
      </c>
      <c r="D7" s="1" t="s">
        <v>278</v>
      </c>
      <c r="E7" s="1" t="s">
        <v>309</v>
      </c>
      <c r="F7" s="1" t="s">
        <v>310</v>
      </c>
      <c r="G7" s="1" t="str">
        <f>"0000000308625"</f>
        <v>0000000308625</v>
      </c>
      <c r="H7" s="1" t="s">
        <v>32</v>
      </c>
      <c r="I7" s="1" t="s">
        <v>193</v>
      </c>
      <c r="J7" s="1" t="s">
        <v>311</v>
      </c>
      <c r="K7" s="1" t="s">
        <v>21</v>
      </c>
      <c r="L7" s="1" t="s">
        <v>311</v>
      </c>
      <c r="N7" s="3" t="s">
        <v>1</v>
      </c>
      <c r="O7" s="3" t="s">
        <v>27</v>
      </c>
      <c r="P7" s="3" t="s">
        <v>13</v>
      </c>
      <c r="Q7" s="3" t="s">
        <v>278</v>
      </c>
      <c r="R7" s="3" t="s">
        <v>309</v>
      </c>
      <c r="S7" s="3" t="s">
        <v>310</v>
      </c>
      <c r="T7" s="3" t="str">
        <f>"0000000308625"</f>
        <v>0000000308625</v>
      </c>
      <c r="U7" s="3" t="s">
        <v>32</v>
      </c>
      <c r="V7" s="3" t="s">
        <v>193</v>
      </c>
      <c r="W7" s="3" t="s">
        <v>311</v>
      </c>
      <c r="X7" s="3" t="s">
        <v>21</v>
      </c>
      <c r="Y7" s="3" t="s">
        <v>311</v>
      </c>
      <c r="AA7" t="s">
        <v>684</v>
      </c>
      <c r="AC7" t="s">
        <v>699</v>
      </c>
    </row>
    <row r="8" spans="1:29" x14ac:dyDescent="0.25">
      <c r="B8" s="1" t="s">
        <v>82</v>
      </c>
      <c r="C8" s="1" t="s">
        <v>312</v>
      </c>
      <c r="D8" s="1" t="s">
        <v>292</v>
      </c>
      <c r="E8" s="1" t="s">
        <v>313</v>
      </c>
      <c r="F8" s="1" t="s">
        <v>314</v>
      </c>
      <c r="G8" s="1" t="s">
        <v>315</v>
      </c>
      <c r="H8" s="1" t="s">
        <v>18</v>
      </c>
      <c r="I8" s="1" t="s">
        <v>292</v>
      </c>
      <c r="J8" s="1" t="s">
        <v>316</v>
      </c>
      <c r="K8" s="1" t="s">
        <v>21</v>
      </c>
      <c r="L8" s="1" t="s">
        <v>316</v>
      </c>
      <c r="O8" s="3" t="s">
        <v>82</v>
      </c>
      <c r="P8" s="3" t="s">
        <v>312</v>
      </c>
      <c r="Q8" s="3" t="s">
        <v>292</v>
      </c>
      <c r="R8" s="3" t="s">
        <v>313</v>
      </c>
      <c r="S8" s="3" t="s">
        <v>314</v>
      </c>
      <c r="T8" s="3" t="s">
        <v>315</v>
      </c>
      <c r="U8" s="3" t="s">
        <v>18</v>
      </c>
      <c r="V8" s="3" t="s">
        <v>292</v>
      </c>
      <c r="W8" s="3" t="s">
        <v>316</v>
      </c>
      <c r="X8" s="3" t="s">
        <v>21</v>
      </c>
      <c r="Y8" s="3" t="s">
        <v>316</v>
      </c>
      <c r="AA8" t="s">
        <v>685</v>
      </c>
      <c r="AB8" s="5"/>
      <c r="AC8" t="s">
        <v>700</v>
      </c>
    </row>
    <row r="9" spans="1:29" x14ac:dyDescent="0.25">
      <c r="B9" s="1" t="s">
        <v>27</v>
      </c>
      <c r="C9" s="1" t="s">
        <v>13</v>
      </c>
      <c r="D9" s="1" t="s">
        <v>28</v>
      </c>
      <c r="E9" s="1" t="s">
        <v>317</v>
      </c>
      <c r="F9" s="1" t="s">
        <v>318</v>
      </c>
      <c r="G9" s="1" t="str">
        <f>"0000000124256"</f>
        <v>0000000124256</v>
      </c>
      <c r="H9" s="1" t="s">
        <v>32</v>
      </c>
      <c r="I9" s="1" t="s">
        <v>193</v>
      </c>
      <c r="J9" s="1" t="s">
        <v>231</v>
      </c>
      <c r="K9" s="1" t="s">
        <v>21</v>
      </c>
      <c r="L9" s="1" t="s">
        <v>231</v>
      </c>
      <c r="O9" s="3" t="s">
        <v>27</v>
      </c>
      <c r="P9" s="3" t="s">
        <v>13</v>
      </c>
      <c r="Q9" s="3" t="s">
        <v>28</v>
      </c>
      <c r="R9" s="3" t="s">
        <v>317</v>
      </c>
      <c r="S9" s="3" t="s">
        <v>318</v>
      </c>
      <c r="T9" s="3" t="str">
        <f>"0000000124256"</f>
        <v>0000000124256</v>
      </c>
      <c r="U9" s="3" t="s">
        <v>32</v>
      </c>
      <c r="V9" s="3" t="s">
        <v>193</v>
      </c>
      <c r="W9" s="3" t="s">
        <v>22</v>
      </c>
      <c r="X9" s="3" t="s">
        <v>21</v>
      </c>
      <c r="Y9" s="3" t="s">
        <v>22</v>
      </c>
      <c r="AA9" t="s">
        <v>686</v>
      </c>
      <c r="AC9" t="s">
        <v>701</v>
      </c>
    </row>
    <row r="10" spans="1:29" x14ac:dyDescent="0.25">
      <c r="B10" s="1" t="s">
        <v>38</v>
      </c>
      <c r="C10" s="1" t="s">
        <v>13</v>
      </c>
      <c r="D10" s="1" t="s">
        <v>28</v>
      </c>
      <c r="E10" s="1" t="s">
        <v>319</v>
      </c>
      <c r="F10" s="1" t="s">
        <v>320</v>
      </c>
      <c r="G10" s="1" t="str">
        <f>"0000000219488"</f>
        <v>0000000219488</v>
      </c>
      <c r="H10" s="1" t="s">
        <v>32</v>
      </c>
      <c r="I10" s="1" t="s">
        <v>193</v>
      </c>
      <c r="J10" s="1" t="s">
        <v>321</v>
      </c>
      <c r="K10" s="1" t="s">
        <v>21</v>
      </c>
      <c r="L10" s="1" t="s">
        <v>321</v>
      </c>
      <c r="O10" s="3" t="s">
        <v>38</v>
      </c>
      <c r="P10" s="3" t="s">
        <v>13</v>
      </c>
      <c r="Q10" s="3" t="s">
        <v>28</v>
      </c>
      <c r="R10" s="3" t="s">
        <v>319</v>
      </c>
      <c r="S10" s="3" t="s">
        <v>320</v>
      </c>
      <c r="T10" s="3" t="str">
        <f>"0000000219488"</f>
        <v>0000000219488</v>
      </c>
      <c r="U10" s="3" t="s">
        <v>32</v>
      </c>
      <c r="V10" s="3" t="s">
        <v>193</v>
      </c>
      <c r="W10" s="3" t="s">
        <v>321</v>
      </c>
      <c r="X10" s="3" t="s">
        <v>21</v>
      </c>
      <c r="Y10" s="3" t="s">
        <v>321</v>
      </c>
      <c r="AA10" t="s">
        <v>687</v>
      </c>
      <c r="AB10" s="5"/>
      <c r="AC10" t="s">
        <v>702</v>
      </c>
    </row>
    <row r="11" spans="1:29" x14ac:dyDescent="0.25">
      <c r="B11" s="1" t="s">
        <v>22</v>
      </c>
      <c r="C11" s="1" t="s">
        <v>13</v>
      </c>
      <c r="D11" s="1" t="s">
        <v>39</v>
      </c>
      <c r="E11" s="1" t="s">
        <v>322</v>
      </c>
      <c r="F11" s="1" t="s">
        <v>323</v>
      </c>
      <c r="G11" s="1" t="s">
        <v>324</v>
      </c>
      <c r="H11" s="1" t="s">
        <v>18</v>
      </c>
      <c r="I11" s="1" t="s">
        <v>19</v>
      </c>
      <c r="J11" s="1" t="s">
        <v>284</v>
      </c>
      <c r="K11" s="1" t="s">
        <v>21</v>
      </c>
      <c r="L11" s="1" t="s">
        <v>284</v>
      </c>
      <c r="O11" s="3" t="s">
        <v>22</v>
      </c>
      <c r="P11" s="3" t="s">
        <v>13</v>
      </c>
      <c r="Q11" s="3" t="s">
        <v>39</v>
      </c>
      <c r="R11" s="3" t="s">
        <v>322</v>
      </c>
      <c r="S11" s="3" t="s">
        <v>323</v>
      </c>
      <c r="T11" s="3" t="s">
        <v>324</v>
      </c>
      <c r="U11" s="3" t="s">
        <v>18</v>
      </c>
      <c r="V11" s="3" t="s">
        <v>19</v>
      </c>
      <c r="W11" s="3" t="s">
        <v>284</v>
      </c>
      <c r="X11" s="3" t="s">
        <v>21</v>
      </c>
      <c r="Y11" s="3" t="s">
        <v>284</v>
      </c>
      <c r="AA11" t="s">
        <v>688</v>
      </c>
      <c r="AC11" t="s">
        <v>703</v>
      </c>
    </row>
    <row r="12" spans="1:29" x14ac:dyDescent="0.25">
      <c r="B12" s="1" t="s">
        <v>110</v>
      </c>
      <c r="C12" s="1" t="s">
        <v>13</v>
      </c>
      <c r="D12" s="1" t="s">
        <v>39</v>
      </c>
      <c r="E12" s="1" t="s">
        <v>325</v>
      </c>
      <c r="F12" s="1" t="s">
        <v>326</v>
      </c>
      <c r="G12" s="1" t="s">
        <v>327</v>
      </c>
      <c r="H12" s="1" t="s">
        <v>18</v>
      </c>
      <c r="I12" s="1" t="s">
        <v>19</v>
      </c>
      <c r="J12" s="1" t="s">
        <v>56</v>
      </c>
      <c r="K12" s="1" t="s">
        <v>21</v>
      </c>
      <c r="L12" s="1" t="s">
        <v>56</v>
      </c>
      <c r="O12" s="3" t="s">
        <v>110</v>
      </c>
      <c r="P12" s="3" t="s">
        <v>13</v>
      </c>
      <c r="Q12" s="3" t="s">
        <v>39</v>
      </c>
      <c r="R12" s="3" t="s">
        <v>325</v>
      </c>
      <c r="S12" s="3" t="s">
        <v>326</v>
      </c>
      <c r="T12" s="3" t="s">
        <v>327</v>
      </c>
      <c r="U12" s="3" t="s">
        <v>18</v>
      </c>
      <c r="V12" s="3" t="s">
        <v>19</v>
      </c>
      <c r="W12" s="3" t="s">
        <v>56</v>
      </c>
      <c r="X12" s="3" t="s">
        <v>21</v>
      </c>
      <c r="Y12" s="3" t="s">
        <v>56</v>
      </c>
      <c r="AA12" t="s">
        <v>689</v>
      </c>
      <c r="AB12" s="5"/>
      <c r="AC12" t="s">
        <v>704</v>
      </c>
    </row>
    <row r="13" spans="1:29" x14ac:dyDescent="0.25">
      <c r="B13" s="1" t="s">
        <v>22</v>
      </c>
      <c r="C13" s="1" t="s">
        <v>13</v>
      </c>
      <c r="D13" s="1" t="s">
        <v>39</v>
      </c>
      <c r="E13" s="1" t="s">
        <v>49</v>
      </c>
      <c r="F13" s="1" t="s">
        <v>50</v>
      </c>
      <c r="G13" s="1" t="s">
        <v>51</v>
      </c>
      <c r="H13" s="1" t="s">
        <v>18</v>
      </c>
      <c r="I13" s="1" t="s">
        <v>19</v>
      </c>
      <c r="J13" s="1" t="s">
        <v>328</v>
      </c>
      <c r="K13" s="1" t="s">
        <v>21</v>
      </c>
      <c r="L13" s="1" t="s">
        <v>328</v>
      </c>
      <c r="O13" s="3" t="s">
        <v>22</v>
      </c>
      <c r="P13" s="3" t="s">
        <v>13</v>
      </c>
      <c r="Q13" s="3" t="s">
        <v>39</v>
      </c>
      <c r="R13" s="3" t="s">
        <v>49</v>
      </c>
      <c r="S13" s="3" t="s">
        <v>50</v>
      </c>
      <c r="T13" s="3" t="s">
        <v>51</v>
      </c>
      <c r="U13" s="3" t="s">
        <v>18</v>
      </c>
      <c r="V13" s="3" t="s">
        <v>19</v>
      </c>
      <c r="W13" s="3" t="s">
        <v>328</v>
      </c>
      <c r="X13" s="3" t="s">
        <v>21</v>
      </c>
      <c r="Y13" s="3" t="s">
        <v>328</v>
      </c>
      <c r="AA13" t="s">
        <v>690</v>
      </c>
      <c r="AC13" t="s">
        <v>705</v>
      </c>
    </row>
    <row r="14" spans="1:29" x14ac:dyDescent="0.25">
      <c r="B14" s="1" t="s">
        <v>48</v>
      </c>
      <c r="C14" s="1" t="s">
        <v>13</v>
      </c>
      <c r="D14" s="1" t="s">
        <v>39</v>
      </c>
      <c r="E14" s="1" t="s">
        <v>329</v>
      </c>
      <c r="F14" s="1" t="s">
        <v>330</v>
      </c>
      <c r="G14" s="1" t="s">
        <v>331</v>
      </c>
      <c r="H14" s="1" t="s">
        <v>18</v>
      </c>
      <c r="I14" s="1" t="s">
        <v>19</v>
      </c>
      <c r="J14" s="1" t="s">
        <v>263</v>
      </c>
      <c r="K14" s="1" t="s">
        <v>21</v>
      </c>
      <c r="L14" s="1" t="s">
        <v>263</v>
      </c>
      <c r="O14" s="3" t="s">
        <v>48</v>
      </c>
      <c r="P14" s="3" t="s">
        <v>13</v>
      </c>
      <c r="Q14" s="3" t="s">
        <v>39</v>
      </c>
      <c r="R14" s="3" t="s">
        <v>329</v>
      </c>
      <c r="S14" s="3" t="s">
        <v>330</v>
      </c>
      <c r="T14" s="3" t="s">
        <v>331</v>
      </c>
      <c r="U14" s="3" t="s">
        <v>18</v>
      </c>
      <c r="V14" s="3" t="s">
        <v>19</v>
      </c>
      <c r="W14" s="3" t="s">
        <v>263</v>
      </c>
      <c r="X14" s="3" t="s">
        <v>21</v>
      </c>
      <c r="Y14" s="3" t="s">
        <v>263</v>
      </c>
      <c r="AA14" t="s">
        <v>691</v>
      </c>
      <c r="AB14" s="5"/>
      <c r="AC14" t="s">
        <v>706</v>
      </c>
    </row>
    <row r="15" spans="1:29" x14ac:dyDescent="0.25">
      <c r="B15" s="1" t="s">
        <v>22</v>
      </c>
      <c r="C15" s="1" t="s">
        <v>13</v>
      </c>
      <c r="D15" s="1" t="s">
        <v>39</v>
      </c>
      <c r="E15" s="1" t="s">
        <v>53</v>
      </c>
      <c r="F15" s="1" t="s">
        <v>54</v>
      </c>
      <c r="G15" s="1" t="s">
        <v>55</v>
      </c>
      <c r="H15" s="1" t="s">
        <v>18</v>
      </c>
      <c r="I15" s="1" t="s">
        <v>19</v>
      </c>
      <c r="J15" s="1" t="s">
        <v>56</v>
      </c>
      <c r="K15" s="1" t="s">
        <v>21</v>
      </c>
      <c r="L15" s="1" t="s">
        <v>56</v>
      </c>
      <c r="O15" s="3" t="s">
        <v>22</v>
      </c>
      <c r="P15" s="3" t="s">
        <v>13</v>
      </c>
      <c r="Q15" s="3" t="s">
        <v>39</v>
      </c>
      <c r="R15" s="3" t="s">
        <v>53</v>
      </c>
      <c r="S15" s="3" t="s">
        <v>54</v>
      </c>
      <c r="T15" s="3" t="s">
        <v>55</v>
      </c>
      <c r="U15" s="3" t="s">
        <v>18</v>
      </c>
      <c r="V15" s="3" t="s">
        <v>19</v>
      </c>
      <c r="W15" s="3" t="s">
        <v>56</v>
      </c>
      <c r="X15" s="3" t="s">
        <v>21</v>
      </c>
      <c r="Y15" s="3" t="s">
        <v>56</v>
      </c>
      <c r="AA15" t="s">
        <v>692</v>
      </c>
      <c r="AC15" t="s">
        <v>707</v>
      </c>
    </row>
    <row r="16" spans="1:29" x14ac:dyDescent="0.25">
      <c r="B16" s="1" t="s">
        <v>22</v>
      </c>
      <c r="C16" s="1" t="s">
        <v>13</v>
      </c>
      <c r="D16" s="1" t="s">
        <v>39</v>
      </c>
      <c r="E16" s="1" t="s">
        <v>332</v>
      </c>
      <c r="F16" s="1" t="s">
        <v>333</v>
      </c>
      <c r="G16" s="1" t="s">
        <v>334</v>
      </c>
      <c r="H16" s="1" t="s">
        <v>18</v>
      </c>
      <c r="I16" s="1" t="s">
        <v>19</v>
      </c>
      <c r="J16" s="1" t="s">
        <v>263</v>
      </c>
      <c r="K16" s="1" t="s">
        <v>21</v>
      </c>
      <c r="L16" s="1" t="s">
        <v>263</v>
      </c>
      <c r="O16" s="3" t="s">
        <v>22</v>
      </c>
      <c r="P16" s="3" t="s">
        <v>13</v>
      </c>
      <c r="Q16" s="3" t="s">
        <v>39</v>
      </c>
      <c r="R16" s="3" t="s">
        <v>332</v>
      </c>
      <c r="S16" s="3" t="s">
        <v>333</v>
      </c>
      <c r="T16" s="3" t="s">
        <v>334</v>
      </c>
      <c r="U16" s="3" t="s">
        <v>18</v>
      </c>
      <c r="V16" s="3" t="s">
        <v>19</v>
      </c>
      <c r="W16" s="3" t="s">
        <v>263</v>
      </c>
      <c r="X16" s="3" t="s">
        <v>21</v>
      </c>
      <c r="Y16" s="3" t="s">
        <v>263</v>
      </c>
      <c r="AA16" t="s">
        <v>693</v>
      </c>
      <c r="AB16" s="5"/>
      <c r="AC16" t="s">
        <v>708</v>
      </c>
    </row>
    <row r="17" spans="2:29" x14ac:dyDescent="0.25">
      <c r="B17" s="1" t="s">
        <v>38</v>
      </c>
      <c r="C17" s="1" t="s">
        <v>13</v>
      </c>
      <c r="D17" s="1" t="s">
        <v>39</v>
      </c>
      <c r="E17" s="1" t="s">
        <v>335</v>
      </c>
      <c r="F17" s="1" t="s">
        <v>336</v>
      </c>
      <c r="G17" s="1" t="s">
        <v>337</v>
      </c>
      <c r="H17" s="1" t="s">
        <v>18</v>
      </c>
      <c r="I17" s="1" t="s">
        <v>19</v>
      </c>
      <c r="J17" s="1" t="s">
        <v>56</v>
      </c>
      <c r="K17" s="1" t="s">
        <v>21</v>
      </c>
      <c r="L17" s="1" t="s">
        <v>56</v>
      </c>
      <c r="O17" s="3" t="s">
        <v>38</v>
      </c>
      <c r="P17" s="3" t="s">
        <v>13</v>
      </c>
      <c r="Q17" s="3" t="s">
        <v>39</v>
      </c>
      <c r="R17" s="3" t="s">
        <v>335</v>
      </c>
      <c r="S17" s="3" t="s">
        <v>336</v>
      </c>
      <c r="T17" s="3" t="s">
        <v>337</v>
      </c>
      <c r="U17" s="3" t="s">
        <v>18</v>
      </c>
      <c r="V17" s="3" t="s">
        <v>19</v>
      </c>
      <c r="W17" s="3" t="s">
        <v>56</v>
      </c>
      <c r="X17" s="3" t="s">
        <v>21</v>
      </c>
      <c r="Y17" s="3" t="s">
        <v>56</v>
      </c>
      <c r="AA17" t="s">
        <v>694</v>
      </c>
      <c r="AC17" t="s">
        <v>709</v>
      </c>
    </row>
    <row r="18" spans="2:29" x14ac:dyDescent="0.25">
      <c r="B18" s="1" t="s">
        <v>338</v>
      </c>
      <c r="C18" s="1" t="s">
        <v>13</v>
      </c>
      <c r="D18" s="1" t="s">
        <v>39</v>
      </c>
      <c r="E18" s="1" t="s">
        <v>339</v>
      </c>
      <c r="F18" s="1" t="s">
        <v>340</v>
      </c>
      <c r="G18" s="1" t="s">
        <v>341</v>
      </c>
      <c r="H18" s="1" t="s">
        <v>18</v>
      </c>
      <c r="I18" s="1" t="s">
        <v>19</v>
      </c>
      <c r="J18" s="1" t="s">
        <v>342</v>
      </c>
      <c r="K18" s="1" t="s">
        <v>21</v>
      </c>
      <c r="L18" s="1" t="s">
        <v>342</v>
      </c>
      <c r="O18" s="3" t="s">
        <v>338</v>
      </c>
      <c r="P18" s="3" t="s">
        <v>13</v>
      </c>
      <c r="Q18" s="3" t="s">
        <v>39</v>
      </c>
      <c r="R18" s="3" t="s">
        <v>339</v>
      </c>
      <c r="S18" s="3" t="s">
        <v>340</v>
      </c>
      <c r="T18" s="3" t="s">
        <v>341</v>
      </c>
      <c r="U18" s="3" t="s">
        <v>18</v>
      </c>
      <c r="V18" s="3" t="s">
        <v>19</v>
      </c>
      <c r="W18" s="3" t="s">
        <v>342</v>
      </c>
      <c r="X18" s="3" t="s">
        <v>21</v>
      </c>
      <c r="Y18" s="3" t="s">
        <v>342</v>
      </c>
      <c r="AA18" t="s">
        <v>695</v>
      </c>
      <c r="AB18" s="5"/>
      <c r="AC18" t="s">
        <v>710</v>
      </c>
    </row>
    <row r="19" spans="2:29" x14ac:dyDescent="0.25">
      <c r="B19" s="1" t="s">
        <v>38</v>
      </c>
      <c r="C19" s="1" t="s">
        <v>13</v>
      </c>
      <c r="D19" s="1" t="s">
        <v>39</v>
      </c>
      <c r="E19" s="1" t="s">
        <v>343</v>
      </c>
      <c r="F19" s="1" t="s">
        <v>344</v>
      </c>
      <c r="G19" s="1" t="s">
        <v>345</v>
      </c>
      <c r="H19" s="1" t="s">
        <v>18</v>
      </c>
      <c r="I19" s="1" t="s">
        <v>19</v>
      </c>
      <c r="J19" s="1" t="s">
        <v>77</v>
      </c>
      <c r="K19" s="1" t="s">
        <v>21</v>
      </c>
      <c r="L19" s="1" t="s">
        <v>77</v>
      </c>
      <c r="O19" s="3" t="s">
        <v>38</v>
      </c>
      <c r="P19" s="3" t="s">
        <v>13</v>
      </c>
      <c r="Q19" s="3" t="s">
        <v>39</v>
      </c>
      <c r="R19" s="3" t="s">
        <v>343</v>
      </c>
      <c r="S19" s="3" t="s">
        <v>344</v>
      </c>
      <c r="T19" s="3" t="s">
        <v>345</v>
      </c>
      <c r="U19" s="3" t="s">
        <v>18</v>
      </c>
      <c r="V19" s="3" t="s">
        <v>19</v>
      </c>
      <c r="W19" s="3" t="s">
        <v>77</v>
      </c>
      <c r="X19" s="3" t="s">
        <v>21</v>
      </c>
      <c r="Y19" s="3" t="s">
        <v>77</v>
      </c>
      <c r="AA19" t="s">
        <v>696</v>
      </c>
    </row>
    <row r="20" spans="2:29" x14ac:dyDescent="0.25">
      <c r="B20" s="1" t="s">
        <v>346</v>
      </c>
      <c r="C20" s="1" t="s">
        <v>13</v>
      </c>
      <c r="D20" s="1" t="s">
        <v>39</v>
      </c>
      <c r="E20" s="1" t="s">
        <v>347</v>
      </c>
      <c r="F20" s="1" t="s">
        <v>348</v>
      </c>
      <c r="G20" s="1" t="s">
        <v>349</v>
      </c>
      <c r="H20" s="1" t="s">
        <v>18</v>
      </c>
      <c r="I20" s="1" t="s">
        <v>19</v>
      </c>
      <c r="J20" s="1" t="s">
        <v>350</v>
      </c>
      <c r="K20" s="1" t="s">
        <v>21</v>
      </c>
      <c r="L20" s="1" t="s">
        <v>350</v>
      </c>
      <c r="O20" s="3" t="s">
        <v>110</v>
      </c>
      <c r="P20" s="3" t="s">
        <v>13</v>
      </c>
      <c r="Q20" s="3" t="s">
        <v>39</v>
      </c>
      <c r="R20" s="3" t="s">
        <v>347</v>
      </c>
      <c r="S20" s="3" t="s">
        <v>348</v>
      </c>
      <c r="T20" s="3" t="s">
        <v>349</v>
      </c>
      <c r="U20" s="3" t="s">
        <v>18</v>
      </c>
      <c r="V20" s="3" t="s">
        <v>19</v>
      </c>
      <c r="W20" s="3" t="s">
        <v>623</v>
      </c>
      <c r="X20" s="3" t="s">
        <v>21</v>
      </c>
      <c r="Y20" s="3" t="s">
        <v>623</v>
      </c>
      <c r="AA20" t="s">
        <v>697</v>
      </c>
      <c r="AB20" s="5"/>
    </row>
    <row r="21" spans="2:29" x14ac:dyDescent="0.25">
      <c r="B21" s="1" t="s">
        <v>151</v>
      </c>
      <c r="C21" s="1" t="s">
        <v>13</v>
      </c>
      <c r="D21" s="1" t="s">
        <v>39</v>
      </c>
      <c r="E21" s="1" t="s">
        <v>61</v>
      </c>
      <c r="F21" s="1" t="s">
        <v>62</v>
      </c>
      <c r="G21" s="1" t="s">
        <v>63</v>
      </c>
      <c r="H21" s="1" t="s">
        <v>18</v>
      </c>
      <c r="I21" s="1" t="s">
        <v>19</v>
      </c>
      <c r="J21" s="1" t="s">
        <v>351</v>
      </c>
      <c r="K21" s="1" t="s">
        <v>21</v>
      </c>
      <c r="L21" s="1" t="s">
        <v>351</v>
      </c>
      <c r="O21" s="3" t="s">
        <v>151</v>
      </c>
      <c r="P21" s="3" t="s">
        <v>13</v>
      </c>
      <c r="Q21" s="3" t="s">
        <v>39</v>
      </c>
      <c r="R21" s="3" t="s">
        <v>61</v>
      </c>
      <c r="S21" s="3" t="s">
        <v>62</v>
      </c>
      <c r="T21" s="3" t="s">
        <v>63</v>
      </c>
      <c r="U21" s="3" t="s">
        <v>18</v>
      </c>
      <c r="V21" s="3" t="s">
        <v>19</v>
      </c>
      <c r="W21" s="3" t="s">
        <v>351</v>
      </c>
      <c r="X21" s="3" t="s">
        <v>21</v>
      </c>
      <c r="Y21" s="3" t="s">
        <v>351</v>
      </c>
      <c r="AA21" t="s">
        <v>698</v>
      </c>
    </row>
    <row r="22" spans="2:29" x14ac:dyDescent="0.25">
      <c r="B22" s="1" t="s">
        <v>48</v>
      </c>
      <c r="C22" s="1" t="s">
        <v>13</v>
      </c>
      <c r="D22" s="1" t="s">
        <v>39</v>
      </c>
      <c r="E22" s="1" t="s">
        <v>352</v>
      </c>
      <c r="F22" s="1" t="s">
        <v>353</v>
      </c>
      <c r="G22" s="1" t="s">
        <v>354</v>
      </c>
      <c r="H22" s="1" t="s">
        <v>18</v>
      </c>
      <c r="I22" s="1" t="s">
        <v>19</v>
      </c>
      <c r="J22" s="1" t="s">
        <v>231</v>
      </c>
      <c r="K22" s="1" t="s">
        <v>21</v>
      </c>
      <c r="L22" s="1" t="s">
        <v>231</v>
      </c>
      <c r="O22" s="3" t="s">
        <v>48</v>
      </c>
      <c r="P22" s="3" t="s">
        <v>13</v>
      </c>
      <c r="Q22" s="3" t="s">
        <v>39</v>
      </c>
      <c r="R22" s="3" t="s">
        <v>352</v>
      </c>
      <c r="S22" s="3" t="s">
        <v>353</v>
      </c>
      <c r="T22" s="3" t="s">
        <v>354</v>
      </c>
      <c r="U22" s="3" t="s">
        <v>18</v>
      </c>
      <c r="V22" s="3" t="s">
        <v>19</v>
      </c>
      <c r="W22" s="3" t="s">
        <v>231</v>
      </c>
      <c r="X22" s="3" t="s">
        <v>21</v>
      </c>
      <c r="Y22" s="3" t="s">
        <v>231</v>
      </c>
      <c r="AA22" t="s">
        <v>699</v>
      </c>
      <c r="AB22" s="5"/>
    </row>
    <row r="23" spans="2:29" x14ac:dyDescent="0.25">
      <c r="B23" s="1" t="s">
        <v>22</v>
      </c>
      <c r="C23" s="1" t="s">
        <v>13</v>
      </c>
      <c r="D23" s="1" t="s">
        <v>39</v>
      </c>
      <c r="E23" s="1" t="s">
        <v>355</v>
      </c>
      <c r="F23" s="1" t="s">
        <v>356</v>
      </c>
      <c r="G23" s="1" t="s">
        <v>357</v>
      </c>
      <c r="H23" s="1" t="s">
        <v>18</v>
      </c>
      <c r="I23" s="1" t="s">
        <v>19</v>
      </c>
      <c r="J23" s="1" t="s">
        <v>358</v>
      </c>
      <c r="K23" s="1" t="s">
        <v>21</v>
      </c>
      <c r="L23" s="1" t="s">
        <v>358</v>
      </c>
      <c r="O23" s="3" t="s">
        <v>22</v>
      </c>
      <c r="P23" s="3" t="s">
        <v>13</v>
      </c>
      <c r="Q23" s="3" t="s">
        <v>39</v>
      </c>
      <c r="R23" s="3" t="s">
        <v>355</v>
      </c>
      <c r="S23" s="3" t="s">
        <v>356</v>
      </c>
      <c r="T23" s="3" t="s">
        <v>357</v>
      </c>
      <c r="U23" s="3" t="s">
        <v>18</v>
      </c>
      <c r="V23" s="3" t="s">
        <v>19</v>
      </c>
      <c r="W23" s="3" t="s">
        <v>358</v>
      </c>
      <c r="X23" s="3" t="s">
        <v>21</v>
      </c>
      <c r="Y23" s="3" t="s">
        <v>358</v>
      </c>
      <c r="AA23" t="s">
        <v>700</v>
      </c>
    </row>
    <row r="24" spans="2:29" x14ac:dyDescent="0.25">
      <c r="B24" s="1" t="s">
        <v>38</v>
      </c>
      <c r="C24" s="1" t="s">
        <v>13</v>
      </c>
      <c r="D24" s="1" t="s">
        <v>66</v>
      </c>
      <c r="E24" s="1" t="s">
        <v>74</v>
      </c>
      <c r="F24" s="1" t="s">
        <v>75</v>
      </c>
      <c r="G24" s="1" t="s">
        <v>76</v>
      </c>
      <c r="H24" s="1" t="s">
        <v>18</v>
      </c>
      <c r="I24" s="1" t="s">
        <v>19</v>
      </c>
      <c r="J24" s="1" t="s">
        <v>43</v>
      </c>
      <c r="K24" s="1" t="s">
        <v>21</v>
      </c>
      <c r="L24" s="1" t="s">
        <v>43</v>
      </c>
      <c r="O24" s="3" t="s">
        <v>38</v>
      </c>
      <c r="P24" s="3" t="s">
        <v>13</v>
      </c>
      <c r="Q24" s="3" t="s">
        <v>66</v>
      </c>
      <c r="R24" s="3" t="s">
        <v>74</v>
      </c>
      <c r="S24" s="3" t="s">
        <v>75</v>
      </c>
      <c r="T24" s="3" t="s">
        <v>76</v>
      </c>
      <c r="U24" s="3" t="s">
        <v>18</v>
      </c>
      <c r="V24" s="3" t="s">
        <v>19</v>
      </c>
      <c r="W24" s="3" t="s">
        <v>43</v>
      </c>
      <c r="X24" s="3" t="s">
        <v>21</v>
      </c>
      <c r="Y24" s="3" t="s">
        <v>43</v>
      </c>
      <c r="AA24" t="s">
        <v>701</v>
      </c>
      <c r="AB24" s="5"/>
    </row>
    <row r="25" spans="2:29" x14ac:dyDescent="0.25">
      <c r="B25" s="1" t="s">
        <v>27</v>
      </c>
      <c r="C25" s="1" t="s">
        <v>13</v>
      </c>
      <c r="D25" s="1" t="s">
        <v>66</v>
      </c>
      <c r="E25" s="1" t="s">
        <v>359</v>
      </c>
      <c r="F25" s="1" t="s">
        <v>360</v>
      </c>
      <c r="G25" s="1" t="s">
        <v>361</v>
      </c>
      <c r="H25" s="1" t="s">
        <v>18</v>
      </c>
      <c r="I25" s="1" t="s">
        <v>19</v>
      </c>
      <c r="J25" s="1" t="s">
        <v>43</v>
      </c>
      <c r="K25" s="1" t="s">
        <v>21</v>
      </c>
      <c r="L25" s="1" t="s">
        <v>43</v>
      </c>
      <c r="O25" s="3" t="s">
        <v>27</v>
      </c>
      <c r="P25" s="3" t="s">
        <v>13</v>
      </c>
      <c r="Q25" s="3" t="s">
        <v>66</v>
      </c>
      <c r="R25" s="3" t="s">
        <v>359</v>
      </c>
      <c r="S25" s="3" t="s">
        <v>360</v>
      </c>
      <c r="T25" s="3" t="s">
        <v>361</v>
      </c>
      <c r="U25" s="3" t="s">
        <v>18</v>
      </c>
      <c r="V25" s="3" t="s">
        <v>19</v>
      </c>
      <c r="W25" s="3" t="s">
        <v>43</v>
      </c>
      <c r="X25" s="3" t="s">
        <v>21</v>
      </c>
      <c r="Y25" s="3" t="s">
        <v>43</v>
      </c>
      <c r="AA25" t="s">
        <v>702</v>
      </c>
    </row>
    <row r="26" spans="2:29" x14ac:dyDescent="0.25">
      <c r="B26" s="1" t="s">
        <v>22</v>
      </c>
      <c r="C26" s="1" t="s">
        <v>13</v>
      </c>
      <c r="D26" s="1" t="s">
        <v>66</v>
      </c>
      <c r="E26" s="1" t="s">
        <v>362</v>
      </c>
      <c r="F26" s="1" t="s">
        <v>363</v>
      </c>
      <c r="G26" s="1" t="s">
        <v>364</v>
      </c>
      <c r="H26" s="1" t="s">
        <v>18</v>
      </c>
      <c r="I26" s="1" t="s">
        <v>19</v>
      </c>
      <c r="J26" s="1" t="s">
        <v>97</v>
      </c>
      <c r="K26" s="1" t="s">
        <v>21</v>
      </c>
      <c r="L26" s="1" t="s">
        <v>97</v>
      </c>
      <c r="O26" s="3" t="s">
        <v>27</v>
      </c>
      <c r="P26" s="3" t="s">
        <v>13</v>
      </c>
      <c r="Q26" s="3" t="s">
        <v>66</v>
      </c>
      <c r="R26" s="3" t="s">
        <v>624</v>
      </c>
      <c r="S26" s="3" t="s">
        <v>625</v>
      </c>
      <c r="T26" s="3" t="s">
        <v>626</v>
      </c>
      <c r="U26" s="3" t="s">
        <v>18</v>
      </c>
      <c r="V26" s="3" t="s">
        <v>19</v>
      </c>
      <c r="W26" s="3" t="s">
        <v>627</v>
      </c>
      <c r="X26" s="3" t="s">
        <v>21</v>
      </c>
      <c r="Y26" s="3" t="s">
        <v>627</v>
      </c>
      <c r="AA26" t="s">
        <v>703</v>
      </c>
      <c r="AB26" s="5"/>
    </row>
    <row r="27" spans="2:29" x14ac:dyDescent="0.25">
      <c r="B27" s="1" t="s">
        <v>365</v>
      </c>
      <c r="C27" s="1" t="s">
        <v>13</v>
      </c>
      <c r="D27" s="1" t="s">
        <v>66</v>
      </c>
      <c r="E27" s="1" t="s">
        <v>366</v>
      </c>
      <c r="F27" s="1" t="s">
        <v>367</v>
      </c>
      <c r="G27" s="1" t="s">
        <v>368</v>
      </c>
      <c r="H27" s="1" t="s">
        <v>18</v>
      </c>
      <c r="I27" s="1" t="s">
        <v>19</v>
      </c>
      <c r="J27" s="1" t="s">
        <v>105</v>
      </c>
      <c r="K27" s="1" t="s">
        <v>21</v>
      </c>
      <c r="L27" s="1" t="s">
        <v>105</v>
      </c>
      <c r="O27" s="3" t="s">
        <v>22</v>
      </c>
      <c r="P27" s="3" t="s">
        <v>13</v>
      </c>
      <c r="Q27" s="3" t="s">
        <v>66</v>
      </c>
      <c r="R27" s="3" t="s">
        <v>362</v>
      </c>
      <c r="S27" s="3" t="s">
        <v>363</v>
      </c>
      <c r="T27" s="3" t="s">
        <v>364</v>
      </c>
      <c r="U27" s="3" t="s">
        <v>18</v>
      </c>
      <c r="V27" s="3" t="s">
        <v>19</v>
      </c>
      <c r="W27" s="3" t="s">
        <v>97</v>
      </c>
      <c r="X27" s="3" t="s">
        <v>21</v>
      </c>
      <c r="Y27" s="3" t="s">
        <v>97</v>
      </c>
      <c r="AA27" t="s">
        <v>704</v>
      </c>
    </row>
    <row r="28" spans="2:29" x14ac:dyDescent="0.25">
      <c r="B28" s="1" t="s">
        <v>369</v>
      </c>
      <c r="C28" s="1" t="s">
        <v>13</v>
      </c>
      <c r="D28" s="1" t="s">
        <v>66</v>
      </c>
      <c r="E28" s="1" t="s">
        <v>370</v>
      </c>
      <c r="F28" s="1" t="s">
        <v>371</v>
      </c>
      <c r="G28" s="1" t="s">
        <v>372</v>
      </c>
      <c r="H28" s="1" t="s">
        <v>18</v>
      </c>
      <c r="I28" s="1" t="s">
        <v>19</v>
      </c>
      <c r="J28" s="1" t="s">
        <v>373</v>
      </c>
      <c r="K28" s="1" t="s">
        <v>21</v>
      </c>
      <c r="L28" s="1" t="s">
        <v>373</v>
      </c>
      <c r="O28" s="3" t="s">
        <v>365</v>
      </c>
      <c r="P28" s="3" t="s">
        <v>13</v>
      </c>
      <c r="Q28" s="3" t="s">
        <v>66</v>
      </c>
      <c r="R28" s="3" t="s">
        <v>366</v>
      </c>
      <c r="S28" s="3" t="s">
        <v>367</v>
      </c>
      <c r="T28" s="3" t="s">
        <v>368</v>
      </c>
      <c r="U28" s="3" t="s">
        <v>18</v>
      </c>
      <c r="V28" s="3" t="s">
        <v>19</v>
      </c>
      <c r="W28" s="3" t="s">
        <v>105</v>
      </c>
      <c r="X28" s="3" t="s">
        <v>21</v>
      </c>
      <c r="Y28" s="3" t="s">
        <v>105</v>
      </c>
      <c r="AA28" t="s">
        <v>705</v>
      </c>
      <c r="AB28" s="5"/>
    </row>
    <row r="29" spans="2:29" x14ac:dyDescent="0.25">
      <c r="B29" s="1" t="s">
        <v>38</v>
      </c>
      <c r="C29" s="1" t="s">
        <v>13</v>
      </c>
      <c r="D29" s="1" t="s">
        <v>66</v>
      </c>
      <c r="E29" s="1" t="s">
        <v>374</v>
      </c>
      <c r="F29" s="1" t="s">
        <v>375</v>
      </c>
      <c r="G29" s="1" t="s">
        <v>376</v>
      </c>
      <c r="H29" s="1" t="s">
        <v>18</v>
      </c>
      <c r="I29" s="1" t="s">
        <v>19</v>
      </c>
      <c r="J29" s="1" t="s">
        <v>377</v>
      </c>
      <c r="K29" s="1" t="s">
        <v>21</v>
      </c>
      <c r="L29" s="1" t="s">
        <v>377</v>
      </c>
      <c r="O29" s="3" t="s">
        <v>369</v>
      </c>
      <c r="P29" s="3" t="s">
        <v>13</v>
      </c>
      <c r="Q29" s="3" t="s">
        <v>66</v>
      </c>
      <c r="R29" s="3" t="s">
        <v>370</v>
      </c>
      <c r="S29" s="3" t="s">
        <v>371</v>
      </c>
      <c r="T29" s="3" t="s">
        <v>372</v>
      </c>
      <c r="U29" s="3" t="s">
        <v>18</v>
      </c>
      <c r="V29" s="3" t="s">
        <v>19</v>
      </c>
      <c r="W29" s="3" t="s">
        <v>373</v>
      </c>
      <c r="X29" s="3" t="s">
        <v>21</v>
      </c>
      <c r="Y29" s="3" t="s">
        <v>373</v>
      </c>
      <c r="AA29" t="s">
        <v>706</v>
      </c>
    </row>
    <row r="30" spans="2:29" x14ac:dyDescent="0.25">
      <c r="B30" s="1" t="s">
        <v>22</v>
      </c>
      <c r="C30" s="1" t="s">
        <v>13</v>
      </c>
      <c r="D30" s="1" t="s">
        <v>83</v>
      </c>
      <c r="E30" s="1" t="s">
        <v>84</v>
      </c>
      <c r="F30" s="1" t="s">
        <v>85</v>
      </c>
      <c r="G30" s="1" t="s">
        <v>86</v>
      </c>
      <c r="H30" s="1" t="s">
        <v>18</v>
      </c>
      <c r="I30" s="1" t="s">
        <v>19</v>
      </c>
      <c r="J30" s="1" t="s">
        <v>73</v>
      </c>
      <c r="K30" s="1" t="s">
        <v>21</v>
      </c>
      <c r="L30" s="1" t="s">
        <v>73</v>
      </c>
      <c r="O30" s="3" t="s">
        <v>38</v>
      </c>
      <c r="P30" s="3" t="s">
        <v>13</v>
      </c>
      <c r="Q30" s="3" t="s">
        <v>66</v>
      </c>
      <c r="R30" s="3" t="s">
        <v>374</v>
      </c>
      <c r="S30" s="3" t="s">
        <v>375</v>
      </c>
      <c r="T30" s="3" t="s">
        <v>376</v>
      </c>
      <c r="U30" s="3" t="s">
        <v>18</v>
      </c>
      <c r="V30" s="3" t="s">
        <v>19</v>
      </c>
      <c r="W30" s="3" t="s">
        <v>377</v>
      </c>
      <c r="X30" s="3" t="s">
        <v>21</v>
      </c>
      <c r="Y30" s="3" t="s">
        <v>377</v>
      </c>
      <c r="AA30" t="s">
        <v>707</v>
      </c>
      <c r="AB30" s="5"/>
    </row>
    <row r="31" spans="2:29" x14ac:dyDescent="0.25">
      <c r="B31" s="1" t="s">
        <v>38</v>
      </c>
      <c r="C31" s="1" t="s">
        <v>13</v>
      </c>
      <c r="D31" s="1" t="s">
        <v>83</v>
      </c>
      <c r="E31" s="1" t="s">
        <v>87</v>
      </c>
      <c r="F31" s="1" t="s">
        <v>88</v>
      </c>
      <c r="G31" s="1" t="s">
        <v>89</v>
      </c>
      <c r="H31" s="1" t="s">
        <v>18</v>
      </c>
      <c r="I31" s="1" t="s">
        <v>19</v>
      </c>
      <c r="J31" s="1" t="s">
        <v>93</v>
      </c>
      <c r="K31" s="1" t="s">
        <v>21</v>
      </c>
      <c r="L31" s="1" t="s">
        <v>93</v>
      </c>
      <c r="O31" s="3" t="s">
        <v>27</v>
      </c>
      <c r="P31" s="3" t="s">
        <v>13</v>
      </c>
      <c r="Q31" s="3" t="s">
        <v>66</v>
      </c>
      <c r="R31" s="3" t="s">
        <v>628</v>
      </c>
      <c r="S31" s="3" t="s">
        <v>629</v>
      </c>
      <c r="T31" s="3" t="s">
        <v>630</v>
      </c>
      <c r="U31" s="3" t="s">
        <v>18</v>
      </c>
      <c r="V31" s="3" t="s">
        <v>19</v>
      </c>
      <c r="W31" s="3" t="s">
        <v>631</v>
      </c>
      <c r="X31" s="3" t="s">
        <v>21</v>
      </c>
      <c r="Y31" s="3" t="s">
        <v>631</v>
      </c>
      <c r="AA31" t="s">
        <v>708</v>
      </c>
    </row>
    <row r="32" spans="2:29" x14ac:dyDescent="0.25">
      <c r="B32" s="1" t="s">
        <v>22</v>
      </c>
      <c r="C32" s="1" t="s">
        <v>13</v>
      </c>
      <c r="D32" s="1" t="s">
        <v>83</v>
      </c>
      <c r="E32" s="1" t="s">
        <v>378</v>
      </c>
      <c r="F32" s="1" t="s">
        <v>379</v>
      </c>
      <c r="G32" s="1" t="s">
        <v>380</v>
      </c>
      <c r="H32" s="1" t="s">
        <v>18</v>
      </c>
      <c r="I32" s="1" t="s">
        <v>19</v>
      </c>
      <c r="J32" s="1" t="s">
        <v>73</v>
      </c>
      <c r="K32" s="1" t="s">
        <v>21</v>
      </c>
      <c r="L32" s="1" t="s">
        <v>73</v>
      </c>
      <c r="O32" s="3" t="s">
        <v>27</v>
      </c>
      <c r="P32" s="3" t="s">
        <v>13</v>
      </c>
      <c r="Q32" s="3" t="s">
        <v>78</v>
      </c>
      <c r="R32" s="3" t="s">
        <v>632</v>
      </c>
      <c r="S32" s="3" t="s">
        <v>633</v>
      </c>
      <c r="T32" s="3" t="s">
        <v>634</v>
      </c>
      <c r="U32" s="3" t="s">
        <v>18</v>
      </c>
      <c r="V32" s="3" t="s">
        <v>19</v>
      </c>
      <c r="W32" s="3" t="s">
        <v>635</v>
      </c>
      <c r="X32" s="3" t="s">
        <v>21</v>
      </c>
      <c r="Y32" s="3" t="s">
        <v>635</v>
      </c>
      <c r="AA32" t="s">
        <v>709</v>
      </c>
      <c r="AB32" s="5"/>
    </row>
    <row r="33" spans="2:28" x14ac:dyDescent="0.25">
      <c r="B33" s="1" t="s">
        <v>27</v>
      </c>
      <c r="C33" s="1" t="s">
        <v>13</v>
      </c>
      <c r="D33" s="1" t="s">
        <v>83</v>
      </c>
      <c r="E33" s="1" t="s">
        <v>281</v>
      </c>
      <c r="F33" s="1" t="s">
        <v>282</v>
      </c>
      <c r="G33" s="1" t="s">
        <v>283</v>
      </c>
      <c r="H33" s="1" t="s">
        <v>18</v>
      </c>
      <c r="I33" s="1" t="s">
        <v>19</v>
      </c>
      <c r="J33" s="1" t="s">
        <v>73</v>
      </c>
      <c r="K33" s="1" t="s">
        <v>21</v>
      </c>
      <c r="L33" s="1" t="s">
        <v>73</v>
      </c>
      <c r="O33" s="3" t="s">
        <v>22</v>
      </c>
      <c r="P33" s="3" t="s">
        <v>13</v>
      </c>
      <c r="Q33" s="3" t="s">
        <v>83</v>
      </c>
      <c r="R33" s="3" t="s">
        <v>84</v>
      </c>
      <c r="S33" s="3" t="s">
        <v>85</v>
      </c>
      <c r="T33" s="3" t="s">
        <v>86</v>
      </c>
      <c r="U33" s="3" t="s">
        <v>18</v>
      </c>
      <c r="V33" s="3" t="s">
        <v>19</v>
      </c>
      <c r="W33" s="3" t="s">
        <v>73</v>
      </c>
      <c r="X33" s="3" t="s">
        <v>21</v>
      </c>
      <c r="Y33" s="3" t="s">
        <v>73</v>
      </c>
      <c r="AA33" t="s">
        <v>710</v>
      </c>
    </row>
    <row r="34" spans="2:28" x14ac:dyDescent="0.25">
      <c r="B34" s="1" t="s">
        <v>381</v>
      </c>
      <c r="C34" s="1" t="s">
        <v>13</v>
      </c>
      <c r="D34" s="1" t="s">
        <v>83</v>
      </c>
      <c r="E34" s="1" t="s">
        <v>382</v>
      </c>
      <c r="F34" s="1" t="s">
        <v>383</v>
      </c>
      <c r="G34" s="1" t="s">
        <v>384</v>
      </c>
      <c r="H34" s="1" t="s">
        <v>18</v>
      </c>
      <c r="I34" s="1" t="s">
        <v>19</v>
      </c>
      <c r="J34" s="1" t="s">
        <v>385</v>
      </c>
      <c r="K34" s="1" t="s">
        <v>21</v>
      </c>
      <c r="L34" s="1" t="s">
        <v>385</v>
      </c>
      <c r="O34" s="3" t="s">
        <v>38</v>
      </c>
      <c r="P34" s="3" t="s">
        <v>13</v>
      </c>
      <c r="Q34" s="3" t="s">
        <v>83</v>
      </c>
      <c r="R34" s="3" t="s">
        <v>87</v>
      </c>
      <c r="S34" s="3" t="s">
        <v>88</v>
      </c>
      <c r="T34" s="3" t="s">
        <v>89</v>
      </c>
      <c r="U34" s="3" t="s">
        <v>18</v>
      </c>
      <c r="V34" s="3" t="s">
        <v>19</v>
      </c>
      <c r="W34" s="3" t="s">
        <v>93</v>
      </c>
      <c r="X34" s="3" t="s">
        <v>21</v>
      </c>
      <c r="Y34" s="3" t="s">
        <v>93</v>
      </c>
      <c r="AB34" s="5"/>
    </row>
    <row r="35" spans="2:28" x14ac:dyDescent="0.25">
      <c r="B35" s="1" t="s">
        <v>22</v>
      </c>
      <c r="C35" s="1" t="s">
        <v>13</v>
      </c>
      <c r="D35" s="1" t="s">
        <v>83</v>
      </c>
      <c r="E35" s="1" t="s">
        <v>386</v>
      </c>
      <c r="F35" s="1" t="s">
        <v>387</v>
      </c>
      <c r="G35" s="1" t="s">
        <v>388</v>
      </c>
      <c r="H35" s="1" t="s">
        <v>18</v>
      </c>
      <c r="I35" s="1" t="s">
        <v>19</v>
      </c>
      <c r="J35" s="1" t="s">
        <v>389</v>
      </c>
      <c r="K35" s="1" t="s">
        <v>21</v>
      </c>
      <c r="L35" s="1" t="s">
        <v>389</v>
      </c>
      <c r="O35" s="3" t="s">
        <v>48</v>
      </c>
      <c r="P35" s="3" t="s">
        <v>13</v>
      </c>
      <c r="Q35" s="3" t="s">
        <v>83</v>
      </c>
      <c r="R35" s="3" t="s">
        <v>378</v>
      </c>
      <c r="S35" s="3" t="s">
        <v>379</v>
      </c>
      <c r="T35" s="3" t="s">
        <v>380</v>
      </c>
      <c r="U35" s="3" t="s">
        <v>18</v>
      </c>
      <c r="V35" s="3" t="s">
        <v>19</v>
      </c>
      <c r="W35" s="3" t="s">
        <v>615</v>
      </c>
      <c r="X35" s="3" t="s">
        <v>21</v>
      </c>
      <c r="Y35" s="3" t="s">
        <v>615</v>
      </c>
    </row>
    <row r="36" spans="2:28" x14ac:dyDescent="0.25">
      <c r="B36" s="1" t="s">
        <v>346</v>
      </c>
      <c r="C36" s="1" t="s">
        <v>13</v>
      </c>
      <c r="D36" s="1" t="s">
        <v>83</v>
      </c>
      <c r="E36" s="1" t="s">
        <v>390</v>
      </c>
      <c r="F36" s="1" t="s">
        <v>391</v>
      </c>
      <c r="G36" s="1" t="s">
        <v>392</v>
      </c>
      <c r="H36" s="1" t="s">
        <v>18</v>
      </c>
      <c r="I36" s="1" t="s">
        <v>19</v>
      </c>
      <c r="J36" s="1" t="s">
        <v>82</v>
      </c>
      <c r="K36" s="1" t="s">
        <v>21</v>
      </c>
      <c r="L36" s="1" t="s">
        <v>82</v>
      </c>
      <c r="O36" s="3" t="s">
        <v>27</v>
      </c>
      <c r="P36" s="3" t="s">
        <v>13</v>
      </c>
      <c r="Q36" s="3" t="s">
        <v>83</v>
      </c>
      <c r="R36" s="3" t="s">
        <v>281</v>
      </c>
      <c r="S36" s="3" t="s">
        <v>282</v>
      </c>
      <c r="T36" s="3" t="s">
        <v>283</v>
      </c>
      <c r="U36" s="3" t="s">
        <v>18</v>
      </c>
      <c r="V36" s="3" t="s">
        <v>19</v>
      </c>
      <c r="W36" s="3" t="s">
        <v>93</v>
      </c>
      <c r="X36" s="3" t="s">
        <v>21</v>
      </c>
      <c r="Y36" s="3" t="s">
        <v>93</v>
      </c>
      <c r="AB36" s="5"/>
    </row>
    <row r="37" spans="2:28" x14ac:dyDescent="0.25">
      <c r="B37" s="1" t="s">
        <v>22</v>
      </c>
      <c r="C37" s="1" t="s">
        <v>13</v>
      </c>
      <c r="D37" s="1" t="s">
        <v>83</v>
      </c>
      <c r="E37" s="1" t="s">
        <v>94</v>
      </c>
      <c r="F37" s="1" t="s">
        <v>95</v>
      </c>
      <c r="G37" s="1" t="s">
        <v>96</v>
      </c>
      <c r="H37" s="1" t="s">
        <v>18</v>
      </c>
      <c r="I37" s="1" t="s">
        <v>19</v>
      </c>
      <c r="J37" s="1" t="s">
        <v>97</v>
      </c>
      <c r="K37" s="1" t="s">
        <v>21</v>
      </c>
      <c r="L37" s="1" t="s">
        <v>97</v>
      </c>
      <c r="O37" s="3" t="s">
        <v>38</v>
      </c>
      <c r="P37" s="3" t="s">
        <v>13</v>
      </c>
      <c r="Q37" s="3" t="s">
        <v>83</v>
      </c>
      <c r="R37" s="3" t="s">
        <v>636</v>
      </c>
      <c r="S37" s="3" t="s">
        <v>637</v>
      </c>
      <c r="T37" s="3" t="s">
        <v>638</v>
      </c>
      <c r="U37" s="3" t="s">
        <v>18</v>
      </c>
      <c r="V37" s="3" t="s">
        <v>19</v>
      </c>
      <c r="W37" s="3" t="s">
        <v>280</v>
      </c>
      <c r="X37" s="3" t="s">
        <v>21</v>
      </c>
      <c r="Y37" s="3" t="s">
        <v>280</v>
      </c>
    </row>
    <row r="38" spans="2:28" x14ac:dyDescent="0.25">
      <c r="B38" s="1" t="s">
        <v>38</v>
      </c>
      <c r="C38" s="1" t="s">
        <v>13</v>
      </c>
      <c r="D38" s="1" t="s">
        <v>98</v>
      </c>
      <c r="E38" s="1" t="s">
        <v>393</v>
      </c>
      <c r="F38" s="1" t="s">
        <v>394</v>
      </c>
      <c r="G38" s="1" t="s">
        <v>395</v>
      </c>
      <c r="H38" s="1" t="s">
        <v>18</v>
      </c>
      <c r="I38" s="1" t="s">
        <v>19</v>
      </c>
      <c r="J38" s="1" t="s">
        <v>263</v>
      </c>
      <c r="K38" s="1" t="s">
        <v>21</v>
      </c>
      <c r="L38" s="1" t="s">
        <v>263</v>
      </c>
      <c r="O38" s="3" t="s">
        <v>381</v>
      </c>
      <c r="P38" s="3" t="s">
        <v>13</v>
      </c>
      <c r="Q38" s="3" t="s">
        <v>83</v>
      </c>
      <c r="R38" s="3" t="s">
        <v>382</v>
      </c>
      <c r="S38" s="3" t="s">
        <v>383</v>
      </c>
      <c r="T38" s="3" t="s">
        <v>384</v>
      </c>
      <c r="U38" s="3" t="s">
        <v>18</v>
      </c>
      <c r="V38" s="3" t="s">
        <v>19</v>
      </c>
      <c r="W38" s="3" t="s">
        <v>385</v>
      </c>
      <c r="X38" s="3" t="s">
        <v>21</v>
      </c>
      <c r="Y38" s="3" t="s">
        <v>385</v>
      </c>
      <c r="AB38" s="5"/>
    </row>
    <row r="39" spans="2:28" x14ac:dyDescent="0.25">
      <c r="B39" s="1" t="s">
        <v>22</v>
      </c>
      <c r="C39" s="1" t="s">
        <v>13</v>
      </c>
      <c r="D39" s="1" t="s">
        <v>98</v>
      </c>
      <c r="E39" s="1" t="s">
        <v>396</v>
      </c>
      <c r="F39" s="1" t="s">
        <v>397</v>
      </c>
      <c r="G39" s="1" t="str">
        <f>"0000000138161"</f>
        <v>0000000138161</v>
      </c>
      <c r="H39" s="1" t="s">
        <v>18</v>
      </c>
      <c r="I39" s="1" t="s">
        <v>19</v>
      </c>
      <c r="J39" s="1" t="s">
        <v>47</v>
      </c>
      <c r="K39" s="1" t="s">
        <v>21</v>
      </c>
      <c r="L39" s="1" t="s">
        <v>47</v>
      </c>
      <c r="O39" s="3" t="s">
        <v>22</v>
      </c>
      <c r="P39" s="3" t="s">
        <v>13</v>
      </c>
      <c r="Q39" s="3" t="s">
        <v>83</v>
      </c>
      <c r="R39" s="3" t="s">
        <v>386</v>
      </c>
      <c r="S39" s="3" t="s">
        <v>387</v>
      </c>
      <c r="T39" s="3" t="s">
        <v>388</v>
      </c>
      <c r="U39" s="3" t="s">
        <v>18</v>
      </c>
      <c r="V39" s="3" t="s">
        <v>19</v>
      </c>
      <c r="W39" s="3" t="s">
        <v>389</v>
      </c>
      <c r="X39" s="3" t="s">
        <v>21</v>
      </c>
      <c r="Y39" s="3" t="s">
        <v>389</v>
      </c>
    </row>
    <row r="40" spans="2:28" x14ac:dyDescent="0.25">
      <c r="B40" s="1" t="s">
        <v>381</v>
      </c>
      <c r="C40" s="1" t="s">
        <v>13</v>
      </c>
      <c r="D40" s="1" t="s">
        <v>98</v>
      </c>
      <c r="E40" s="1" t="s">
        <v>398</v>
      </c>
      <c r="F40" s="1" t="s">
        <v>399</v>
      </c>
      <c r="G40" s="1" t="s">
        <v>400</v>
      </c>
      <c r="H40" s="1" t="s">
        <v>18</v>
      </c>
      <c r="I40" s="1" t="s">
        <v>19</v>
      </c>
      <c r="J40" s="1" t="s">
        <v>401</v>
      </c>
      <c r="K40" s="1" t="s">
        <v>21</v>
      </c>
      <c r="L40" s="1" t="s">
        <v>401</v>
      </c>
      <c r="O40" s="3" t="s">
        <v>346</v>
      </c>
      <c r="P40" s="3" t="s">
        <v>13</v>
      </c>
      <c r="Q40" s="3" t="s">
        <v>83</v>
      </c>
      <c r="R40" s="3" t="s">
        <v>390</v>
      </c>
      <c r="S40" s="3" t="s">
        <v>391</v>
      </c>
      <c r="T40" s="3" t="s">
        <v>392</v>
      </c>
      <c r="U40" s="3" t="s">
        <v>18</v>
      </c>
      <c r="V40" s="3" t="s">
        <v>19</v>
      </c>
      <c r="W40" s="3" t="s">
        <v>82</v>
      </c>
      <c r="X40" s="3" t="s">
        <v>21</v>
      </c>
      <c r="Y40" s="3" t="s">
        <v>82</v>
      </c>
      <c r="AB40" s="5"/>
    </row>
    <row r="41" spans="2:28" x14ac:dyDescent="0.25">
      <c r="B41" s="1" t="s">
        <v>27</v>
      </c>
      <c r="C41" s="1" t="s">
        <v>13</v>
      </c>
      <c r="D41" s="1" t="s">
        <v>402</v>
      </c>
      <c r="E41" s="1" t="s">
        <v>403</v>
      </c>
      <c r="F41" s="1" t="s">
        <v>404</v>
      </c>
      <c r="G41" s="1" t="s">
        <v>405</v>
      </c>
      <c r="H41" s="1" t="s">
        <v>406</v>
      </c>
      <c r="I41" s="1" t="s">
        <v>407</v>
      </c>
      <c r="J41" s="1" t="s">
        <v>408</v>
      </c>
      <c r="K41" s="1" t="s">
        <v>21</v>
      </c>
      <c r="L41" s="1" t="s">
        <v>408</v>
      </c>
      <c r="O41" s="3" t="s">
        <v>22</v>
      </c>
      <c r="P41" s="3" t="s">
        <v>13</v>
      </c>
      <c r="Q41" s="3" t="s">
        <v>83</v>
      </c>
      <c r="R41" s="3" t="s">
        <v>94</v>
      </c>
      <c r="S41" s="3" t="s">
        <v>95</v>
      </c>
      <c r="T41" s="3" t="s">
        <v>96</v>
      </c>
      <c r="U41" s="3" t="s">
        <v>18</v>
      </c>
      <c r="V41" s="3" t="s">
        <v>19</v>
      </c>
      <c r="W41" s="3" t="s">
        <v>97</v>
      </c>
      <c r="X41" s="3" t="s">
        <v>21</v>
      </c>
      <c r="Y41" s="3" t="s">
        <v>97</v>
      </c>
    </row>
    <row r="42" spans="2:28" x14ac:dyDescent="0.25">
      <c r="B42" s="1" t="s">
        <v>27</v>
      </c>
      <c r="C42" s="1" t="s">
        <v>13</v>
      </c>
      <c r="D42" s="1" t="s">
        <v>126</v>
      </c>
      <c r="E42" s="1" t="s">
        <v>409</v>
      </c>
      <c r="F42" s="1" t="s">
        <v>410</v>
      </c>
      <c r="G42" s="1" t="s">
        <v>411</v>
      </c>
      <c r="H42" s="1" t="s">
        <v>32</v>
      </c>
      <c r="I42" s="1" t="s">
        <v>193</v>
      </c>
      <c r="J42" s="1" t="s">
        <v>412</v>
      </c>
      <c r="K42" s="1" t="s">
        <v>21</v>
      </c>
      <c r="L42" s="1" t="s">
        <v>412</v>
      </c>
      <c r="O42" s="3" t="s">
        <v>38</v>
      </c>
      <c r="P42" s="3" t="s">
        <v>13</v>
      </c>
      <c r="Q42" s="3" t="s">
        <v>98</v>
      </c>
      <c r="R42" s="3" t="s">
        <v>393</v>
      </c>
      <c r="S42" s="3" t="s">
        <v>394</v>
      </c>
      <c r="T42" s="3" t="s">
        <v>395</v>
      </c>
      <c r="U42" s="3" t="s">
        <v>18</v>
      </c>
      <c r="V42" s="3" t="s">
        <v>19</v>
      </c>
      <c r="W42" s="3" t="s">
        <v>263</v>
      </c>
      <c r="X42" s="3" t="s">
        <v>21</v>
      </c>
      <c r="Y42" s="3" t="s">
        <v>263</v>
      </c>
      <c r="AB42" s="5"/>
    </row>
    <row r="43" spans="2:28" x14ac:dyDescent="0.25">
      <c r="B43" s="1" t="s">
        <v>27</v>
      </c>
      <c r="C43" s="1" t="s">
        <v>13</v>
      </c>
      <c r="D43" s="1" t="s">
        <v>126</v>
      </c>
      <c r="E43" s="1" t="s">
        <v>413</v>
      </c>
      <c r="F43" s="1" t="s">
        <v>414</v>
      </c>
      <c r="G43" s="1" t="s">
        <v>415</v>
      </c>
      <c r="H43" s="1" t="s">
        <v>32</v>
      </c>
      <c r="I43" s="1" t="s">
        <v>193</v>
      </c>
      <c r="J43" s="1" t="s">
        <v>416</v>
      </c>
      <c r="K43" s="1" t="s">
        <v>21</v>
      </c>
      <c r="L43" s="1" t="s">
        <v>416</v>
      </c>
      <c r="O43" s="3" t="s">
        <v>27</v>
      </c>
      <c r="P43" s="3" t="s">
        <v>13</v>
      </c>
      <c r="Q43" s="3" t="s">
        <v>98</v>
      </c>
      <c r="R43" s="3" t="s">
        <v>639</v>
      </c>
      <c r="S43" s="3" t="s">
        <v>640</v>
      </c>
      <c r="T43" s="3" t="s">
        <v>641</v>
      </c>
      <c r="U43" s="3" t="s">
        <v>18</v>
      </c>
      <c r="V43" s="3" t="s">
        <v>19</v>
      </c>
      <c r="W43" s="3" t="s">
        <v>578</v>
      </c>
      <c r="X43" s="3" t="s">
        <v>21</v>
      </c>
      <c r="Y43" s="3" t="s">
        <v>578</v>
      </c>
    </row>
    <row r="44" spans="2:28" x14ac:dyDescent="0.25">
      <c r="B44" s="1" t="s">
        <v>27</v>
      </c>
      <c r="C44" s="1" t="s">
        <v>13</v>
      </c>
      <c r="D44" s="1" t="s">
        <v>126</v>
      </c>
      <c r="E44" s="1" t="s">
        <v>417</v>
      </c>
      <c r="F44" s="1" t="s">
        <v>418</v>
      </c>
      <c r="G44" s="1" t="s">
        <v>419</v>
      </c>
      <c r="H44" s="1" t="s">
        <v>32</v>
      </c>
      <c r="I44" s="1" t="s">
        <v>193</v>
      </c>
      <c r="J44" s="1" t="s">
        <v>420</v>
      </c>
      <c r="K44" s="1" t="s">
        <v>21</v>
      </c>
      <c r="L44" s="1" t="s">
        <v>420</v>
      </c>
      <c r="O44" s="3" t="s">
        <v>22</v>
      </c>
      <c r="P44" s="3" t="s">
        <v>13</v>
      </c>
      <c r="Q44" s="3" t="s">
        <v>98</v>
      </c>
      <c r="R44" s="3" t="s">
        <v>396</v>
      </c>
      <c r="S44" s="3" t="s">
        <v>397</v>
      </c>
      <c r="T44" s="3" t="str">
        <f>"0000000138161"</f>
        <v>0000000138161</v>
      </c>
      <c r="U44" s="3" t="s">
        <v>18</v>
      </c>
      <c r="V44" s="3" t="s">
        <v>19</v>
      </c>
      <c r="W44" s="3" t="s">
        <v>47</v>
      </c>
      <c r="X44" s="3" t="s">
        <v>21</v>
      </c>
      <c r="Y44" s="3" t="s">
        <v>47</v>
      </c>
      <c r="AB44" s="5"/>
    </row>
    <row r="45" spans="2:28" x14ac:dyDescent="0.25">
      <c r="B45" s="1" t="s">
        <v>27</v>
      </c>
      <c r="C45" s="1" t="s">
        <v>13</v>
      </c>
      <c r="D45" s="1" t="s">
        <v>126</v>
      </c>
      <c r="E45" s="1" t="s">
        <v>421</v>
      </c>
      <c r="F45" s="1" t="s">
        <v>422</v>
      </c>
      <c r="G45" s="1" t="s">
        <v>423</v>
      </c>
      <c r="H45" s="1" t="s">
        <v>32</v>
      </c>
      <c r="I45" s="1" t="s">
        <v>193</v>
      </c>
      <c r="J45" s="1" t="s">
        <v>424</v>
      </c>
      <c r="K45" s="1" t="s">
        <v>21</v>
      </c>
      <c r="L45" s="1" t="s">
        <v>424</v>
      </c>
      <c r="O45" s="3" t="s">
        <v>381</v>
      </c>
      <c r="P45" s="3" t="s">
        <v>13</v>
      </c>
      <c r="Q45" s="3" t="s">
        <v>98</v>
      </c>
      <c r="R45" s="3" t="s">
        <v>398</v>
      </c>
      <c r="S45" s="3" t="s">
        <v>399</v>
      </c>
      <c r="T45" s="3" t="s">
        <v>400</v>
      </c>
      <c r="U45" s="3" t="s">
        <v>18</v>
      </c>
      <c r="V45" s="3" t="s">
        <v>19</v>
      </c>
      <c r="W45" s="3" t="s">
        <v>401</v>
      </c>
      <c r="X45" s="3" t="s">
        <v>21</v>
      </c>
      <c r="Y45" s="3" t="s">
        <v>401</v>
      </c>
    </row>
    <row r="46" spans="2:28" x14ac:dyDescent="0.25">
      <c r="B46" s="1" t="s">
        <v>27</v>
      </c>
      <c r="C46" s="1" t="s">
        <v>13</v>
      </c>
      <c r="D46" s="1" t="s">
        <v>126</v>
      </c>
      <c r="E46" s="1" t="s">
        <v>425</v>
      </c>
      <c r="F46" s="1" t="s">
        <v>426</v>
      </c>
      <c r="G46" s="1" t="s">
        <v>427</v>
      </c>
      <c r="H46" s="1" t="s">
        <v>32</v>
      </c>
      <c r="I46" s="1" t="s">
        <v>193</v>
      </c>
      <c r="J46" s="1" t="s">
        <v>428</v>
      </c>
      <c r="K46" s="1" t="s">
        <v>21</v>
      </c>
      <c r="L46" s="1" t="s">
        <v>428</v>
      </c>
      <c r="O46" s="3" t="s">
        <v>27</v>
      </c>
      <c r="P46" s="3" t="s">
        <v>13</v>
      </c>
      <c r="Q46" s="3" t="s">
        <v>402</v>
      </c>
      <c r="R46" s="3" t="s">
        <v>403</v>
      </c>
      <c r="S46" s="3" t="s">
        <v>404</v>
      </c>
      <c r="T46" s="3" t="s">
        <v>405</v>
      </c>
      <c r="U46" s="3" t="s">
        <v>406</v>
      </c>
      <c r="V46" s="3" t="s">
        <v>407</v>
      </c>
      <c r="W46" s="3" t="s">
        <v>408</v>
      </c>
      <c r="X46" s="3" t="s">
        <v>21</v>
      </c>
      <c r="Y46" s="3" t="s">
        <v>408</v>
      </c>
    </row>
    <row r="47" spans="2:28" x14ac:dyDescent="0.25">
      <c r="B47" s="1" t="s">
        <v>27</v>
      </c>
      <c r="C47" s="1" t="s">
        <v>13</v>
      </c>
      <c r="D47" s="1" t="s">
        <v>126</v>
      </c>
      <c r="E47" s="1" t="s">
        <v>429</v>
      </c>
      <c r="F47" s="1" t="s">
        <v>430</v>
      </c>
      <c r="G47" s="1" t="s">
        <v>431</v>
      </c>
      <c r="H47" s="1" t="s">
        <v>32</v>
      </c>
      <c r="I47" s="1" t="s">
        <v>193</v>
      </c>
      <c r="J47" s="1" t="s">
        <v>432</v>
      </c>
      <c r="K47" s="1" t="s">
        <v>21</v>
      </c>
      <c r="L47" s="1" t="s">
        <v>432</v>
      </c>
      <c r="O47" s="3" t="s">
        <v>27</v>
      </c>
      <c r="P47" s="3" t="s">
        <v>13</v>
      </c>
      <c r="Q47" s="3" t="s">
        <v>126</v>
      </c>
      <c r="R47" s="3" t="s">
        <v>409</v>
      </c>
      <c r="S47" s="3" t="s">
        <v>410</v>
      </c>
      <c r="T47" s="3" t="s">
        <v>411</v>
      </c>
      <c r="U47" s="3" t="s">
        <v>32</v>
      </c>
      <c r="V47" s="3" t="s">
        <v>193</v>
      </c>
      <c r="W47" s="3" t="s">
        <v>412</v>
      </c>
      <c r="X47" s="3" t="s">
        <v>21</v>
      </c>
      <c r="Y47" s="3" t="s">
        <v>412</v>
      </c>
    </row>
    <row r="48" spans="2:28" x14ac:dyDescent="0.25">
      <c r="B48" s="1" t="s">
        <v>27</v>
      </c>
      <c r="C48" s="1" t="s">
        <v>13</v>
      </c>
      <c r="D48" s="1" t="s">
        <v>126</v>
      </c>
      <c r="E48" s="1" t="s">
        <v>433</v>
      </c>
      <c r="F48" s="1" t="s">
        <v>434</v>
      </c>
      <c r="G48" s="1" t="s">
        <v>435</v>
      </c>
      <c r="H48" s="1" t="s">
        <v>32</v>
      </c>
      <c r="I48" s="1" t="s">
        <v>193</v>
      </c>
      <c r="J48" s="1" t="s">
        <v>436</v>
      </c>
      <c r="K48" s="1" t="s">
        <v>21</v>
      </c>
      <c r="L48" s="1" t="s">
        <v>436</v>
      </c>
      <c r="O48" s="3" t="s">
        <v>27</v>
      </c>
      <c r="P48" s="3" t="s">
        <v>13</v>
      </c>
      <c r="Q48" s="3" t="s">
        <v>126</v>
      </c>
      <c r="R48" s="3" t="s">
        <v>413</v>
      </c>
      <c r="S48" s="3" t="s">
        <v>414</v>
      </c>
      <c r="T48" s="3" t="s">
        <v>415</v>
      </c>
      <c r="U48" s="3" t="s">
        <v>32</v>
      </c>
      <c r="V48" s="3" t="s">
        <v>193</v>
      </c>
      <c r="W48" s="3" t="s">
        <v>416</v>
      </c>
      <c r="X48" s="3" t="s">
        <v>21</v>
      </c>
      <c r="Y48" s="3" t="s">
        <v>416</v>
      </c>
    </row>
    <row r="49" spans="1:25" x14ac:dyDescent="0.25">
      <c r="B49" s="1" t="s">
        <v>27</v>
      </c>
      <c r="C49" s="1" t="s">
        <v>13</v>
      </c>
      <c r="D49" s="1" t="s">
        <v>126</v>
      </c>
      <c r="E49" s="1" t="s">
        <v>437</v>
      </c>
      <c r="F49" s="1" t="s">
        <v>438</v>
      </c>
      <c r="G49" s="1" t="s">
        <v>439</v>
      </c>
      <c r="H49" s="1" t="s">
        <v>32</v>
      </c>
      <c r="I49" s="1" t="s">
        <v>193</v>
      </c>
      <c r="J49" s="1" t="s">
        <v>440</v>
      </c>
      <c r="K49" s="1" t="s">
        <v>21</v>
      </c>
      <c r="L49" s="1" t="s">
        <v>440</v>
      </c>
      <c r="O49" s="3" t="s">
        <v>27</v>
      </c>
      <c r="P49" s="3" t="s">
        <v>13</v>
      </c>
      <c r="Q49" s="3" t="s">
        <v>126</v>
      </c>
      <c r="R49" s="3" t="s">
        <v>417</v>
      </c>
      <c r="S49" s="3" t="s">
        <v>418</v>
      </c>
      <c r="T49" s="3" t="s">
        <v>419</v>
      </c>
      <c r="U49" s="3" t="s">
        <v>32</v>
      </c>
      <c r="V49" s="3" t="s">
        <v>193</v>
      </c>
      <c r="W49" s="3" t="s">
        <v>420</v>
      </c>
      <c r="X49" s="3" t="s">
        <v>21</v>
      </c>
      <c r="Y49" s="3" t="s">
        <v>420</v>
      </c>
    </row>
    <row r="50" spans="1:25" x14ac:dyDescent="0.25">
      <c r="B50" s="1" t="s">
        <v>38</v>
      </c>
      <c r="C50" s="1" t="s">
        <v>13</v>
      </c>
      <c r="D50" s="1" t="s">
        <v>126</v>
      </c>
      <c r="E50" s="1" t="s">
        <v>441</v>
      </c>
      <c r="F50" s="1" t="s">
        <v>442</v>
      </c>
      <c r="G50" s="1" t="s">
        <v>443</v>
      </c>
      <c r="H50" s="1" t="s">
        <v>32</v>
      </c>
      <c r="I50" s="1" t="s">
        <v>193</v>
      </c>
      <c r="J50" s="1" t="s">
        <v>444</v>
      </c>
      <c r="K50" s="1" t="s">
        <v>21</v>
      </c>
      <c r="L50" s="1" t="s">
        <v>444</v>
      </c>
      <c r="O50" s="3" t="s">
        <v>27</v>
      </c>
      <c r="P50" s="3" t="s">
        <v>13</v>
      </c>
      <c r="Q50" s="3" t="s">
        <v>126</v>
      </c>
      <c r="R50" s="3" t="s">
        <v>421</v>
      </c>
      <c r="S50" s="3" t="s">
        <v>422</v>
      </c>
      <c r="T50" s="3" t="s">
        <v>423</v>
      </c>
      <c r="U50" s="3" t="s">
        <v>32</v>
      </c>
      <c r="V50" s="3" t="s">
        <v>193</v>
      </c>
      <c r="W50" s="3" t="s">
        <v>424</v>
      </c>
      <c r="X50" s="3" t="s">
        <v>21</v>
      </c>
      <c r="Y50" s="3" t="s">
        <v>424</v>
      </c>
    </row>
    <row r="51" spans="1:25" x14ac:dyDescent="0.25">
      <c r="B51" s="1" t="s">
        <v>27</v>
      </c>
      <c r="C51" s="1" t="s">
        <v>13</v>
      </c>
      <c r="D51" s="1" t="s">
        <v>126</v>
      </c>
      <c r="E51" s="1" t="s">
        <v>445</v>
      </c>
      <c r="F51" s="1" t="s">
        <v>446</v>
      </c>
      <c r="G51" s="1" t="s">
        <v>447</v>
      </c>
      <c r="H51" s="1" t="s">
        <v>32</v>
      </c>
      <c r="I51" s="1" t="s">
        <v>193</v>
      </c>
      <c r="J51" s="1" t="s">
        <v>381</v>
      </c>
      <c r="K51" s="1" t="s">
        <v>21</v>
      </c>
      <c r="L51" s="1" t="s">
        <v>381</v>
      </c>
      <c r="O51" s="3" t="s">
        <v>27</v>
      </c>
      <c r="P51" s="3" t="s">
        <v>13</v>
      </c>
      <c r="Q51" s="3" t="s">
        <v>126</v>
      </c>
      <c r="R51" s="3" t="s">
        <v>425</v>
      </c>
      <c r="S51" s="3" t="s">
        <v>426</v>
      </c>
      <c r="T51" s="3" t="s">
        <v>427</v>
      </c>
      <c r="U51" s="3" t="s">
        <v>32</v>
      </c>
      <c r="V51" s="3" t="s">
        <v>193</v>
      </c>
      <c r="W51" s="3" t="s">
        <v>428</v>
      </c>
      <c r="X51" s="3" t="s">
        <v>21</v>
      </c>
      <c r="Y51" s="3" t="s">
        <v>428</v>
      </c>
    </row>
    <row r="52" spans="1:25" x14ac:dyDescent="0.25">
      <c r="B52" s="1" t="s">
        <v>27</v>
      </c>
      <c r="C52" s="1" t="s">
        <v>13</v>
      </c>
      <c r="D52" s="1" t="s">
        <v>126</v>
      </c>
      <c r="E52" s="1" t="s">
        <v>448</v>
      </c>
      <c r="F52" s="1" t="s">
        <v>449</v>
      </c>
      <c r="G52" s="1" t="s">
        <v>450</v>
      </c>
      <c r="H52" s="1" t="s">
        <v>32</v>
      </c>
      <c r="I52" s="1" t="s">
        <v>451</v>
      </c>
      <c r="J52" s="1" t="s">
        <v>65</v>
      </c>
      <c r="K52" s="1" t="s">
        <v>21</v>
      </c>
      <c r="L52" s="1" t="s">
        <v>65</v>
      </c>
      <c r="O52" s="3" t="s">
        <v>27</v>
      </c>
      <c r="P52" s="3" t="s">
        <v>13</v>
      </c>
      <c r="Q52" s="3" t="s">
        <v>126</v>
      </c>
      <c r="R52" s="3" t="s">
        <v>642</v>
      </c>
      <c r="S52" s="3" t="s">
        <v>643</v>
      </c>
      <c r="T52" s="3" t="s">
        <v>644</v>
      </c>
      <c r="U52" s="3" t="s">
        <v>32</v>
      </c>
      <c r="V52" s="3" t="s">
        <v>193</v>
      </c>
      <c r="W52" s="3" t="s">
        <v>645</v>
      </c>
      <c r="X52" s="3" t="s">
        <v>21</v>
      </c>
      <c r="Y52" s="3" t="s">
        <v>645</v>
      </c>
    </row>
    <row r="53" spans="1:25" x14ac:dyDescent="0.25">
      <c r="B53" s="1" t="s">
        <v>27</v>
      </c>
      <c r="C53" s="1" t="s">
        <v>13</v>
      </c>
      <c r="D53" s="1" t="s">
        <v>126</v>
      </c>
      <c r="E53" s="1" t="s">
        <v>452</v>
      </c>
      <c r="F53" s="1" t="s">
        <v>453</v>
      </c>
      <c r="G53" s="1" t="s">
        <v>454</v>
      </c>
      <c r="H53" s="1" t="s">
        <v>32</v>
      </c>
      <c r="I53" s="1" t="s">
        <v>451</v>
      </c>
      <c r="J53" s="1" t="s">
        <v>455</v>
      </c>
      <c r="K53" s="1" t="s">
        <v>21</v>
      </c>
      <c r="L53" s="1" t="s">
        <v>455</v>
      </c>
      <c r="O53" s="3" t="s">
        <v>27</v>
      </c>
      <c r="P53" s="3" t="s">
        <v>13</v>
      </c>
      <c r="Q53" s="3" t="s">
        <v>126</v>
      </c>
      <c r="R53" s="3" t="s">
        <v>429</v>
      </c>
      <c r="S53" s="3" t="s">
        <v>430</v>
      </c>
      <c r="T53" s="3" t="s">
        <v>431</v>
      </c>
      <c r="U53" s="3" t="s">
        <v>32</v>
      </c>
      <c r="V53" s="3" t="s">
        <v>193</v>
      </c>
      <c r="W53" s="3" t="s">
        <v>646</v>
      </c>
      <c r="X53" s="3" t="s">
        <v>21</v>
      </c>
      <c r="Y53" s="3" t="s">
        <v>646</v>
      </c>
    </row>
    <row r="54" spans="1:25" x14ac:dyDescent="0.25">
      <c r="B54" s="1" t="s">
        <v>27</v>
      </c>
      <c r="C54" s="1" t="s">
        <v>13</v>
      </c>
      <c r="D54" s="1" t="s">
        <v>126</v>
      </c>
      <c r="E54" s="1" t="s">
        <v>456</v>
      </c>
      <c r="F54" s="1" t="s">
        <v>457</v>
      </c>
      <c r="G54" s="1" t="s">
        <v>458</v>
      </c>
      <c r="H54" s="1" t="s">
        <v>32</v>
      </c>
      <c r="I54" s="1" t="s">
        <v>193</v>
      </c>
      <c r="J54" s="1" t="s">
        <v>459</v>
      </c>
      <c r="K54" s="1" t="s">
        <v>21</v>
      </c>
      <c r="L54" s="1" t="s">
        <v>459</v>
      </c>
      <c r="O54" s="3" t="s">
        <v>27</v>
      </c>
      <c r="P54" s="3" t="s">
        <v>13</v>
      </c>
      <c r="Q54" s="3" t="s">
        <v>126</v>
      </c>
      <c r="R54" s="3" t="s">
        <v>433</v>
      </c>
      <c r="S54" s="3" t="s">
        <v>434</v>
      </c>
      <c r="T54" s="3" t="s">
        <v>435</v>
      </c>
      <c r="U54" s="3" t="s">
        <v>32</v>
      </c>
      <c r="V54" s="3" t="s">
        <v>193</v>
      </c>
      <c r="W54" s="3" t="s">
        <v>436</v>
      </c>
      <c r="X54" s="3" t="s">
        <v>21</v>
      </c>
      <c r="Y54" s="3" t="s">
        <v>436</v>
      </c>
    </row>
    <row r="55" spans="1:25" x14ac:dyDescent="0.25">
      <c r="B55" s="1" t="s">
        <v>27</v>
      </c>
      <c r="C55" s="1" t="s">
        <v>13</v>
      </c>
      <c r="D55" s="1" t="s">
        <v>126</v>
      </c>
      <c r="E55" s="1" t="s">
        <v>460</v>
      </c>
      <c r="F55" s="1" t="s">
        <v>461</v>
      </c>
      <c r="G55" s="1" t="s">
        <v>462</v>
      </c>
      <c r="H55" s="1" t="s">
        <v>32</v>
      </c>
      <c r="I55" s="1" t="s">
        <v>193</v>
      </c>
      <c r="J55" s="1" t="s">
        <v>463</v>
      </c>
      <c r="K55" s="1" t="s">
        <v>21</v>
      </c>
      <c r="L55" s="1" t="s">
        <v>463</v>
      </c>
      <c r="O55" s="3" t="s">
        <v>27</v>
      </c>
      <c r="P55" s="3" t="s">
        <v>13</v>
      </c>
      <c r="Q55" s="3" t="s">
        <v>126</v>
      </c>
      <c r="R55" s="3" t="s">
        <v>437</v>
      </c>
      <c r="S55" s="3" t="s">
        <v>438</v>
      </c>
      <c r="T55" s="3" t="s">
        <v>439</v>
      </c>
      <c r="U55" s="3" t="s">
        <v>32</v>
      </c>
      <c r="V55" s="3" t="s">
        <v>193</v>
      </c>
      <c r="W55" s="3" t="s">
        <v>440</v>
      </c>
      <c r="X55" s="3" t="s">
        <v>21</v>
      </c>
      <c r="Y55" s="3" t="s">
        <v>440</v>
      </c>
    </row>
    <row r="56" spans="1:25" x14ac:dyDescent="0.25">
      <c r="B56" s="1" t="s">
        <v>27</v>
      </c>
      <c r="C56" s="1" t="s">
        <v>13</v>
      </c>
      <c r="D56" s="1" t="s">
        <v>126</v>
      </c>
      <c r="E56" s="1" t="s">
        <v>464</v>
      </c>
      <c r="F56" s="1" t="s">
        <v>465</v>
      </c>
      <c r="G56" s="1" t="s">
        <v>466</v>
      </c>
      <c r="H56" s="1" t="s">
        <v>32</v>
      </c>
      <c r="I56" s="1" t="s">
        <v>193</v>
      </c>
      <c r="J56" s="1" t="s">
        <v>467</v>
      </c>
      <c r="K56" s="1" t="s">
        <v>21</v>
      </c>
      <c r="L56" s="1" t="s">
        <v>467</v>
      </c>
      <c r="O56" s="3" t="s">
        <v>38</v>
      </c>
      <c r="P56" s="3" t="s">
        <v>13</v>
      </c>
      <c r="Q56" s="3" t="s">
        <v>126</v>
      </c>
      <c r="R56" s="3" t="s">
        <v>441</v>
      </c>
      <c r="S56" s="3" t="s">
        <v>442</v>
      </c>
      <c r="T56" s="3" t="s">
        <v>443</v>
      </c>
      <c r="U56" s="3" t="s">
        <v>32</v>
      </c>
      <c r="V56" s="3" t="s">
        <v>193</v>
      </c>
      <c r="W56" s="3" t="s">
        <v>444</v>
      </c>
      <c r="X56" s="3" t="s">
        <v>21</v>
      </c>
      <c r="Y56" s="3" t="s">
        <v>444</v>
      </c>
    </row>
    <row r="57" spans="1:25" x14ac:dyDescent="0.25">
      <c r="B57" s="1" t="s">
        <v>27</v>
      </c>
      <c r="C57" s="1" t="s">
        <v>13</v>
      </c>
      <c r="D57" s="1" t="s">
        <v>126</v>
      </c>
      <c r="E57" s="1" t="s">
        <v>468</v>
      </c>
      <c r="F57" s="1" t="s">
        <v>469</v>
      </c>
      <c r="G57" s="1" t="str">
        <f>"0000000083928"</f>
        <v>0000000083928</v>
      </c>
      <c r="H57" s="1" t="s">
        <v>32</v>
      </c>
      <c r="I57" s="1" t="s">
        <v>193</v>
      </c>
      <c r="J57" s="1" t="s">
        <v>151</v>
      </c>
      <c r="K57" s="1" t="s">
        <v>21</v>
      </c>
      <c r="L57" s="1" t="s">
        <v>151</v>
      </c>
      <c r="O57" s="3" t="s">
        <v>27</v>
      </c>
      <c r="P57" s="3" t="s">
        <v>13</v>
      </c>
      <c r="Q57" s="3" t="s">
        <v>126</v>
      </c>
      <c r="R57" s="3" t="s">
        <v>647</v>
      </c>
      <c r="S57" s="3" t="s">
        <v>648</v>
      </c>
      <c r="T57" s="3" t="s">
        <v>649</v>
      </c>
      <c r="U57" s="3" t="s">
        <v>32</v>
      </c>
      <c r="V57" s="3" t="s">
        <v>193</v>
      </c>
      <c r="W57" s="3" t="s">
        <v>650</v>
      </c>
      <c r="X57" s="3" t="s">
        <v>21</v>
      </c>
      <c r="Y57" s="3" t="s">
        <v>650</v>
      </c>
    </row>
    <row r="58" spans="1:25" x14ac:dyDescent="0.25">
      <c r="B58" s="1" t="s">
        <v>38</v>
      </c>
      <c r="C58" s="1" t="s">
        <v>13</v>
      </c>
      <c r="D58" s="1" t="s">
        <v>126</v>
      </c>
      <c r="E58" s="1" t="s">
        <v>470</v>
      </c>
      <c r="F58" s="1" t="s">
        <v>471</v>
      </c>
      <c r="G58" s="1" t="str">
        <f>"0000000166751"</f>
        <v>0000000166751</v>
      </c>
      <c r="H58" s="1" t="s">
        <v>32</v>
      </c>
      <c r="I58" s="1" t="s">
        <v>193</v>
      </c>
      <c r="J58" s="1" t="s">
        <v>472</v>
      </c>
      <c r="K58" s="1" t="s">
        <v>21</v>
      </c>
      <c r="L58" s="1" t="s">
        <v>472</v>
      </c>
      <c r="O58" s="3" t="s">
        <v>27</v>
      </c>
      <c r="P58" s="3" t="s">
        <v>13</v>
      </c>
      <c r="Q58" s="3" t="s">
        <v>126</v>
      </c>
      <c r="R58" s="3" t="s">
        <v>445</v>
      </c>
      <c r="S58" s="3" t="s">
        <v>446</v>
      </c>
      <c r="T58" s="3" t="s">
        <v>447</v>
      </c>
      <c r="U58" s="3" t="s">
        <v>32</v>
      </c>
      <c r="V58" s="3" t="s">
        <v>193</v>
      </c>
      <c r="W58" s="3" t="s">
        <v>381</v>
      </c>
      <c r="X58" s="3" t="s">
        <v>21</v>
      </c>
      <c r="Y58" s="3" t="s">
        <v>381</v>
      </c>
    </row>
    <row r="59" spans="1:25" x14ac:dyDescent="0.25">
      <c r="B59" s="1" t="s">
        <v>38</v>
      </c>
      <c r="C59" s="1" t="s">
        <v>13</v>
      </c>
      <c r="D59" s="1" t="s">
        <v>126</v>
      </c>
      <c r="E59" s="1" t="s">
        <v>473</v>
      </c>
      <c r="F59" s="1" t="s">
        <v>474</v>
      </c>
      <c r="G59" s="1" t="str">
        <f>"0000000263566"</f>
        <v>0000000263566</v>
      </c>
      <c r="H59" s="1" t="s">
        <v>32</v>
      </c>
      <c r="I59" s="1" t="s">
        <v>193</v>
      </c>
      <c r="J59" s="1" t="s">
        <v>475</v>
      </c>
      <c r="K59" s="1" t="s">
        <v>21</v>
      </c>
      <c r="L59" s="1" t="s">
        <v>475</v>
      </c>
      <c r="O59" s="3" t="s">
        <v>27</v>
      </c>
      <c r="P59" s="3" t="s">
        <v>13</v>
      </c>
      <c r="Q59" s="3" t="s">
        <v>126</v>
      </c>
      <c r="R59" s="3" t="s">
        <v>448</v>
      </c>
      <c r="S59" s="3" t="s">
        <v>449</v>
      </c>
      <c r="T59" s="3" t="s">
        <v>450</v>
      </c>
      <c r="U59" s="3" t="s">
        <v>32</v>
      </c>
      <c r="V59" s="3" t="s">
        <v>451</v>
      </c>
      <c r="W59" s="3" t="s">
        <v>65</v>
      </c>
      <c r="X59" s="3" t="s">
        <v>21</v>
      </c>
      <c r="Y59" s="3" t="s">
        <v>65</v>
      </c>
    </row>
    <row r="60" spans="1:25" x14ac:dyDescent="0.25">
      <c r="B60" s="1" t="s">
        <v>38</v>
      </c>
      <c r="C60" s="1" t="s">
        <v>13</v>
      </c>
      <c r="D60" s="1" t="s">
        <v>279</v>
      </c>
      <c r="E60" s="1" t="s">
        <v>476</v>
      </c>
      <c r="F60" s="1" t="s">
        <v>477</v>
      </c>
      <c r="G60" s="1" t="str">
        <f>"0000000201131"</f>
        <v>0000000201131</v>
      </c>
      <c r="H60" s="1" t="s">
        <v>18</v>
      </c>
      <c r="I60" s="1" t="s">
        <v>230</v>
      </c>
      <c r="J60" s="1" t="s">
        <v>478</v>
      </c>
      <c r="K60" s="1" t="s">
        <v>21</v>
      </c>
      <c r="L60" s="1" t="s">
        <v>478</v>
      </c>
      <c r="O60" s="3" t="s">
        <v>27</v>
      </c>
      <c r="P60" s="3" t="s">
        <v>13</v>
      </c>
      <c r="Q60" s="3" t="s">
        <v>126</v>
      </c>
      <c r="R60" s="3" t="s">
        <v>452</v>
      </c>
      <c r="S60" s="3" t="s">
        <v>453</v>
      </c>
      <c r="T60" s="3" t="s">
        <v>454</v>
      </c>
      <c r="U60" s="3" t="s">
        <v>32</v>
      </c>
      <c r="V60" s="3" t="s">
        <v>451</v>
      </c>
      <c r="W60" s="3" t="s">
        <v>455</v>
      </c>
      <c r="X60" s="3" t="s">
        <v>21</v>
      </c>
      <c r="Y60" s="3" t="s">
        <v>455</v>
      </c>
    </row>
    <row r="61" spans="1:25" x14ac:dyDescent="0.25">
      <c r="B61" s="1" t="s">
        <v>38</v>
      </c>
      <c r="C61" s="1" t="s">
        <v>13</v>
      </c>
      <c r="D61" s="1" t="s">
        <v>279</v>
      </c>
      <c r="E61" s="1" t="s">
        <v>479</v>
      </c>
      <c r="F61" s="1" t="s">
        <v>480</v>
      </c>
      <c r="G61" s="1" t="str">
        <f>"0000000215091"</f>
        <v>0000000215091</v>
      </c>
      <c r="H61" s="1" t="s">
        <v>18</v>
      </c>
      <c r="I61" s="1" t="s">
        <v>230</v>
      </c>
      <c r="J61" s="1" t="s">
        <v>481</v>
      </c>
      <c r="K61" s="1" t="s">
        <v>21</v>
      </c>
      <c r="L61" s="1" t="s">
        <v>481</v>
      </c>
      <c r="O61" s="3" t="s">
        <v>27</v>
      </c>
      <c r="P61" s="3" t="s">
        <v>13</v>
      </c>
      <c r="Q61" s="3" t="s">
        <v>126</v>
      </c>
      <c r="R61" s="3" t="s">
        <v>456</v>
      </c>
      <c r="S61" s="3" t="s">
        <v>457</v>
      </c>
      <c r="T61" s="3" t="s">
        <v>458</v>
      </c>
      <c r="U61" s="3" t="s">
        <v>32</v>
      </c>
      <c r="V61" s="3" t="s">
        <v>193</v>
      </c>
      <c r="W61" s="3" t="s">
        <v>459</v>
      </c>
      <c r="X61" s="3" t="s">
        <v>21</v>
      </c>
      <c r="Y61" s="3" t="s">
        <v>459</v>
      </c>
    </row>
    <row r="62" spans="1:25" x14ac:dyDescent="0.25">
      <c r="B62" s="1" t="s">
        <v>38</v>
      </c>
      <c r="C62" s="1" t="s">
        <v>13</v>
      </c>
      <c r="D62" s="1" t="s">
        <v>279</v>
      </c>
      <c r="E62" s="1" t="s">
        <v>482</v>
      </c>
      <c r="F62" s="1" t="s">
        <v>483</v>
      </c>
      <c r="G62" s="1" t="str">
        <f>"0000000201148"</f>
        <v>0000000201148</v>
      </c>
      <c r="H62" s="1" t="s">
        <v>18</v>
      </c>
      <c r="I62" s="1" t="s">
        <v>230</v>
      </c>
      <c r="J62" s="1" t="s">
        <v>484</v>
      </c>
      <c r="K62" s="1" t="s">
        <v>21</v>
      </c>
      <c r="L62" s="1" t="s">
        <v>484</v>
      </c>
      <c r="O62" s="3" t="s">
        <v>27</v>
      </c>
      <c r="P62" s="3" t="s">
        <v>13</v>
      </c>
      <c r="Q62" s="3" t="s">
        <v>126</v>
      </c>
      <c r="R62" s="3" t="s">
        <v>460</v>
      </c>
      <c r="S62" s="3" t="s">
        <v>461</v>
      </c>
      <c r="T62" s="3" t="s">
        <v>462</v>
      </c>
      <c r="U62" s="3" t="s">
        <v>32</v>
      </c>
      <c r="V62" s="3" t="s">
        <v>193</v>
      </c>
      <c r="W62" s="3" t="s">
        <v>463</v>
      </c>
      <c r="X62" s="3" t="s">
        <v>21</v>
      </c>
      <c r="Y62" s="3" t="s">
        <v>463</v>
      </c>
    </row>
    <row r="63" spans="1:25" x14ac:dyDescent="0.25">
      <c r="A63" s="1" t="s">
        <v>1</v>
      </c>
      <c r="B63" s="1" t="s">
        <v>27</v>
      </c>
      <c r="C63" s="1" t="s">
        <v>13</v>
      </c>
      <c r="D63" s="1" t="s">
        <v>485</v>
      </c>
      <c r="E63" s="1" t="s">
        <v>486</v>
      </c>
      <c r="F63" s="1" t="s">
        <v>487</v>
      </c>
      <c r="G63" s="1" t="str">
        <f>"0000000273480"</f>
        <v>0000000273480</v>
      </c>
      <c r="H63" s="1" t="s">
        <v>32</v>
      </c>
      <c r="I63" s="1" t="s">
        <v>451</v>
      </c>
      <c r="J63" s="1" t="s">
        <v>488</v>
      </c>
      <c r="K63" s="1" t="s">
        <v>21</v>
      </c>
      <c r="L63" s="1" t="s">
        <v>488</v>
      </c>
      <c r="O63" s="3" t="s">
        <v>27</v>
      </c>
      <c r="P63" s="3" t="s">
        <v>13</v>
      </c>
      <c r="Q63" s="3" t="s">
        <v>126</v>
      </c>
      <c r="R63" s="3" t="s">
        <v>464</v>
      </c>
      <c r="S63" s="3" t="s">
        <v>465</v>
      </c>
      <c r="T63" s="3" t="s">
        <v>466</v>
      </c>
      <c r="U63" s="3" t="s">
        <v>32</v>
      </c>
      <c r="V63" s="3" t="s">
        <v>193</v>
      </c>
      <c r="W63" s="3" t="s">
        <v>467</v>
      </c>
      <c r="X63" s="3" t="s">
        <v>21</v>
      </c>
      <c r="Y63" s="3" t="s">
        <v>467</v>
      </c>
    </row>
    <row r="64" spans="1:25" x14ac:dyDescent="0.25">
      <c r="A64" s="1" t="s">
        <v>1</v>
      </c>
      <c r="B64" s="1" t="s">
        <v>27</v>
      </c>
      <c r="C64" s="1" t="s">
        <v>13</v>
      </c>
      <c r="D64" s="1" t="s">
        <v>164</v>
      </c>
      <c r="E64" s="1" t="s">
        <v>489</v>
      </c>
      <c r="F64" s="1" t="s">
        <v>490</v>
      </c>
      <c r="G64" s="1" t="s">
        <v>491</v>
      </c>
      <c r="H64" s="1" t="s">
        <v>32</v>
      </c>
      <c r="I64" s="1" t="s">
        <v>193</v>
      </c>
      <c r="J64" s="1" t="s">
        <v>492</v>
      </c>
      <c r="K64" s="1" t="s">
        <v>21</v>
      </c>
      <c r="L64" s="1" t="s">
        <v>492</v>
      </c>
      <c r="O64" s="3" t="s">
        <v>27</v>
      </c>
      <c r="P64" s="3" t="s">
        <v>13</v>
      </c>
      <c r="Q64" s="3" t="s">
        <v>126</v>
      </c>
      <c r="R64" s="3" t="s">
        <v>468</v>
      </c>
      <c r="S64" s="3" t="s">
        <v>469</v>
      </c>
      <c r="T64" s="3" t="str">
        <f>"0000000083928"</f>
        <v>0000000083928</v>
      </c>
      <c r="U64" s="3" t="s">
        <v>32</v>
      </c>
      <c r="V64" s="3" t="s">
        <v>193</v>
      </c>
      <c r="W64" s="3" t="s">
        <v>151</v>
      </c>
      <c r="X64" s="3" t="s">
        <v>21</v>
      </c>
      <c r="Y64" s="3" t="s">
        <v>151</v>
      </c>
    </row>
    <row r="65" spans="1:25" x14ac:dyDescent="0.25">
      <c r="A65" s="1" t="s">
        <v>1</v>
      </c>
      <c r="B65" s="1" t="s">
        <v>27</v>
      </c>
      <c r="C65" s="1" t="s">
        <v>13</v>
      </c>
      <c r="D65" s="1" t="s">
        <v>164</v>
      </c>
      <c r="E65" s="1" t="s">
        <v>493</v>
      </c>
      <c r="F65" s="1" t="s">
        <v>494</v>
      </c>
      <c r="G65" s="1" t="s">
        <v>495</v>
      </c>
      <c r="H65" s="1" t="s">
        <v>32</v>
      </c>
      <c r="I65" s="1" t="s">
        <v>162</v>
      </c>
      <c r="J65" s="1" t="s">
        <v>496</v>
      </c>
      <c r="K65" s="1" t="s">
        <v>21</v>
      </c>
      <c r="L65" s="1" t="s">
        <v>496</v>
      </c>
      <c r="O65" s="3" t="s">
        <v>38</v>
      </c>
      <c r="P65" s="3" t="s">
        <v>13</v>
      </c>
      <c r="Q65" s="3" t="s">
        <v>126</v>
      </c>
      <c r="R65" s="3" t="s">
        <v>470</v>
      </c>
      <c r="S65" s="3" t="s">
        <v>471</v>
      </c>
      <c r="T65" s="3" t="str">
        <f>"0000000166751"</f>
        <v>0000000166751</v>
      </c>
      <c r="U65" s="3" t="s">
        <v>32</v>
      </c>
      <c r="V65" s="3" t="s">
        <v>193</v>
      </c>
      <c r="W65" s="3" t="s">
        <v>472</v>
      </c>
      <c r="X65" s="3" t="s">
        <v>21</v>
      </c>
      <c r="Y65" s="3" t="s">
        <v>472</v>
      </c>
    </row>
    <row r="66" spans="1:25" x14ac:dyDescent="0.25">
      <c r="A66" s="1" t="s">
        <v>1</v>
      </c>
      <c r="B66" s="1" t="s">
        <v>27</v>
      </c>
      <c r="C66" s="1" t="s">
        <v>13</v>
      </c>
      <c r="D66" s="1" t="s">
        <v>164</v>
      </c>
      <c r="E66" s="1" t="s">
        <v>497</v>
      </c>
      <c r="F66" s="1" t="s">
        <v>498</v>
      </c>
      <c r="G66" s="1" t="s">
        <v>499</v>
      </c>
      <c r="H66" s="1" t="s">
        <v>32</v>
      </c>
      <c r="I66" s="1" t="s">
        <v>193</v>
      </c>
      <c r="J66" s="1" t="s">
        <v>500</v>
      </c>
      <c r="K66" s="1" t="s">
        <v>21</v>
      </c>
      <c r="L66" s="1" t="s">
        <v>500</v>
      </c>
      <c r="O66" s="3" t="s">
        <v>38</v>
      </c>
      <c r="P66" s="3" t="s">
        <v>13</v>
      </c>
      <c r="Q66" s="3" t="s">
        <v>126</v>
      </c>
      <c r="R66" s="3" t="s">
        <v>473</v>
      </c>
      <c r="S66" s="3" t="s">
        <v>474</v>
      </c>
      <c r="T66" s="3" t="str">
        <f>"0000000263566"</f>
        <v>0000000263566</v>
      </c>
      <c r="U66" s="3" t="s">
        <v>32</v>
      </c>
      <c r="V66" s="3" t="s">
        <v>193</v>
      </c>
      <c r="W66" s="3" t="s">
        <v>475</v>
      </c>
      <c r="X66" s="3" t="s">
        <v>21</v>
      </c>
      <c r="Y66" s="3" t="s">
        <v>475</v>
      </c>
    </row>
    <row r="67" spans="1:25" x14ac:dyDescent="0.25">
      <c r="A67" s="1" t="s">
        <v>1</v>
      </c>
      <c r="B67" s="1" t="s">
        <v>27</v>
      </c>
      <c r="C67" s="1" t="s">
        <v>13</v>
      </c>
      <c r="D67" s="1" t="s">
        <v>164</v>
      </c>
      <c r="E67" s="1" t="s">
        <v>501</v>
      </c>
      <c r="F67" s="1" t="s">
        <v>502</v>
      </c>
      <c r="G67" s="1" t="str">
        <f>"0000000232081"</f>
        <v>0000000232081</v>
      </c>
      <c r="H67" s="1" t="s">
        <v>32</v>
      </c>
      <c r="I67" s="1" t="s">
        <v>193</v>
      </c>
      <c r="J67" s="1" t="s">
        <v>503</v>
      </c>
      <c r="K67" s="1" t="s">
        <v>21</v>
      </c>
      <c r="L67" s="1" t="s">
        <v>503</v>
      </c>
      <c r="O67" s="3" t="s">
        <v>38</v>
      </c>
      <c r="P67" s="3" t="s">
        <v>13</v>
      </c>
      <c r="Q67" s="3" t="s">
        <v>279</v>
      </c>
      <c r="R67" s="3" t="s">
        <v>476</v>
      </c>
      <c r="S67" s="3" t="s">
        <v>477</v>
      </c>
      <c r="T67" s="3" t="str">
        <f>"0000000201131"</f>
        <v>0000000201131</v>
      </c>
      <c r="U67" s="3" t="s">
        <v>18</v>
      </c>
      <c r="V67" s="3" t="s">
        <v>230</v>
      </c>
      <c r="W67" s="3" t="s">
        <v>478</v>
      </c>
      <c r="X67" s="3" t="s">
        <v>21</v>
      </c>
      <c r="Y67" s="3" t="s">
        <v>478</v>
      </c>
    </row>
    <row r="68" spans="1:25" x14ac:dyDescent="0.25">
      <c r="A68" s="1" t="s">
        <v>1</v>
      </c>
      <c r="B68" s="1" t="s">
        <v>27</v>
      </c>
      <c r="C68" s="1" t="s">
        <v>13</v>
      </c>
      <c r="D68" s="1" t="s">
        <v>164</v>
      </c>
      <c r="E68" s="1" t="s">
        <v>504</v>
      </c>
      <c r="F68" s="1" t="s">
        <v>505</v>
      </c>
      <c r="G68" s="1" t="s">
        <v>506</v>
      </c>
      <c r="H68" s="1" t="s">
        <v>32</v>
      </c>
      <c r="I68" s="1" t="s">
        <v>193</v>
      </c>
      <c r="J68" s="1" t="s">
        <v>507</v>
      </c>
      <c r="K68" s="1" t="s">
        <v>21</v>
      </c>
      <c r="L68" s="1" t="s">
        <v>507</v>
      </c>
      <c r="O68" s="3" t="s">
        <v>38</v>
      </c>
      <c r="P68" s="3" t="s">
        <v>13</v>
      </c>
      <c r="Q68" s="3" t="s">
        <v>279</v>
      </c>
      <c r="R68" s="3" t="s">
        <v>479</v>
      </c>
      <c r="S68" s="3" t="s">
        <v>480</v>
      </c>
      <c r="T68" s="3" t="str">
        <f>"0000000215091"</f>
        <v>0000000215091</v>
      </c>
      <c r="U68" s="3" t="s">
        <v>18</v>
      </c>
      <c r="V68" s="3" t="s">
        <v>230</v>
      </c>
      <c r="W68" s="3" t="s">
        <v>481</v>
      </c>
      <c r="X68" s="3" t="s">
        <v>21</v>
      </c>
      <c r="Y68" s="3" t="s">
        <v>481</v>
      </c>
    </row>
    <row r="69" spans="1:25" x14ac:dyDescent="0.25">
      <c r="A69" s="1" t="s">
        <v>1</v>
      </c>
      <c r="B69" s="1" t="s">
        <v>27</v>
      </c>
      <c r="C69" s="1" t="s">
        <v>13</v>
      </c>
      <c r="D69" s="1" t="s">
        <v>164</v>
      </c>
      <c r="E69" s="1" t="s">
        <v>508</v>
      </c>
      <c r="F69" s="1" t="s">
        <v>509</v>
      </c>
      <c r="G69" s="1" t="s">
        <v>510</v>
      </c>
      <c r="H69" s="1" t="s">
        <v>32</v>
      </c>
      <c r="I69" s="1" t="s">
        <v>193</v>
      </c>
      <c r="J69" s="1" t="s">
        <v>511</v>
      </c>
      <c r="K69" s="1" t="s">
        <v>21</v>
      </c>
      <c r="L69" s="1" t="s">
        <v>511</v>
      </c>
      <c r="O69" s="3" t="s">
        <v>38</v>
      </c>
      <c r="P69" s="3" t="s">
        <v>13</v>
      </c>
      <c r="Q69" s="3" t="s">
        <v>279</v>
      </c>
      <c r="R69" s="3" t="s">
        <v>482</v>
      </c>
      <c r="S69" s="3" t="s">
        <v>483</v>
      </c>
      <c r="T69" s="3" t="str">
        <f>"0000000201148"</f>
        <v>0000000201148</v>
      </c>
      <c r="U69" s="3" t="s">
        <v>18</v>
      </c>
      <c r="V69" s="3" t="s">
        <v>230</v>
      </c>
      <c r="W69" s="3" t="s">
        <v>484</v>
      </c>
      <c r="X69" s="3" t="s">
        <v>21</v>
      </c>
      <c r="Y69" s="3" t="s">
        <v>484</v>
      </c>
    </row>
    <row r="70" spans="1:25" x14ac:dyDescent="0.25">
      <c r="A70" s="1" t="s">
        <v>1</v>
      </c>
      <c r="B70" s="1" t="s">
        <v>27</v>
      </c>
      <c r="C70" s="1" t="s">
        <v>13</v>
      </c>
      <c r="D70" s="1" t="s">
        <v>164</v>
      </c>
      <c r="E70" s="1" t="s">
        <v>512</v>
      </c>
      <c r="F70" s="1" t="s">
        <v>513</v>
      </c>
      <c r="G70" s="1" t="s">
        <v>514</v>
      </c>
      <c r="H70" s="1" t="s">
        <v>32</v>
      </c>
      <c r="I70" s="1" t="s">
        <v>193</v>
      </c>
      <c r="J70" s="1" t="s">
        <v>515</v>
      </c>
      <c r="K70" s="1" t="s">
        <v>21</v>
      </c>
      <c r="L70" s="1" t="s">
        <v>515</v>
      </c>
      <c r="N70" s="3" t="s">
        <v>1</v>
      </c>
      <c r="O70" s="3" t="s">
        <v>27</v>
      </c>
      <c r="P70" s="3" t="s">
        <v>13</v>
      </c>
      <c r="Q70" s="3" t="s">
        <v>485</v>
      </c>
      <c r="R70" s="3" t="s">
        <v>651</v>
      </c>
      <c r="S70" s="3" t="s">
        <v>652</v>
      </c>
      <c r="T70" s="3" t="s">
        <v>653</v>
      </c>
      <c r="U70" s="3" t="s">
        <v>32</v>
      </c>
      <c r="V70" s="3" t="s">
        <v>654</v>
      </c>
      <c r="W70" s="3" t="s">
        <v>655</v>
      </c>
      <c r="X70" s="3" t="s">
        <v>21</v>
      </c>
      <c r="Y70" s="3" t="s">
        <v>655</v>
      </c>
    </row>
    <row r="71" spans="1:25" x14ac:dyDescent="0.25">
      <c r="A71" s="1" t="s">
        <v>1</v>
      </c>
      <c r="B71" s="1" t="s">
        <v>27</v>
      </c>
      <c r="C71" s="1" t="s">
        <v>13</v>
      </c>
      <c r="D71" s="1" t="s">
        <v>164</v>
      </c>
      <c r="E71" s="1" t="s">
        <v>516</v>
      </c>
      <c r="F71" s="1" t="s">
        <v>517</v>
      </c>
      <c r="G71" s="1" t="str">
        <f>"0000000267342"</f>
        <v>0000000267342</v>
      </c>
      <c r="H71" s="1" t="s">
        <v>32</v>
      </c>
      <c r="I71" s="1" t="s">
        <v>193</v>
      </c>
      <c r="J71" s="1" t="s">
        <v>518</v>
      </c>
      <c r="K71" s="1" t="s">
        <v>21</v>
      </c>
      <c r="L71" s="1" t="s">
        <v>518</v>
      </c>
      <c r="N71" s="3" t="s">
        <v>1</v>
      </c>
      <c r="O71" s="3" t="s">
        <v>27</v>
      </c>
      <c r="P71" s="3" t="s">
        <v>13</v>
      </c>
      <c r="Q71" s="3" t="s">
        <v>485</v>
      </c>
      <c r="R71" s="3" t="s">
        <v>486</v>
      </c>
      <c r="S71" s="3" t="s">
        <v>487</v>
      </c>
      <c r="T71" s="3" t="str">
        <f>"0000000273480"</f>
        <v>0000000273480</v>
      </c>
      <c r="U71" s="3" t="s">
        <v>32</v>
      </c>
      <c r="V71" s="3" t="s">
        <v>451</v>
      </c>
      <c r="W71" s="3" t="s">
        <v>616</v>
      </c>
      <c r="X71" s="3" t="s">
        <v>21</v>
      </c>
      <c r="Y71" s="3" t="s">
        <v>616</v>
      </c>
    </row>
    <row r="72" spans="1:25" x14ac:dyDescent="0.25">
      <c r="A72" s="1" t="s">
        <v>1</v>
      </c>
      <c r="B72" s="1" t="s">
        <v>27</v>
      </c>
      <c r="C72" s="1" t="s">
        <v>13</v>
      </c>
      <c r="D72" s="1" t="s">
        <v>164</v>
      </c>
      <c r="E72" s="1" t="s">
        <v>519</v>
      </c>
      <c r="F72" s="1" t="s">
        <v>520</v>
      </c>
      <c r="G72" s="1" t="str">
        <f>"0000000307901"</f>
        <v>0000000307901</v>
      </c>
      <c r="H72" s="1" t="s">
        <v>32</v>
      </c>
      <c r="I72" s="1" t="s">
        <v>193</v>
      </c>
      <c r="J72" s="1" t="s">
        <v>521</v>
      </c>
      <c r="K72" s="1" t="s">
        <v>21</v>
      </c>
      <c r="L72" s="1" t="s">
        <v>521</v>
      </c>
      <c r="O72" s="3" t="s">
        <v>38</v>
      </c>
      <c r="P72" s="3" t="s">
        <v>13</v>
      </c>
      <c r="Q72" s="3" t="s">
        <v>656</v>
      </c>
      <c r="R72" s="3" t="s">
        <v>657</v>
      </c>
      <c r="S72" s="3" t="s">
        <v>658</v>
      </c>
      <c r="T72" s="3" t="s">
        <v>659</v>
      </c>
      <c r="U72" s="3" t="s">
        <v>18</v>
      </c>
      <c r="V72" s="3" t="s">
        <v>660</v>
      </c>
      <c r="W72" s="3" t="s">
        <v>661</v>
      </c>
      <c r="X72" s="3" t="s">
        <v>21</v>
      </c>
      <c r="Y72" s="3" t="s">
        <v>661</v>
      </c>
    </row>
    <row r="73" spans="1:25" x14ac:dyDescent="0.25">
      <c r="A73" s="1" t="s">
        <v>1</v>
      </c>
      <c r="B73" s="1" t="s">
        <v>27</v>
      </c>
      <c r="C73" s="1" t="s">
        <v>13</v>
      </c>
      <c r="D73" s="1" t="s">
        <v>164</v>
      </c>
      <c r="E73" s="1" t="s">
        <v>522</v>
      </c>
      <c r="F73" s="1" t="s">
        <v>523</v>
      </c>
      <c r="G73" s="1" t="str">
        <f>"0000000141673"</f>
        <v>0000000141673</v>
      </c>
      <c r="H73" s="1" t="s">
        <v>32</v>
      </c>
      <c r="I73" s="1" t="s">
        <v>193</v>
      </c>
      <c r="J73" s="1" t="s">
        <v>524</v>
      </c>
      <c r="K73" s="1" t="s">
        <v>21</v>
      </c>
      <c r="L73" s="1" t="s">
        <v>524</v>
      </c>
      <c r="N73" s="3" t="s">
        <v>1</v>
      </c>
      <c r="O73" s="3" t="s">
        <v>27</v>
      </c>
      <c r="P73" s="3" t="s">
        <v>13</v>
      </c>
      <c r="Q73" s="3" t="s">
        <v>164</v>
      </c>
      <c r="R73" s="3" t="s">
        <v>489</v>
      </c>
      <c r="S73" s="3" t="s">
        <v>490</v>
      </c>
      <c r="T73" s="3" t="s">
        <v>491</v>
      </c>
      <c r="U73" s="3" t="s">
        <v>32</v>
      </c>
      <c r="V73" s="3" t="s">
        <v>193</v>
      </c>
      <c r="W73" s="3" t="s">
        <v>617</v>
      </c>
      <c r="X73" s="3" t="s">
        <v>21</v>
      </c>
      <c r="Y73" s="3" t="s">
        <v>617</v>
      </c>
    </row>
    <row r="74" spans="1:25" x14ac:dyDescent="0.25">
      <c r="A74" s="1" t="s">
        <v>1</v>
      </c>
      <c r="B74" s="1" t="s">
        <v>27</v>
      </c>
      <c r="C74" s="1" t="s">
        <v>13</v>
      </c>
      <c r="D74" s="1" t="s">
        <v>164</v>
      </c>
      <c r="E74" s="1" t="s">
        <v>525</v>
      </c>
      <c r="F74" s="1" t="s">
        <v>526</v>
      </c>
      <c r="G74" s="1" t="str">
        <f>"0000000383608"</f>
        <v>0000000383608</v>
      </c>
      <c r="H74" s="1" t="s">
        <v>32</v>
      </c>
      <c r="I74" s="1" t="s">
        <v>193</v>
      </c>
      <c r="J74" s="1" t="s">
        <v>527</v>
      </c>
      <c r="K74" s="1" t="s">
        <v>21</v>
      </c>
      <c r="L74" s="1" t="s">
        <v>527</v>
      </c>
      <c r="N74" s="3" t="s">
        <v>1</v>
      </c>
      <c r="O74" s="3" t="s">
        <v>27</v>
      </c>
      <c r="P74" s="3" t="s">
        <v>13</v>
      </c>
      <c r="Q74" s="3" t="s">
        <v>164</v>
      </c>
      <c r="R74" s="3" t="s">
        <v>493</v>
      </c>
      <c r="S74" s="3" t="s">
        <v>494</v>
      </c>
      <c r="T74" s="3" t="s">
        <v>495</v>
      </c>
      <c r="U74" s="3" t="s">
        <v>32</v>
      </c>
      <c r="V74" s="3" t="s">
        <v>162</v>
      </c>
      <c r="W74" s="3" t="s">
        <v>618</v>
      </c>
      <c r="X74" s="3" t="s">
        <v>21</v>
      </c>
      <c r="Y74" s="3" t="s">
        <v>618</v>
      </c>
    </row>
    <row r="75" spans="1:25" x14ac:dyDescent="0.25">
      <c r="A75" s="1" t="s">
        <v>1</v>
      </c>
      <c r="B75" s="1" t="s">
        <v>27</v>
      </c>
      <c r="C75" s="1" t="s">
        <v>13</v>
      </c>
      <c r="D75" s="1" t="s">
        <v>164</v>
      </c>
      <c r="E75" s="1" t="s">
        <v>528</v>
      </c>
      <c r="F75" s="1" t="s">
        <v>529</v>
      </c>
      <c r="G75" s="1" t="str">
        <f>"0000000308618"</f>
        <v>0000000308618</v>
      </c>
      <c r="H75" s="1" t="s">
        <v>32</v>
      </c>
      <c r="I75" s="1" t="s">
        <v>193</v>
      </c>
      <c r="J75" s="1" t="s">
        <v>530</v>
      </c>
      <c r="K75" s="1" t="s">
        <v>21</v>
      </c>
      <c r="L75" s="1" t="s">
        <v>530</v>
      </c>
      <c r="N75" s="3" t="s">
        <v>1</v>
      </c>
      <c r="O75" s="3" t="s">
        <v>27</v>
      </c>
      <c r="P75" s="3" t="s">
        <v>13</v>
      </c>
      <c r="Q75" s="3" t="s">
        <v>164</v>
      </c>
      <c r="R75" s="3" t="s">
        <v>497</v>
      </c>
      <c r="S75" s="3" t="s">
        <v>498</v>
      </c>
      <c r="T75" s="3" t="s">
        <v>499</v>
      </c>
      <c r="U75" s="3" t="s">
        <v>32</v>
      </c>
      <c r="V75" s="3" t="s">
        <v>193</v>
      </c>
      <c r="W75" s="3" t="s">
        <v>500</v>
      </c>
      <c r="X75" s="3" t="s">
        <v>21</v>
      </c>
      <c r="Y75" s="3" t="s">
        <v>500</v>
      </c>
    </row>
    <row r="76" spans="1:25" x14ac:dyDescent="0.25">
      <c r="A76" s="1" t="s">
        <v>1</v>
      </c>
      <c r="B76" s="1" t="s">
        <v>27</v>
      </c>
      <c r="C76" s="1" t="s">
        <v>13</v>
      </c>
      <c r="D76" s="1" t="s">
        <v>164</v>
      </c>
      <c r="E76" s="1" t="s">
        <v>531</v>
      </c>
      <c r="F76" s="1" t="s">
        <v>532</v>
      </c>
      <c r="G76" s="1" t="str">
        <f>"0000000426275"</f>
        <v>0000000426275</v>
      </c>
      <c r="H76" s="1" t="s">
        <v>32</v>
      </c>
      <c r="I76" s="1" t="s">
        <v>193</v>
      </c>
      <c r="J76" s="1" t="s">
        <v>533</v>
      </c>
      <c r="K76" s="1" t="s">
        <v>21</v>
      </c>
      <c r="L76" s="1" t="s">
        <v>533</v>
      </c>
      <c r="N76" s="3" t="s">
        <v>1</v>
      </c>
      <c r="O76" s="3" t="s">
        <v>27</v>
      </c>
      <c r="P76" s="3" t="s">
        <v>13</v>
      </c>
      <c r="Q76" s="3" t="s">
        <v>164</v>
      </c>
      <c r="R76" s="3" t="s">
        <v>501</v>
      </c>
      <c r="S76" s="3" t="s">
        <v>502</v>
      </c>
      <c r="T76" s="3" t="str">
        <f>"0000000232081"</f>
        <v>0000000232081</v>
      </c>
      <c r="U76" s="3" t="s">
        <v>32</v>
      </c>
      <c r="V76" s="3" t="s">
        <v>193</v>
      </c>
      <c r="W76" s="3" t="s">
        <v>619</v>
      </c>
      <c r="X76" s="3" t="s">
        <v>21</v>
      </c>
      <c r="Y76" s="3" t="s">
        <v>619</v>
      </c>
    </row>
    <row r="77" spans="1:25" x14ac:dyDescent="0.25">
      <c r="A77" s="1" t="s">
        <v>1</v>
      </c>
      <c r="B77" s="1" t="s">
        <v>27</v>
      </c>
      <c r="C77" s="1" t="s">
        <v>13</v>
      </c>
      <c r="D77" s="1" t="s">
        <v>185</v>
      </c>
      <c r="E77" s="1" t="s">
        <v>534</v>
      </c>
      <c r="F77" s="1" t="s">
        <v>535</v>
      </c>
      <c r="G77" s="1" t="s">
        <v>536</v>
      </c>
      <c r="H77" s="1" t="s">
        <v>32</v>
      </c>
      <c r="I77" s="1" t="s">
        <v>193</v>
      </c>
      <c r="J77" s="1" t="s">
        <v>537</v>
      </c>
      <c r="K77" s="1" t="s">
        <v>21</v>
      </c>
      <c r="L77" s="1" t="s">
        <v>537</v>
      </c>
      <c r="N77" s="3" t="s">
        <v>1</v>
      </c>
      <c r="O77" s="3" t="s">
        <v>27</v>
      </c>
      <c r="P77" s="3" t="s">
        <v>13</v>
      </c>
      <c r="Q77" s="3" t="s">
        <v>164</v>
      </c>
      <c r="R77" s="3" t="s">
        <v>504</v>
      </c>
      <c r="S77" s="3" t="s">
        <v>505</v>
      </c>
      <c r="T77" s="3" t="s">
        <v>506</v>
      </c>
      <c r="U77" s="3" t="s">
        <v>32</v>
      </c>
      <c r="V77" s="3" t="s">
        <v>193</v>
      </c>
      <c r="W77" s="3" t="s">
        <v>662</v>
      </c>
      <c r="X77" s="3" t="s">
        <v>21</v>
      </c>
      <c r="Y77" s="3" t="s">
        <v>662</v>
      </c>
    </row>
    <row r="78" spans="1:25" x14ac:dyDescent="0.25">
      <c r="A78" s="1" t="s">
        <v>1</v>
      </c>
      <c r="B78" s="1" t="s">
        <v>27</v>
      </c>
      <c r="C78" s="1" t="s">
        <v>13</v>
      </c>
      <c r="D78" s="1" t="s">
        <v>185</v>
      </c>
      <c r="E78" s="1" t="s">
        <v>538</v>
      </c>
      <c r="F78" s="1" t="s">
        <v>539</v>
      </c>
      <c r="G78" s="1" t="s">
        <v>540</v>
      </c>
      <c r="H78" s="1" t="s">
        <v>32</v>
      </c>
      <c r="I78" s="1" t="s">
        <v>193</v>
      </c>
      <c r="J78" s="1" t="s">
        <v>541</v>
      </c>
      <c r="K78" s="1" t="s">
        <v>21</v>
      </c>
      <c r="L78" s="1" t="s">
        <v>541</v>
      </c>
      <c r="N78" s="3" t="s">
        <v>1</v>
      </c>
      <c r="O78" s="3" t="s">
        <v>27</v>
      </c>
      <c r="P78" s="3" t="s">
        <v>13</v>
      </c>
      <c r="Q78" s="3" t="s">
        <v>164</v>
      </c>
      <c r="R78" s="3" t="s">
        <v>508</v>
      </c>
      <c r="S78" s="3" t="s">
        <v>509</v>
      </c>
      <c r="T78" s="3" t="s">
        <v>510</v>
      </c>
      <c r="U78" s="3" t="s">
        <v>32</v>
      </c>
      <c r="V78" s="3" t="s">
        <v>193</v>
      </c>
      <c r="W78" s="3" t="s">
        <v>620</v>
      </c>
      <c r="X78" s="3" t="s">
        <v>21</v>
      </c>
      <c r="Y78" s="3" t="s">
        <v>620</v>
      </c>
    </row>
    <row r="79" spans="1:25" x14ac:dyDescent="0.25">
      <c r="A79" s="1" t="s">
        <v>1</v>
      </c>
      <c r="B79" s="1" t="s">
        <v>27</v>
      </c>
      <c r="C79" s="1" t="s">
        <v>13</v>
      </c>
      <c r="D79" s="1" t="s">
        <v>185</v>
      </c>
      <c r="E79" s="1" t="s">
        <v>542</v>
      </c>
      <c r="F79" s="1" t="s">
        <v>543</v>
      </c>
      <c r="G79" s="1" t="str">
        <f>"0000000309479"</f>
        <v>0000000309479</v>
      </c>
      <c r="H79" s="1" t="s">
        <v>32</v>
      </c>
      <c r="I79" s="1" t="s">
        <v>193</v>
      </c>
      <c r="J79" s="1" t="s">
        <v>544</v>
      </c>
      <c r="K79" s="1" t="s">
        <v>21</v>
      </c>
      <c r="L79" s="1" t="s">
        <v>544</v>
      </c>
      <c r="N79" s="3" t="s">
        <v>1</v>
      </c>
      <c r="O79" s="3" t="s">
        <v>27</v>
      </c>
      <c r="P79" s="3" t="s">
        <v>13</v>
      </c>
      <c r="Q79" s="3" t="s">
        <v>164</v>
      </c>
      <c r="R79" s="3" t="s">
        <v>663</v>
      </c>
      <c r="S79" s="3" t="s">
        <v>664</v>
      </c>
      <c r="T79" s="3" t="str">
        <f>"0000000308656"</f>
        <v>0000000308656</v>
      </c>
      <c r="U79" s="3" t="s">
        <v>32</v>
      </c>
      <c r="V79" s="3" t="s">
        <v>193</v>
      </c>
      <c r="W79" s="3" t="s">
        <v>665</v>
      </c>
      <c r="X79" s="3" t="s">
        <v>21</v>
      </c>
      <c r="Y79" s="3" t="s">
        <v>665</v>
      </c>
    </row>
    <row r="80" spans="1:25" x14ac:dyDescent="0.25">
      <c r="A80" s="1" t="s">
        <v>1</v>
      </c>
      <c r="B80" s="1" t="s">
        <v>38</v>
      </c>
      <c r="C80" s="1" t="s">
        <v>13</v>
      </c>
      <c r="D80" s="1" t="s">
        <v>185</v>
      </c>
      <c r="E80" s="1" t="s">
        <v>545</v>
      </c>
      <c r="F80" s="1" t="s">
        <v>546</v>
      </c>
      <c r="G80" s="1" t="s">
        <v>547</v>
      </c>
      <c r="H80" s="1" t="s">
        <v>32</v>
      </c>
      <c r="I80" s="1" t="s">
        <v>193</v>
      </c>
      <c r="J80" s="1" t="s">
        <v>548</v>
      </c>
      <c r="K80" s="1" t="s">
        <v>21</v>
      </c>
      <c r="L80" s="1" t="s">
        <v>548</v>
      </c>
      <c r="N80" s="3" t="s">
        <v>1</v>
      </c>
      <c r="O80" s="3" t="s">
        <v>27</v>
      </c>
      <c r="P80" s="3" t="s">
        <v>13</v>
      </c>
      <c r="Q80" s="3" t="s">
        <v>164</v>
      </c>
      <c r="R80" s="3" t="s">
        <v>512</v>
      </c>
      <c r="S80" s="3" t="s">
        <v>513</v>
      </c>
      <c r="T80" s="3" t="s">
        <v>514</v>
      </c>
      <c r="U80" s="3" t="s">
        <v>32</v>
      </c>
      <c r="V80" s="3" t="s">
        <v>193</v>
      </c>
      <c r="W80" s="3" t="s">
        <v>515</v>
      </c>
      <c r="X80" s="3" t="s">
        <v>21</v>
      </c>
      <c r="Y80" s="3" t="s">
        <v>515</v>
      </c>
    </row>
    <row r="81" spans="1:43" x14ac:dyDescent="0.25">
      <c r="A81" s="1" t="s">
        <v>1</v>
      </c>
      <c r="B81" s="1" t="s">
        <v>12</v>
      </c>
      <c r="C81" s="1" t="s">
        <v>13</v>
      </c>
      <c r="D81" s="1" t="s">
        <v>185</v>
      </c>
      <c r="E81" s="1" t="s">
        <v>549</v>
      </c>
      <c r="F81" s="1" t="s">
        <v>550</v>
      </c>
      <c r="G81" s="1" t="s">
        <v>551</v>
      </c>
      <c r="H81" s="1" t="s">
        <v>32</v>
      </c>
      <c r="I81" s="1" t="s">
        <v>193</v>
      </c>
      <c r="J81" s="1" t="s">
        <v>552</v>
      </c>
      <c r="K81" s="1" t="s">
        <v>21</v>
      </c>
      <c r="L81" s="1" t="s">
        <v>552</v>
      </c>
      <c r="N81" s="3" t="s">
        <v>1</v>
      </c>
      <c r="O81" s="3" t="s">
        <v>27</v>
      </c>
      <c r="P81" s="3" t="s">
        <v>13</v>
      </c>
      <c r="Q81" s="3" t="s">
        <v>164</v>
      </c>
      <c r="R81" s="3" t="s">
        <v>666</v>
      </c>
      <c r="S81" s="3" t="s">
        <v>667</v>
      </c>
      <c r="T81" s="3" t="str">
        <f>"0000000079068"</f>
        <v>0000000079068</v>
      </c>
      <c r="U81" s="3" t="s">
        <v>32</v>
      </c>
      <c r="V81" s="3" t="s">
        <v>162</v>
      </c>
      <c r="W81" s="3" t="s">
        <v>668</v>
      </c>
      <c r="X81" s="3" t="s">
        <v>21</v>
      </c>
      <c r="Y81" s="3" t="s">
        <v>668</v>
      </c>
    </row>
    <row r="82" spans="1:43" x14ac:dyDescent="0.25">
      <c r="A82" s="1" t="s">
        <v>1</v>
      </c>
      <c r="B82" s="1" t="s">
        <v>27</v>
      </c>
      <c r="C82" s="1" t="s">
        <v>13</v>
      </c>
      <c r="D82" s="1" t="s">
        <v>185</v>
      </c>
      <c r="E82" s="1" t="s">
        <v>553</v>
      </c>
      <c r="F82" s="1" t="s">
        <v>554</v>
      </c>
      <c r="G82" s="1" t="s">
        <v>555</v>
      </c>
      <c r="H82" s="1" t="s">
        <v>32</v>
      </c>
      <c r="I82" s="1" t="s">
        <v>193</v>
      </c>
      <c r="J82" s="1" t="s">
        <v>556</v>
      </c>
      <c r="K82" s="1" t="s">
        <v>21</v>
      </c>
      <c r="L82" s="1" t="s">
        <v>556</v>
      </c>
      <c r="N82" s="3" t="s">
        <v>1</v>
      </c>
      <c r="O82" s="3" t="s">
        <v>27</v>
      </c>
      <c r="P82" s="3" t="s">
        <v>13</v>
      </c>
      <c r="Q82" s="3" t="s">
        <v>164</v>
      </c>
      <c r="R82" s="3" t="s">
        <v>519</v>
      </c>
      <c r="S82" s="3" t="s">
        <v>520</v>
      </c>
      <c r="T82" s="3" t="str">
        <f>"0000000307901"</f>
        <v>0000000307901</v>
      </c>
      <c r="U82" s="3" t="s">
        <v>32</v>
      </c>
      <c r="V82" s="3" t="s">
        <v>193</v>
      </c>
      <c r="W82" s="3" t="s">
        <v>621</v>
      </c>
      <c r="X82" s="3" t="s">
        <v>21</v>
      </c>
      <c r="Y82" s="3" t="s">
        <v>621</v>
      </c>
    </row>
    <row r="83" spans="1:43" x14ac:dyDescent="0.25">
      <c r="A83" s="1" t="s">
        <v>1</v>
      </c>
      <c r="B83" s="1" t="s">
        <v>27</v>
      </c>
      <c r="C83" s="1" t="s">
        <v>13</v>
      </c>
      <c r="D83" s="1" t="s">
        <v>185</v>
      </c>
      <c r="E83" s="1" t="s">
        <v>557</v>
      </c>
      <c r="F83" s="1" t="s">
        <v>558</v>
      </c>
      <c r="G83" s="1" t="s">
        <v>559</v>
      </c>
      <c r="H83" s="1" t="s">
        <v>32</v>
      </c>
      <c r="I83" s="1" t="s">
        <v>193</v>
      </c>
      <c r="J83" s="1" t="s">
        <v>560</v>
      </c>
      <c r="K83" s="1" t="s">
        <v>21</v>
      </c>
      <c r="L83" s="1" t="s">
        <v>560</v>
      </c>
      <c r="N83" s="3" t="s">
        <v>1</v>
      </c>
      <c r="O83" s="3" t="s">
        <v>27</v>
      </c>
      <c r="P83" s="3" t="s">
        <v>13</v>
      </c>
      <c r="Q83" s="3" t="s">
        <v>164</v>
      </c>
      <c r="R83" s="3" t="s">
        <v>522</v>
      </c>
      <c r="S83" s="3" t="s">
        <v>523</v>
      </c>
      <c r="T83" s="3" t="str">
        <f>"0000000141673"</f>
        <v>0000000141673</v>
      </c>
      <c r="U83" s="3" t="s">
        <v>32</v>
      </c>
      <c r="V83" s="3" t="s">
        <v>193</v>
      </c>
      <c r="W83" s="3" t="s">
        <v>524</v>
      </c>
      <c r="X83" s="3" t="s">
        <v>21</v>
      </c>
      <c r="Y83" s="3" t="s">
        <v>524</v>
      </c>
    </row>
    <row r="84" spans="1:43" x14ac:dyDescent="0.25">
      <c r="A84" s="1" t="s">
        <v>1</v>
      </c>
      <c r="B84" s="1" t="s">
        <v>27</v>
      </c>
      <c r="C84" s="1" t="s">
        <v>13</v>
      </c>
      <c r="D84" s="1" t="s">
        <v>185</v>
      </c>
      <c r="E84" s="1" t="s">
        <v>561</v>
      </c>
      <c r="F84" s="1" t="s">
        <v>562</v>
      </c>
      <c r="G84" s="1" t="s">
        <v>563</v>
      </c>
      <c r="H84" s="1" t="s">
        <v>32</v>
      </c>
      <c r="I84" s="1" t="s">
        <v>193</v>
      </c>
      <c r="J84" s="1" t="s">
        <v>564</v>
      </c>
      <c r="K84" s="1" t="s">
        <v>21</v>
      </c>
      <c r="L84" s="1" t="s">
        <v>564</v>
      </c>
      <c r="N84" s="3" t="s">
        <v>1</v>
      </c>
      <c r="O84" s="3" t="s">
        <v>27</v>
      </c>
      <c r="P84" s="3" t="s">
        <v>13</v>
      </c>
      <c r="Q84" s="3" t="s">
        <v>164</v>
      </c>
      <c r="R84" s="3" t="s">
        <v>525</v>
      </c>
      <c r="S84" s="3" t="s">
        <v>526</v>
      </c>
      <c r="T84" s="3" t="str">
        <f>"0000000383608"</f>
        <v>0000000383608</v>
      </c>
      <c r="U84" s="3" t="s">
        <v>32</v>
      </c>
      <c r="V84" s="3" t="s">
        <v>193</v>
      </c>
      <c r="W84" s="3" t="s">
        <v>527</v>
      </c>
      <c r="X84" s="3" t="s">
        <v>21</v>
      </c>
      <c r="Y84" s="3" t="s">
        <v>527</v>
      </c>
    </row>
    <row r="85" spans="1:43" x14ac:dyDescent="0.25">
      <c r="A85" s="1" t="s">
        <v>1</v>
      </c>
      <c r="B85" s="1" t="s">
        <v>27</v>
      </c>
      <c r="C85" s="1" t="s">
        <v>13</v>
      </c>
      <c r="D85" s="1" t="s">
        <v>185</v>
      </c>
      <c r="E85" s="1" t="s">
        <v>565</v>
      </c>
      <c r="F85" s="1" t="s">
        <v>566</v>
      </c>
      <c r="G85" s="1" t="str">
        <f>"0000000228237"</f>
        <v>0000000228237</v>
      </c>
      <c r="H85" s="1" t="s">
        <v>32</v>
      </c>
      <c r="I85" s="1" t="s">
        <v>193</v>
      </c>
      <c r="J85" s="1" t="s">
        <v>567</v>
      </c>
      <c r="K85" s="1" t="s">
        <v>21</v>
      </c>
      <c r="L85" s="1" t="s">
        <v>567</v>
      </c>
      <c r="N85" s="3" t="s">
        <v>1</v>
      </c>
      <c r="O85" s="3" t="s">
        <v>27</v>
      </c>
      <c r="P85" s="3" t="s">
        <v>13</v>
      </c>
      <c r="Q85" s="3" t="s">
        <v>164</v>
      </c>
      <c r="R85" s="3" t="s">
        <v>528</v>
      </c>
      <c r="S85" s="3" t="s">
        <v>529</v>
      </c>
      <c r="T85" s="3" t="str">
        <f>"0000000308618"</f>
        <v>0000000308618</v>
      </c>
      <c r="U85" s="3" t="s">
        <v>32</v>
      </c>
      <c r="V85" s="3" t="s">
        <v>193</v>
      </c>
      <c r="W85" s="3" t="s">
        <v>669</v>
      </c>
      <c r="X85" s="3" t="s">
        <v>21</v>
      </c>
      <c r="Y85" s="3" t="s">
        <v>669</v>
      </c>
    </row>
    <row r="86" spans="1:43" x14ac:dyDescent="0.25">
      <c r="A86" s="1" t="s">
        <v>1</v>
      </c>
      <c r="B86" s="1" t="s">
        <v>38</v>
      </c>
      <c r="C86" s="1" t="s">
        <v>13</v>
      </c>
      <c r="D86" s="1" t="s">
        <v>185</v>
      </c>
      <c r="E86" s="1" t="s">
        <v>568</v>
      </c>
      <c r="F86" s="1" t="s">
        <v>569</v>
      </c>
      <c r="G86" s="1" t="str">
        <f>"0000000228244"</f>
        <v>0000000228244</v>
      </c>
      <c r="H86" s="1" t="s">
        <v>32</v>
      </c>
      <c r="I86" s="1" t="s">
        <v>193</v>
      </c>
      <c r="J86" s="1" t="s">
        <v>570</v>
      </c>
      <c r="K86" s="1" t="s">
        <v>21</v>
      </c>
      <c r="L86" s="1" t="s">
        <v>570</v>
      </c>
      <c r="N86" s="3" t="s">
        <v>1</v>
      </c>
      <c r="O86" s="3" t="s">
        <v>27</v>
      </c>
      <c r="P86" s="3" t="s">
        <v>13</v>
      </c>
      <c r="Q86" s="3" t="s">
        <v>185</v>
      </c>
      <c r="R86" s="3" t="s">
        <v>534</v>
      </c>
      <c r="S86" s="3" t="s">
        <v>535</v>
      </c>
      <c r="T86" s="3" t="s">
        <v>536</v>
      </c>
      <c r="U86" s="3" t="s">
        <v>32</v>
      </c>
      <c r="V86" s="3" t="s">
        <v>193</v>
      </c>
      <c r="W86" s="3" t="s">
        <v>537</v>
      </c>
      <c r="X86" s="3" t="s">
        <v>21</v>
      </c>
      <c r="Y86" s="3" t="s">
        <v>537</v>
      </c>
    </row>
    <row r="87" spans="1:43" x14ac:dyDescent="0.25">
      <c r="A87" s="1" t="s">
        <v>1</v>
      </c>
      <c r="B87" s="1" t="s">
        <v>27</v>
      </c>
      <c r="C87" s="1" t="s">
        <v>13</v>
      </c>
      <c r="D87" s="1" t="s">
        <v>185</v>
      </c>
      <c r="E87" s="1" t="s">
        <v>571</v>
      </c>
      <c r="F87" s="1" t="s">
        <v>572</v>
      </c>
      <c r="G87" s="1" t="str">
        <f>"0000000383615"</f>
        <v>0000000383615</v>
      </c>
      <c r="H87" s="1" t="s">
        <v>32</v>
      </c>
      <c r="I87" s="1" t="s">
        <v>193</v>
      </c>
      <c r="J87" s="1" t="s">
        <v>573</v>
      </c>
      <c r="K87" s="1" t="s">
        <v>21</v>
      </c>
      <c r="L87" s="1" t="s">
        <v>573</v>
      </c>
      <c r="N87" s="3" t="s">
        <v>1</v>
      </c>
      <c r="O87" s="3" t="s">
        <v>27</v>
      </c>
      <c r="P87" s="3" t="s">
        <v>13</v>
      </c>
      <c r="Q87" s="3" t="s">
        <v>185</v>
      </c>
      <c r="R87" s="3" t="s">
        <v>538</v>
      </c>
      <c r="S87" s="3" t="s">
        <v>539</v>
      </c>
      <c r="T87" s="3" t="s">
        <v>540</v>
      </c>
      <c r="U87" s="3" t="s">
        <v>32</v>
      </c>
      <c r="V87" s="3" t="s">
        <v>193</v>
      </c>
      <c r="W87" s="3" t="s">
        <v>541</v>
      </c>
      <c r="X87" s="3" t="s">
        <v>21</v>
      </c>
      <c r="Y87" s="3" t="s">
        <v>541</v>
      </c>
      <c r="AQ87" t="s">
        <v>670</v>
      </c>
    </row>
    <row r="88" spans="1:43" x14ac:dyDescent="0.25">
      <c r="B88" s="1" t="s">
        <v>38</v>
      </c>
      <c r="C88" s="1" t="s">
        <v>13</v>
      </c>
      <c r="D88" s="1" t="s">
        <v>574</v>
      </c>
      <c r="E88" s="1" t="s">
        <v>575</v>
      </c>
      <c r="F88" s="1" t="s">
        <v>576</v>
      </c>
      <c r="G88" s="1" t="s">
        <v>577</v>
      </c>
      <c r="H88" s="1" t="s">
        <v>217</v>
      </c>
      <c r="I88" s="1" t="s">
        <v>218</v>
      </c>
      <c r="J88" s="1" t="s">
        <v>280</v>
      </c>
      <c r="K88" s="1" t="s">
        <v>21</v>
      </c>
      <c r="L88" s="1" t="s">
        <v>280</v>
      </c>
      <c r="N88" s="3" t="s">
        <v>1</v>
      </c>
      <c r="O88" s="3" t="s">
        <v>27</v>
      </c>
      <c r="P88" s="3" t="s">
        <v>13</v>
      </c>
      <c r="Q88" s="3" t="s">
        <v>185</v>
      </c>
      <c r="R88" s="3" t="s">
        <v>542</v>
      </c>
      <c r="S88" s="3" t="s">
        <v>543</v>
      </c>
      <c r="T88" s="3" t="str">
        <f>"0000000309479"</f>
        <v>0000000309479</v>
      </c>
      <c r="U88" s="3" t="s">
        <v>32</v>
      </c>
      <c r="V88" s="3" t="s">
        <v>193</v>
      </c>
      <c r="W88" s="3" t="s">
        <v>544</v>
      </c>
      <c r="X88" s="3" t="s">
        <v>21</v>
      </c>
      <c r="Y88" s="3" t="s">
        <v>544</v>
      </c>
    </row>
    <row r="89" spans="1:43" x14ac:dyDescent="0.25">
      <c r="B89" s="1" t="s">
        <v>578</v>
      </c>
      <c r="C89" s="1" t="s">
        <v>13</v>
      </c>
      <c r="D89" s="1" t="s">
        <v>221</v>
      </c>
      <c r="E89" s="1" t="s">
        <v>579</v>
      </c>
      <c r="F89" s="1" t="s">
        <v>580</v>
      </c>
      <c r="G89" s="1" t="s">
        <v>581</v>
      </c>
      <c r="H89" s="1" t="s">
        <v>217</v>
      </c>
      <c r="I89" s="1" t="s">
        <v>218</v>
      </c>
      <c r="J89" s="1" t="s">
        <v>582</v>
      </c>
      <c r="K89" s="1" t="s">
        <v>21</v>
      </c>
      <c r="L89" s="1" t="s">
        <v>582</v>
      </c>
      <c r="N89" s="3" t="s">
        <v>1</v>
      </c>
      <c r="O89" s="3" t="s">
        <v>38</v>
      </c>
      <c r="P89" s="3" t="s">
        <v>13</v>
      </c>
      <c r="Q89" s="3" t="s">
        <v>185</v>
      </c>
      <c r="R89" s="3" t="s">
        <v>545</v>
      </c>
      <c r="S89" s="3" t="s">
        <v>546</v>
      </c>
      <c r="T89" s="3" t="s">
        <v>547</v>
      </c>
      <c r="U89" s="3" t="s">
        <v>32</v>
      </c>
      <c r="V89" s="3" t="s">
        <v>193</v>
      </c>
      <c r="W89" s="3" t="s">
        <v>548</v>
      </c>
      <c r="X89" s="3" t="s">
        <v>21</v>
      </c>
      <c r="Y89" s="3" t="s">
        <v>548</v>
      </c>
    </row>
    <row r="90" spans="1:43" x14ac:dyDescent="0.25">
      <c r="B90" s="1" t="s">
        <v>583</v>
      </c>
      <c r="C90" s="1" t="s">
        <v>312</v>
      </c>
      <c r="D90" s="1" t="s">
        <v>584</v>
      </c>
      <c r="E90" s="1" t="s">
        <v>585</v>
      </c>
      <c r="F90" s="1" t="s">
        <v>586</v>
      </c>
      <c r="G90" s="1" t="s">
        <v>587</v>
      </c>
      <c r="H90" s="1" t="s">
        <v>217</v>
      </c>
      <c r="I90" s="1" t="s">
        <v>584</v>
      </c>
      <c r="J90" s="1" t="s">
        <v>588</v>
      </c>
      <c r="K90" s="1" t="s">
        <v>21</v>
      </c>
      <c r="L90" s="1" t="s">
        <v>588</v>
      </c>
      <c r="N90" s="3" t="s">
        <v>1</v>
      </c>
      <c r="O90" s="3" t="s">
        <v>12</v>
      </c>
      <c r="P90" s="3" t="s">
        <v>13</v>
      </c>
      <c r="Q90" s="3" t="s">
        <v>185</v>
      </c>
      <c r="R90" s="3" t="s">
        <v>549</v>
      </c>
      <c r="S90" s="3" t="s">
        <v>550</v>
      </c>
      <c r="T90" s="3" t="s">
        <v>551</v>
      </c>
      <c r="U90" s="3" t="s">
        <v>32</v>
      </c>
      <c r="V90" s="3" t="s">
        <v>193</v>
      </c>
      <c r="W90" s="3" t="s">
        <v>671</v>
      </c>
      <c r="X90" s="3" t="s">
        <v>21</v>
      </c>
      <c r="Y90" s="3" t="s">
        <v>671</v>
      </c>
    </row>
    <row r="91" spans="1:43" x14ac:dyDescent="0.25">
      <c r="B91" s="1" t="s">
        <v>22</v>
      </c>
      <c r="C91" s="1" t="s">
        <v>13</v>
      </c>
      <c r="D91" s="1" t="s">
        <v>589</v>
      </c>
      <c r="E91" s="1" t="s">
        <v>590</v>
      </c>
      <c r="F91" s="1" t="s">
        <v>591</v>
      </c>
      <c r="G91" s="1" t="s">
        <v>592</v>
      </c>
      <c r="H91" s="1" t="s">
        <v>406</v>
      </c>
      <c r="I91" s="1" t="s">
        <v>407</v>
      </c>
      <c r="J91" s="1" t="s">
        <v>593</v>
      </c>
      <c r="K91" s="1" t="s">
        <v>21</v>
      </c>
      <c r="L91" s="1" t="s">
        <v>593</v>
      </c>
      <c r="N91" s="3" t="s">
        <v>1</v>
      </c>
      <c r="O91" s="3" t="s">
        <v>27</v>
      </c>
      <c r="P91" s="3" t="s">
        <v>13</v>
      </c>
      <c r="Q91" s="3" t="s">
        <v>185</v>
      </c>
      <c r="R91" s="3" t="s">
        <v>553</v>
      </c>
      <c r="S91" s="3" t="s">
        <v>554</v>
      </c>
      <c r="T91" s="3" t="s">
        <v>555</v>
      </c>
      <c r="U91" s="3" t="s">
        <v>32</v>
      </c>
      <c r="V91" s="3" t="s">
        <v>193</v>
      </c>
      <c r="W91" s="3" t="s">
        <v>556</v>
      </c>
      <c r="X91" s="3" t="s">
        <v>21</v>
      </c>
      <c r="Y91" s="3" t="s">
        <v>556</v>
      </c>
    </row>
    <row r="92" spans="1:43" x14ac:dyDescent="0.25">
      <c r="B92" s="1" t="s">
        <v>27</v>
      </c>
      <c r="C92" s="1" t="s">
        <v>13</v>
      </c>
      <c r="D92" s="1" t="s">
        <v>285</v>
      </c>
      <c r="E92" s="1" t="s">
        <v>286</v>
      </c>
      <c r="F92" s="1" t="s">
        <v>287</v>
      </c>
      <c r="G92" s="1" t="str">
        <f>"0000000420631"</f>
        <v>0000000420631</v>
      </c>
      <c r="H92" s="1" t="s">
        <v>217</v>
      </c>
      <c r="I92" s="1" t="s">
        <v>288</v>
      </c>
      <c r="J92" s="1" t="s">
        <v>289</v>
      </c>
      <c r="K92" s="1" t="s">
        <v>21</v>
      </c>
      <c r="L92" s="1" t="s">
        <v>289</v>
      </c>
      <c r="N92" s="3" t="s">
        <v>1</v>
      </c>
      <c r="O92" s="3" t="s">
        <v>27</v>
      </c>
      <c r="P92" s="3" t="s">
        <v>13</v>
      </c>
      <c r="Q92" s="3" t="s">
        <v>185</v>
      </c>
      <c r="R92" s="3" t="s">
        <v>557</v>
      </c>
      <c r="S92" s="3" t="s">
        <v>558</v>
      </c>
      <c r="T92" s="3" t="s">
        <v>559</v>
      </c>
      <c r="U92" s="3" t="s">
        <v>32</v>
      </c>
      <c r="V92" s="3" t="s">
        <v>193</v>
      </c>
      <c r="W92" s="3" t="s">
        <v>672</v>
      </c>
      <c r="X92" s="3" t="s">
        <v>21</v>
      </c>
      <c r="Y92" s="3" t="s">
        <v>672</v>
      </c>
    </row>
    <row r="93" spans="1:43" x14ac:dyDescent="0.25">
      <c r="B93" s="1" t="s">
        <v>27</v>
      </c>
      <c r="C93" s="1" t="s">
        <v>13</v>
      </c>
      <c r="D93" s="1" t="s">
        <v>285</v>
      </c>
      <c r="E93" s="1" t="s">
        <v>290</v>
      </c>
      <c r="F93" s="1" t="s">
        <v>291</v>
      </c>
      <c r="G93" s="1" t="str">
        <f>"0000000083232"</f>
        <v>0000000083232</v>
      </c>
      <c r="H93" s="1" t="s">
        <v>217</v>
      </c>
      <c r="I93" s="1" t="s">
        <v>288</v>
      </c>
      <c r="J93" s="1" t="s">
        <v>121</v>
      </c>
      <c r="K93" s="1" t="s">
        <v>21</v>
      </c>
      <c r="L93" s="1" t="s">
        <v>121</v>
      </c>
      <c r="N93" s="3" t="s">
        <v>1</v>
      </c>
      <c r="O93" s="3" t="s">
        <v>27</v>
      </c>
      <c r="P93" s="3" t="s">
        <v>13</v>
      </c>
      <c r="Q93" s="3" t="s">
        <v>185</v>
      </c>
      <c r="R93" s="3" t="s">
        <v>561</v>
      </c>
      <c r="S93" s="3" t="s">
        <v>562</v>
      </c>
      <c r="T93" s="3" t="s">
        <v>563</v>
      </c>
      <c r="U93" s="3" t="s">
        <v>32</v>
      </c>
      <c r="V93" s="3" t="s">
        <v>193</v>
      </c>
      <c r="W93" s="3" t="s">
        <v>673</v>
      </c>
      <c r="X93" s="3" t="s">
        <v>21</v>
      </c>
      <c r="Y93" s="3" t="s">
        <v>673</v>
      </c>
    </row>
    <row r="94" spans="1:43" x14ac:dyDescent="0.25">
      <c r="B94" s="1" t="s">
        <v>27</v>
      </c>
      <c r="C94" s="1" t="s">
        <v>13</v>
      </c>
      <c r="D94" s="1" t="s">
        <v>594</v>
      </c>
      <c r="E94" s="1" t="s">
        <v>595</v>
      </c>
      <c r="F94" s="1" t="s">
        <v>596</v>
      </c>
      <c r="G94" s="1" t="s">
        <v>597</v>
      </c>
      <c r="H94" s="1" t="s">
        <v>217</v>
      </c>
      <c r="I94" s="1" t="s">
        <v>288</v>
      </c>
      <c r="J94" s="1" t="s">
        <v>598</v>
      </c>
      <c r="K94" s="1" t="s">
        <v>21</v>
      </c>
      <c r="L94" s="1" t="s">
        <v>598</v>
      </c>
      <c r="N94" s="3" t="s">
        <v>1</v>
      </c>
      <c r="O94" s="3" t="s">
        <v>27</v>
      </c>
      <c r="P94" s="3" t="s">
        <v>13</v>
      </c>
      <c r="Q94" s="3" t="s">
        <v>185</v>
      </c>
      <c r="R94" s="3" t="s">
        <v>565</v>
      </c>
      <c r="S94" s="3" t="s">
        <v>566</v>
      </c>
      <c r="T94" s="3" t="str">
        <f>"0000000228237"</f>
        <v>0000000228237</v>
      </c>
      <c r="U94" s="3" t="s">
        <v>32</v>
      </c>
      <c r="V94" s="3" t="s">
        <v>193</v>
      </c>
      <c r="W94" s="3" t="s">
        <v>674</v>
      </c>
      <c r="X94" s="3" t="s">
        <v>21</v>
      </c>
      <c r="Y94" s="3" t="s">
        <v>674</v>
      </c>
    </row>
    <row r="95" spans="1:43" x14ac:dyDescent="0.25">
      <c r="B95" s="1" t="s">
        <v>27</v>
      </c>
      <c r="C95" s="1" t="s">
        <v>13</v>
      </c>
      <c r="D95" s="1" t="s">
        <v>594</v>
      </c>
      <c r="E95" s="1" t="s">
        <v>599</v>
      </c>
      <c r="F95" s="1" t="s">
        <v>600</v>
      </c>
      <c r="G95" s="1" t="s">
        <v>601</v>
      </c>
      <c r="H95" s="1" t="s">
        <v>217</v>
      </c>
      <c r="I95" s="1" t="s">
        <v>288</v>
      </c>
      <c r="J95" s="1" t="s">
        <v>602</v>
      </c>
      <c r="K95" s="1" t="s">
        <v>21</v>
      </c>
      <c r="L95" s="1" t="s">
        <v>602</v>
      </c>
      <c r="N95" s="3" t="s">
        <v>1</v>
      </c>
      <c r="O95" s="3" t="s">
        <v>38</v>
      </c>
      <c r="P95" s="3" t="s">
        <v>13</v>
      </c>
      <c r="Q95" s="3" t="s">
        <v>185</v>
      </c>
      <c r="R95" s="3" t="s">
        <v>568</v>
      </c>
      <c r="S95" s="3" t="s">
        <v>569</v>
      </c>
      <c r="T95" s="3" t="str">
        <f>"0000000228244"</f>
        <v>0000000228244</v>
      </c>
      <c r="U95" s="3" t="s">
        <v>32</v>
      </c>
      <c r="V95" s="3" t="s">
        <v>193</v>
      </c>
      <c r="W95" s="3" t="s">
        <v>570</v>
      </c>
      <c r="X95" s="3" t="s">
        <v>21</v>
      </c>
      <c r="Y95" s="3" t="s">
        <v>570</v>
      </c>
    </row>
    <row r="96" spans="1:43" x14ac:dyDescent="0.25">
      <c r="B96" s="1" t="s">
        <v>27</v>
      </c>
      <c r="C96" s="1" t="s">
        <v>13</v>
      </c>
      <c r="D96" s="1" t="s">
        <v>236</v>
      </c>
      <c r="E96" s="1" t="s">
        <v>603</v>
      </c>
      <c r="F96" s="1" t="s">
        <v>604</v>
      </c>
      <c r="G96" s="1" t="s">
        <v>605</v>
      </c>
      <c r="H96" s="1" t="s">
        <v>32</v>
      </c>
      <c r="I96" s="1" t="s">
        <v>193</v>
      </c>
      <c r="J96" s="1" t="s">
        <v>606</v>
      </c>
      <c r="K96" s="1" t="s">
        <v>21</v>
      </c>
      <c r="L96" s="1" t="s">
        <v>606</v>
      </c>
      <c r="N96" s="3" t="s">
        <v>1</v>
      </c>
      <c r="O96" s="3" t="s">
        <v>27</v>
      </c>
      <c r="P96" s="3" t="s">
        <v>13</v>
      </c>
      <c r="Q96" s="3" t="s">
        <v>185</v>
      </c>
      <c r="R96" s="3" t="s">
        <v>675</v>
      </c>
      <c r="S96" s="3" t="s">
        <v>676</v>
      </c>
      <c r="T96" s="3" t="str">
        <f>"0000000308571"</f>
        <v>0000000308571</v>
      </c>
      <c r="U96" s="3" t="s">
        <v>32</v>
      </c>
      <c r="V96" s="3" t="s">
        <v>193</v>
      </c>
      <c r="W96" s="3" t="s">
        <v>677</v>
      </c>
      <c r="X96" s="3" t="s">
        <v>21</v>
      </c>
      <c r="Y96" s="3" t="s">
        <v>677</v>
      </c>
    </row>
    <row r="97" spans="2:25" x14ac:dyDescent="0.25">
      <c r="B97" s="1" t="s">
        <v>27</v>
      </c>
      <c r="C97" s="1" t="s">
        <v>13</v>
      </c>
      <c r="D97" s="1" t="s">
        <v>236</v>
      </c>
      <c r="E97" s="1" t="s">
        <v>607</v>
      </c>
      <c r="F97" s="1" t="s">
        <v>608</v>
      </c>
      <c r="G97" s="1" t="s">
        <v>609</v>
      </c>
      <c r="H97" s="1" t="s">
        <v>32</v>
      </c>
      <c r="I97" s="1" t="s">
        <v>193</v>
      </c>
      <c r="J97" s="1" t="s">
        <v>610</v>
      </c>
      <c r="K97" s="1" t="s">
        <v>21</v>
      </c>
      <c r="L97" s="1" t="s">
        <v>610</v>
      </c>
      <c r="N97" s="3" t="s">
        <v>1</v>
      </c>
      <c r="O97" s="3" t="s">
        <v>27</v>
      </c>
      <c r="P97" s="3" t="s">
        <v>13</v>
      </c>
      <c r="Q97" s="3" t="s">
        <v>185</v>
      </c>
      <c r="R97" s="3" t="s">
        <v>571</v>
      </c>
      <c r="S97" s="3" t="s">
        <v>572</v>
      </c>
      <c r="T97" s="3" t="str">
        <f>"0000000383615"</f>
        <v>0000000383615</v>
      </c>
      <c r="U97" s="3" t="s">
        <v>32</v>
      </c>
      <c r="V97" s="3" t="s">
        <v>193</v>
      </c>
      <c r="W97" s="3" t="s">
        <v>622</v>
      </c>
      <c r="X97" s="3" t="s">
        <v>21</v>
      </c>
      <c r="Y97" s="3" t="s">
        <v>622</v>
      </c>
    </row>
    <row r="98" spans="2:25" x14ac:dyDescent="0.25">
      <c r="B98" s="1" t="s">
        <v>27</v>
      </c>
      <c r="C98" s="1" t="s">
        <v>13</v>
      </c>
      <c r="D98" s="1" t="s">
        <v>236</v>
      </c>
      <c r="E98" s="1" t="s">
        <v>611</v>
      </c>
      <c r="F98" s="1" t="s">
        <v>612</v>
      </c>
      <c r="G98" s="1" t="s">
        <v>613</v>
      </c>
      <c r="H98" s="1" t="s">
        <v>32</v>
      </c>
      <c r="I98" s="1" t="s">
        <v>193</v>
      </c>
      <c r="J98" s="1" t="s">
        <v>614</v>
      </c>
      <c r="K98" s="1" t="s">
        <v>21</v>
      </c>
      <c r="L98" s="1" t="s">
        <v>614</v>
      </c>
      <c r="O98" s="3" t="s">
        <v>38</v>
      </c>
      <c r="P98" s="3" t="s">
        <v>13</v>
      </c>
      <c r="Q98" s="3" t="s">
        <v>574</v>
      </c>
      <c r="R98" s="3" t="s">
        <v>575</v>
      </c>
      <c r="S98" s="3" t="s">
        <v>576</v>
      </c>
      <c r="T98" s="3" t="s">
        <v>577</v>
      </c>
      <c r="U98" s="3" t="s">
        <v>217</v>
      </c>
      <c r="V98" s="3" t="s">
        <v>218</v>
      </c>
      <c r="W98" s="3" t="s">
        <v>280</v>
      </c>
      <c r="X98" s="3" t="s">
        <v>21</v>
      </c>
      <c r="Y98" s="3" t="s">
        <v>280</v>
      </c>
    </row>
    <row r="99" spans="2:25" x14ac:dyDescent="0.25">
      <c r="O99" s="3" t="s">
        <v>578</v>
      </c>
      <c r="P99" s="3" t="s">
        <v>13</v>
      </c>
      <c r="Q99" s="3" t="s">
        <v>221</v>
      </c>
      <c r="R99" s="3" t="s">
        <v>579</v>
      </c>
      <c r="S99" s="3" t="s">
        <v>580</v>
      </c>
      <c r="T99" s="3" t="s">
        <v>581</v>
      </c>
      <c r="U99" s="3" t="s">
        <v>217</v>
      </c>
      <c r="V99" s="3" t="s">
        <v>218</v>
      </c>
      <c r="W99" s="3" t="s">
        <v>582</v>
      </c>
      <c r="X99" s="3" t="s">
        <v>21</v>
      </c>
      <c r="Y99" s="3" t="s">
        <v>582</v>
      </c>
    </row>
    <row r="100" spans="2:25" x14ac:dyDescent="0.25">
      <c r="O100" s="3" t="s">
        <v>583</v>
      </c>
      <c r="P100" s="3" t="s">
        <v>312</v>
      </c>
      <c r="Q100" s="3" t="s">
        <v>584</v>
      </c>
      <c r="R100" s="3" t="s">
        <v>585</v>
      </c>
      <c r="S100" s="3" t="s">
        <v>586</v>
      </c>
      <c r="T100" s="3" t="s">
        <v>587</v>
      </c>
      <c r="U100" s="3" t="s">
        <v>217</v>
      </c>
      <c r="V100" s="3" t="s">
        <v>584</v>
      </c>
      <c r="W100" s="3" t="s">
        <v>588</v>
      </c>
      <c r="X100" s="3" t="s">
        <v>21</v>
      </c>
      <c r="Y100" s="3" t="s">
        <v>588</v>
      </c>
    </row>
    <row r="101" spans="2:25" x14ac:dyDescent="0.25">
      <c r="O101" s="3" t="s">
        <v>22</v>
      </c>
      <c r="P101" s="3" t="s">
        <v>13</v>
      </c>
      <c r="Q101" s="3" t="s">
        <v>589</v>
      </c>
      <c r="R101" s="3" t="s">
        <v>590</v>
      </c>
      <c r="S101" s="3" t="s">
        <v>591</v>
      </c>
      <c r="T101" s="3" t="s">
        <v>592</v>
      </c>
      <c r="U101" s="3" t="s">
        <v>406</v>
      </c>
      <c r="V101" s="3" t="s">
        <v>407</v>
      </c>
      <c r="W101" s="3" t="s">
        <v>593</v>
      </c>
      <c r="X101" s="3" t="s">
        <v>21</v>
      </c>
      <c r="Y101" s="3" t="s">
        <v>593</v>
      </c>
    </row>
    <row r="102" spans="2:25" x14ac:dyDescent="0.25">
      <c r="O102" s="3" t="s">
        <v>27</v>
      </c>
      <c r="P102" s="3" t="s">
        <v>13</v>
      </c>
      <c r="Q102" s="3" t="s">
        <v>285</v>
      </c>
      <c r="R102" s="3" t="s">
        <v>286</v>
      </c>
      <c r="S102" s="3" t="s">
        <v>287</v>
      </c>
      <c r="T102" s="3" t="str">
        <f>"0000000420631"</f>
        <v>0000000420631</v>
      </c>
      <c r="U102" s="3" t="s">
        <v>217</v>
      </c>
      <c r="V102" s="3" t="s">
        <v>288</v>
      </c>
      <c r="W102" s="3" t="s">
        <v>289</v>
      </c>
      <c r="X102" s="3" t="s">
        <v>21</v>
      </c>
      <c r="Y102" s="3" t="s">
        <v>289</v>
      </c>
    </row>
    <row r="103" spans="2:25" x14ac:dyDescent="0.25">
      <c r="O103" s="3" t="s">
        <v>27</v>
      </c>
      <c r="P103" s="3" t="s">
        <v>13</v>
      </c>
      <c r="Q103" s="3" t="s">
        <v>285</v>
      </c>
      <c r="R103" s="3" t="s">
        <v>290</v>
      </c>
      <c r="S103" s="3" t="s">
        <v>291</v>
      </c>
      <c r="T103" s="3" t="str">
        <f>"0000000083232"</f>
        <v>0000000083232</v>
      </c>
      <c r="U103" s="3" t="s">
        <v>217</v>
      </c>
      <c r="V103" s="3" t="s">
        <v>288</v>
      </c>
      <c r="W103" s="3" t="s">
        <v>121</v>
      </c>
      <c r="X103" s="3" t="s">
        <v>21</v>
      </c>
      <c r="Y103" s="3" t="s">
        <v>121</v>
      </c>
    </row>
    <row r="104" spans="2:25" x14ac:dyDescent="0.25">
      <c r="O104" s="3" t="s">
        <v>27</v>
      </c>
      <c r="P104" s="3" t="s">
        <v>13</v>
      </c>
      <c r="Q104" s="3" t="s">
        <v>594</v>
      </c>
      <c r="R104" s="3" t="s">
        <v>595</v>
      </c>
      <c r="S104" s="3" t="s">
        <v>596</v>
      </c>
      <c r="T104" s="3" t="s">
        <v>597</v>
      </c>
      <c r="U104" s="3" t="s">
        <v>217</v>
      </c>
      <c r="V104" s="3" t="s">
        <v>288</v>
      </c>
      <c r="W104" s="3" t="s">
        <v>598</v>
      </c>
      <c r="X104" s="3" t="s">
        <v>21</v>
      </c>
      <c r="Y104" s="3" t="s">
        <v>598</v>
      </c>
    </row>
    <row r="105" spans="2:25" x14ac:dyDescent="0.25">
      <c r="O105" s="3" t="s">
        <v>27</v>
      </c>
      <c r="P105" s="3" t="s">
        <v>13</v>
      </c>
      <c r="Q105" s="3" t="s">
        <v>594</v>
      </c>
      <c r="R105" s="3" t="s">
        <v>599</v>
      </c>
      <c r="S105" s="3" t="s">
        <v>600</v>
      </c>
      <c r="T105" s="3" t="s">
        <v>601</v>
      </c>
      <c r="U105" s="3" t="s">
        <v>217</v>
      </c>
      <c r="V105" s="3" t="s">
        <v>288</v>
      </c>
      <c r="W105" s="3" t="s">
        <v>602</v>
      </c>
      <c r="X105" s="3" t="s">
        <v>21</v>
      </c>
      <c r="Y105" s="3" t="s">
        <v>602</v>
      </c>
    </row>
    <row r="106" spans="2:25" x14ac:dyDescent="0.25">
      <c r="O106" s="3" t="s">
        <v>27</v>
      </c>
      <c r="P106" s="3" t="s">
        <v>13</v>
      </c>
      <c r="Q106" s="3" t="s">
        <v>236</v>
      </c>
      <c r="R106" s="3" t="s">
        <v>603</v>
      </c>
      <c r="S106" s="3" t="s">
        <v>604</v>
      </c>
      <c r="T106" s="3" t="s">
        <v>605</v>
      </c>
      <c r="U106" s="3" t="s">
        <v>32</v>
      </c>
      <c r="V106" s="3" t="s">
        <v>193</v>
      </c>
      <c r="W106" s="3" t="s">
        <v>606</v>
      </c>
      <c r="X106" s="3" t="s">
        <v>21</v>
      </c>
      <c r="Y106" s="3" t="s">
        <v>606</v>
      </c>
    </row>
    <row r="107" spans="2:25" x14ac:dyDescent="0.25">
      <c r="O107" s="3" t="s">
        <v>27</v>
      </c>
      <c r="P107" s="3" t="s">
        <v>13</v>
      </c>
      <c r="Q107" s="3" t="s">
        <v>236</v>
      </c>
      <c r="R107" s="3" t="s">
        <v>607</v>
      </c>
      <c r="S107" s="3" t="s">
        <v>608</v>
      </c>
      <c r="T107" s="3" t="s">
        <v>609</v>
      </c>
      <c r="U107" s="3" t="s">
        <v>32</v>
      </c>
      <c r="V107" s="3" t="s">
        <v>193</v>
      </c>
      <c r="W107" s="3" t="s">
        <v>610</v>
      </c>
      <c r="X107" s="3" t="s">
        <v>21</v>
      </c>
      <c r="Y107" s="3" t="s">
        <v>610</v>
      </c>
    </row>
    <row r="108" spans="2:25" x14ac:dyDescent="0.25">
      <c r="O108" s="3" t="s">
        <v>27</v>
      </c>
      <c r="P108" s="3" t="s">
        <v>13</v>
      </c>
      <c r="Q108" s="3" t="s">
        <v>236</v>
      </c>
      <c r="R108" s="3" t="s">
        <v>611</v>
      </c>
      <c r="S108" s="3" t="s">
        <v>612</v>
      </c>
      <c r="T108" s="3" t="s">
        <v>613</v>
      </c>
      <c r="U108" s="3" t="s">
        <v>32</v>
      </c>
      <c r="V108" s="3" t="s">
        <v>193</v>
      </c>
      <c r="W108" s="3" t="s">
        <v>614</v>
      </c>
      <c r="X108" s="3" t="s">
        <v>21</v>
      </c>
      <c r="Y108" s="3" t="s">
        <v>614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verschilZoeken">
          <controlPr autoLine="0" autoPict="0" r:id="rId5">
            <anchor moveWithCells="1">
              <from>
                <xdr:col>2</xdr:col>
                <xdr:colOff>390525</xdr:colOff>
                <xdr:row>0</xdr:row>
                <xdr:rowOff>114300</xdr:rowOff>
              </from>
              <to>
                <xdr:col>4</xdr:col>
                <xdr:colOff>762000</xdr:colOff>
                <xdr:row>2</xdr:row>
                <xdr:rowOff>171450</xdr:rowOff>
              </to>
            </anchor>
          </controlPr>
        </control>
      </mc:Choice>
      <mc:Fallback>
        <control shapeId="3073" r:id="rId4" name="verschilZoeken"/>
      </mc:Fallback>
    </mc:AlternateContent>
    <mc:AlternateContent xmlns:mc="http://schemas.openxmlformats.org/markup-compatibility/2006">
      <mc:Choice Requires="x14">
        <control shapeId="3074" r:id="rId6" name="CommandButton1">
          <controlPr autoLine="0" autoPict="0" r:id="rId7">
            <anchor moveWithCells="1">
              <from>
                <xdr:col>2</xdr:col>
                <xdr:colOff>514350</xdr:colOff>
                <xdr:row>5</xdr:row>
                <xdr:rowOff>171450</xdr:rowOff>
              </from>
              <to>
                <xdr:col>4</xdr:col>
                <xdr:colOff>1514475</xdr:colOff>
                <xdr:row>8</xdr:row>
                <xdr:rowOff>9525</xdr:rowOff>
              </to>
            </anchor>
          </controlPr>
        </control>
      </mc:Choice>
      <mc:Fallback>
        <control shapeId="3074" r:id="rId6" name="CommandButton1"/>
      </mc:Fallback>
    </mc:AlternateContent>
    <mc:AlternateContent xmlns:mc="http://schemas.openxmlformats.org/markup-compatibility/2006">
      <mc:Choice Requires="x14">
        <control shapeId="3075" r:id="rId8" name="CommandButton2">
          <controlPr autoLine="0" r:id="rId9">
            <anchor moveWithCells="1">
              <from>
                <xdr:col>5</xdr:col>
                <xdr:colOff>247650</xdr:colOff>
                <xdr:row>6</xdr:row>
                <xdr:rowOff>57150</xdr:rowOff>
              </from>
              <to>
                <xdr:col>5</xdr:col>
                <xdr:colOff>1162050</xdr:colOff>
                <xdr:row>7</xdr:row>
                <xdr:rowOff>171450</xdr:rowOff>
              </to>
            </anchor>
          </controlPr>
        </control>
      </mc:Choice>
      <mc:Fallback>
        <control shapeId="3075" r:id="rId8" name="CommandButton2"/>
      </mc:Fallback>
    </mc:AlternateContent>
    <mc:AlternateContent xmlns:mc="http://schemas.openxmlformats.org/markup-compatibility/2006">
      <mc:Choice Requires="x14">
        <control shapeId="3076" r:id="rId10" name="CommandButton3">
          <controlPr autoLine="0" r:id="rId11">
            <anchor moveWithCells="1">
              <from>
                <xdr:col>22</xdr:col>
                <xdr:colOff>485775</xdr:colOff>
                <xdr:row>0</xdr:row>
                <xdr:rowOff>171450</xdr:rowOff>
              </from>
              <to>
                <xdr:col>25</xdr:col>
                <xdr:colOff>276225</xdr:colOff>
                <xdr:row>2</xdr:row>
                <xdr:rowOff>95250</xdr:rowOff>
              </to>
            </anchor>
          </controlPr>
        </control>
      </mc:Choice>
      <mc:Fallback>
        <control shapeId="3076" r:id="rId10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Z61"/>
  <sheetViews>
    <sheetView workbookViewId="0">
      <selection activeCell="I73" sqref="A1:XFD1048576"/>
    </sheetView>
  </sheetViews>
  <sheetFormatPr defaultRowHeight="15" x14ac:dyDescent="0.25"/>
  <cols>
    <col min="1" max="12" width="9.140625" style="1"/>
    <col min="13" max="13" width="9.140625" style="2"/>
    <col min="14" max="25" width="9.140625" style="3"/>
    <col min="26" max="26" width="9.140625" style="4"/>
  </cols>
  <sheetData>
    <row r="1" spans="1:25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N1" s="3" t="s">
        <v>277</v>
      </c>
      <c r="O1" s="3" t="s">
        <v>2</v>
      </c>
      <c r="P1" s="3" t="s">
        <v>3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11</v>
      </c>
    </row>
    <row r="2" spans="1:25" x14ac:dyDescent="0.25">
      <c r="B2" s="1" t="s">
        <v>12</v>
      </c>
      <c r="C2" s="1" t="s">
        <v>13</v>
      </c>
      <c r="D2" s="1" t="s">
        <v>14</v>
      </c>
      <c r="E2" s="1" t="s">
        <v>15</v>
      </c>
      <c r="F2" s="1" t="s">
        <v>16</v>
      </c>
      <c r="G2" s="1" t="s">
        <v>17</v>
      </c>
      <c r="H2" s="1" t="s">
        <v>18</v>
      </c>
      <c r="I2" s="1" t="s">
        <v>19</v>
      </c>
      <c r="J2" s="1" t="s">
        <v>20</v>
      </c>
      <c r="K2" s="1" t="s">
        <v>21</v>
      </c>
      <c r="L2" s="1" t="s">
        <v>20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20</v>
      </c>
    </row>
    <row r="3" spans="1:25" x14ac:dyDescent="0.25">
      <c r="B3" s="1" t="s">
        <v>22</v>
      </c>
      <c r="C3" s="1" t="s">
        <v>13</v>
      </c>
      <c r="D3" s="1" t="s">
        <v>14</v>
      </c>
      <c r="E3" s="1" t="s">
        <v>23</v>
      </c>
      <c r="F3" s="1" t="s">
        <v>24</v>
      </c>
      <c r="G3" s="1" t="s">
        <v>25</v>
      </c>
      <c r="H3" s="1" t="s">
        <v>18</v>
      </c>
      <c r="I3" s="1" t="s">
        <v>19</v>
      </c>
      <c r="J3" s="1" t="s">
        <v>26</v>
      </c>
      <c r="K3" s="1" t="s">
        <v>21</v>
      </c>
      <c r="L3" s="1" t="s">
        <v>26</v>
      </c>
      <c r="O3" s="3" t="s">
        <v>22</v>
      </c>
      <c r="P3" s="3" t="s">
        <v>13</v>
      </c>
      <c r="Q3" s="3" t="s">
        <v>14</v>
      </c>
      <c r="R3" s="3" t="s">
        <v>23</v>
      </c>
      <c r="S3" s="3" t="s">
        <v>24</v>
      </c>
      <c r="T3" s="3" t="s">
        <v>25</v>
      </c>
      <c r="U3" s="3" t="s">
        <v>18</v>
      </c>
      <c r="V3" s="3" t="s">
        <v>19</v>
      </c>
      <c r="W3" s="3" t="s">
        <v>26</v>
      </c>
      <c r="X3" s="3" t="s">
        <v>21</v>
      </c>
      <c r="Y3" s="3" t="s">
        <v>26</v>
      </c>
    </row>
    <row r="4" spans="1:25" x14ac:dyDescent="0.25">
      <c r="B4" s="1" t="s">
        <v>27</v>
      </c>
      <c r="C4" s="1" t="s">
        <v>13</v>
      </c>
      <c r="D4" s="1" t="s">
        <v>28</v>
      </c>
      <c r="E4" s="1" t="s">
        <v>29</v>
      </c>
      <c r="F4" s="1" t="s">
        <v>30</v>
      </c>
      <c r="G4" s="1" t="s">
        <v>31</v>
      </c>
      <c r="H4" s="1" t="s">
        <v>32</v>
      </c>
      <c r="I4" s="1" t="s">
        <v>33</v>
      </c>
      <c r="J4" s="1" t="s">
        <v>34</v>
      </c>
      <c r="K4" s="1" t="s">
        <v>21</v>
      </c>
      <c r="L4" s="1" t="s">
        <v>34</v>
      </c>
      <c r="O4" s="3" t="s">
        <v>27</v>
      </c>
      <c r="P4" s="3" t="s">
        <v>13</v>
      </c>
      <c r="Q4" s="3" t="s">
        <v>28</v>
      </c>
      <c r="R4" s="3" t="s">
        <v>29</v>
      </c>
      <c r="S4" s="3" t="s">
        <v>30</v>
      </c>
      <c r="T4" s="3" t="s">
        <v>31</v>
      </c>
      <c r="U4" s="3" t="s">
        <v>32</v>
      </c>
      <c r="V4" s="3" t="s">
        <v>33</v>
      </c>
      <c r="W4" s="3" t="s">
        <v>34</v>
      </c>
      <c r="X4" s="3" t="s">
        <v>21</v>
      </c>
      <c r="Y4" s="3" t="s">
        <v>34</v>
      </c>
    </row>
    <row r="5" spans="1:25" x14ac:dyDescent="0.25">
      <c r="B5" s="1" t="s">
        <v>27</v>
      </c>
      <c r="C5" s="1" t="s">
        <v>13</v>
      </c>
      <c r="D5" s="1" t="s">
        <v>28</v>
      </c>
      <c r="E5" s="1" t="s">
        <v>35</v>
      </c>
      <c r="F5" s="1" t="s">
        <v>36</v>
      </c>
      <c r="G5" s="1" t="str">
        <f>"0000000132787"</f>
        <v>0000000132787</v>
      </c>
      <c r="H5" s="1" t="s">
        <v>32</v>
      </c>
      <c r="I5" s="1" t="s">
        <v>33</v>
      </c>
      <c r="J5" s="1" t="s">
        <v>37</v>
      </c>
      <c r="K5" s="1" t="s">
        <v>21</v>
      </c>
      <c r="L5" s="1" t="s">
        <v>37</v>
      </c>
      <c r="O5" s="3" t="s">
        <v>27</v>
      </c>
      <c r="P5" s="3" t="s">
        <v>13</v>
      </c>
      <c r="Q5" s="3" t="s">
        <v>28</v>
      </c>
      <c r="R5" s="3" t="s">
        <v>35</v>
      </c>
      <c r="S5" s="3" t="s">
        <v>36</v>
      </c>
      <c r="T5" s="3" t="str">
        <f>"0000000132787"</f>
        <v>0000000132787</v>
      </c>
      <c r="U5" s="3" t="s">
        <v>32</v>
      </c>
      <c r="V5" s="3" t="s">
        <v>33</v>
      </c>
      <c r="W5" s="3" t="s">
        <v>37</v>
      </c>
      <c r="X5" s="3" t="s">
        <v>21</v>
      </c>
      <c r="Y5" s="3" t="s">
        <v>37</v>
      </c>
    </row>
    <row r="6" spans="1:25" x14ac:dyDescent="0.25">
      <c r="B6" s="1" t="s">
        <v>38</v>
      </c>
      <c r="C6" s="1" t="s">
        <v>13</v>
      </c>
      <c r="D6" s="1" t="s">
        <v>39</v>
      </c>
      <c r="E6" s="1" t="s">
        <v>40</v>
      </c>
      <c r="F6" s="1" t="s">
        <v>41</v>
      </c>
      <c r="G6" s="1" t="s">
        <v>42</v>
      </c>
      <c r="H6" s="1" t="s">
        <v>18</v>
      </c>
      <c r="I6" s="1" t="s">
        <v>19</v>
      </c>
      <c r="J6" s="1" t="s">
        <v>43</v>
      </c>
      <c r="K6" s="1" t="s">
        <v>21</v>
      </c>
      <c r="L6" s="1" t="s">
        <v>43</v>
      </c>
      <c r="O6" s="3" t="s">
        <v>38</v>
      </c>
      <c r="P6" s="3" t="s">
        <v>13</v>
      </c>
      <c r="Q6" s="3" t="s">
        <v>39</v>
      </c>
      <c r="R6" s="3" t="s">
        <v>40</v>
      </c>
      <c r="S6" s="3" t="s">
        <v>41</v>
      </c>
      <c r="T6" s="3" t="s">
        <v>42</v>
      </c>
      <c r="U6" s="3" t="s">
        <v>18</v>
      </c>
      <c r="V6" s="3" t="s">
        <v>19</v>
      </c>
      <c r="W6" s="3" t="s">
        <v>43</v>
      </c>
      <c r="X6" s="3" t="s">
        <v>21</v>
      </c>
      <c r="Y6" s="3" t="s">
        <v>43</v>
      </c>
    </row>
    <row r="7" spans="1:25" x14ac:dyDescent="0.25">
      <c r="B7" s="1" t="s">
        <v>12</v>
      </c>
      <c r="C7" s="1" t="s">
        <v>13</v>
      </c>
      <c r="D7" s="1" t="s">
        <v>39</v>
      </c>
      <c r="E7" s="1" t="s">
        <v>44</v>
      </c>
      <c r="F7" s="1" t="s">
        <v>45</v>
      </c>
      <c r="G7" s="1" t="s">
        <v>46</v>
      </c>
      <c r="H7" s="1" t="s">
        <v>18</v>
      </c>
      <c r="I7" s="1" t="s">
        <v>19</v>
      </c>
      <c r="J7" s="1" t="s">
        <v>47</v>
      </c>
      <c r="K7" s="1" t="s">
        <v>21</v>
      </c>
      <c r="L7" s="1" t="s">
        <v>47</v>
      </c>
      <c r="O7" s="3" t="s">
        <v>12</v>
      </c>
      <c r="P7" s="3" t="s">
        <v>13</v>
      </c>
      <c r="Q7" s="3" t="s">
        <v>39</v>
      </c>
      <c r="R7" s="3" t="s">
        <v>44</v>
      </c>
      <c r="S7" s="3" t="s">
        <v>45</v>
      </c>
      <c r="T7" s="3" t="s">
        <v>46</v>
      </c>
      <c r="U7" s="3" t="s">
        <v>18</v>
      </c>
      <c r="V7" s="3" t="s">
        <v>19</v>
      </c>
      <c r="W7" s="3" t="s">
        <v>47</v>
      </c>
      <c r="X7" s="3" t="s">
        <v>21</v>
      </c>
      <c r="Y7" s="3" t="s">
        <v>47</v>
      </c>
    </row>
    <row r="8" spans="1:25" x14ac:dyDescent="0.25">
      <c r="B8" s="1" t="s">
        <v>48</v>
      </c>
      <c r="C8" s="1" t="s">
        <v>13</v>
      </c>
      <c r="D8" s="1" t="s">
        <v>39</v>
      </c>
      <c r="E8" s="1" t="s">
        <v>49</v>
      </c>
      <c r="F8" s="1" t="s">
        <v>50</v>
      </c>
      <c r="G8" s="1" t="s">
        <v>51</v>
      </c>
      <c r="H8" s="1" t="s">
        <v>18</v>
      </c>
      <c r="I8" s="1" t="s">
        <v>19</v>
      </c>
      <c r="J8" s="1" t="s">
        <v>52</v>
      </c>
      <c r="K8" s="1" t="s">
        <v>21</v>
      </c>
      <c r="L8" s="1" t="s">
        <v>52</v>
      </c>
      <c r="O8" s="3" t="s">
        <v>48</v>
      </c>
      <c r="P8" s="3" t="s">
        <v>13</v>
      </c>
      <c r="Q8" s="3" t="s">
        <v>39</v>
      </c>
      <c r="R8" s="3" t="s">
        <v>49</v>
      </c>
      <c r="S8" s="3" t="s">
        <v>50</v>
      </c>
      <c r="T8" s="3" t="s">
        <v>51</v>
      </c>
      <c r="U8" s="3" t="s">
        <v>18</v>
      </c>
      <c r="V8" s="3" t="s">
        <v>19</v>
      </c>
      <c r="W8" s="3" t="s">
        <v>52</v>
      </c>
      <c r="X8" s="3" t="s">
        <v>21</v>
      </c>
      <c r="Y8" s="3" t="s">
        <v>52</v>
      </c>
    </row>
    <row r="9" spans="1:25" x14ac:dyDescent="0.25">
      <c r="B9" s="1" t="s">
        <v>22</v>
      </c>
      <c r="C9" s="1" t="s">
        <v>13</v>
      </c>
      <c r="D9" s="1" t="s">
        <v>39</v>
      </c>
      <c r="E9" s="1" t="s">
        <v>53</v>
      </c>
      <c r="F9" s="1" t="s">
        <v>54</v>
      </c>
      <c r="G9" s="1" t="s">
        <v>55</v>
      </c>
      <c r="H9" s="1" t="s">
        <v>18</v>
      </c>
      <c r="I9" s="1" t="s">
        <v>19</v>
      </c>
      <c r="J9" s="1" t="s">
        <v>56</v>
      </c>
      <c r="K9" s="1" t="s">
        <v>21</v>
      </c>
      <c r="L9" s="1" t="s">
        <v>56</v>
      </c>
      <c r="O9" s="3" t="s">
        <v>22</v>
      </c>
      <c r="P9" s="3" t="s">
        <v>13</v>
      </c>
      <c r="Q9" s="3" t="s">
        <v>39</v>
      </c>
      <c r="R9" s="3" t="s">
        <v>53</v>
      </c>
      <c r="S9" s="3" t="s">
        <v>54</v>
      </c>
      <c r="T9" s="3" t="s">
        <v>55</v>
      </c>
      <c r="U9" s="3" t="s">
        <v>18</v>
      </c>
      <c r="V9" s="3" t="s">
        <v>19</v>
      </c>
      <c r="W9" s="3" t="s">
        <v>56</v>
      </c>
      <c r="X9" s="3" t="s">
        <v>21</v>
      </c>
      <c r="Y9" s="3" t="s">
        <v>56</v>
      </c>
    </row>
    <row r="10" spans="1:25" x14ac:dyDescent="0.25">
      <c r="B10" s="1" t="s">
        <v>22</v>
      </c>
      <c r="C10" s="1" t="s">
        <v>13</v>
      </c>
      <c r="D10" s="1" t="s">
        <v>39</v>
      </c>
      <c r="E10" s="1" t="s">
        <v>57</v>
      </c>
      <c r="F10" s="1" t="s">
        <v>58</v>
      </c>
      <c r="G10" s="1" t="s">
        <v>59</v>
      </c>
      <c r="H10" s="1" t="s">
        <v>18</v>
      </c>
      <c r="I10" s="1" t="s">
        <v>19</v>
      </c>
      <c r="J10" s="1" t="s">
        <v>60</v>
      </c>
      <c r="K10" s="1" t="s">
        <v>21</v>
      </c>
      <c r="L10" s="1" t="s">
        <v>60</v>
      </c>
      <c r="O10" s="3" t="s">
        <v>22</v>
      </c>
      <c r="P10" s="3" t="s">
        <v>13</v>
      </c>
      <c r="Q10" s="3" t="s">
        <v>39</v>
      </c>
      <c r="R10" s="3" t="s">
        <v>57</v>
      </c>
      <c r="S10" s="3" t="s">
        <v>58</v>
      </c>
      <c r="T10" s="3" t="s">
        <v>59</v>
      </c>
      <c r="U10" s="3" t="s">
        <v>18</v>
      </c>
      <c r="V10" s="3" t="s">
        <v>19</v>
      </c>
      <c r="W10" s="3" t="s">
        <v>60</v>
      </c>
      <c r="X10" s="3" t="s">
        <v>21</v>
      </c>
      <c r="Y10" s="3" t="s">
        <v>60</v>
      </c>
    </row>
    <row r="11" spans="1:25" x14ac:dyDescent="0.25">
      <c r="B11" s="1" t="s">
        <v>22</v>
      </c>
      <c r="C11" s="1" t="s">
        <v>13</v>
      </c>
      <c r="D11" s="1" t="s">
        <v>39</v>
      </c>
      <c r="E11" s="1" t="s">
        <v>61</v>
      </c>
      <c r="F11" s="1" t="s">
        <v>62</v>
      </c>
      <c r="G11" s="1" t="s">
        <v>63</v>
      </c>
      <c r="H11" s="1" t="s">
        <v>18</v>
      </c>
      <c r="I11" s="1" t="s">
        <v>19</v>
      </c>
      <c r="J11" s="1" t="s">
        <v>64</v>
      </c>
      <c r="K11" s="1" t="s">
        <v>21</v>
      </c>
      <c r="L11" s="1" t="s">
        <v>64</v>
      </c>
      <c r="O11" s="3" t="s">
        <v>22</v>
      </c>
      <c r="P11" s="3" t="s">
        <v>13</v>
      </c>
      <c r="Q11" s="3" t="s">
        <v>39</v>
      </c>
      <c r="R11" s="3" t="s">
        <v>61</v>
      </c>
      <c r="S11" s="3" t="s">
        <v>62</v>
      </c>
      <c r="T11" s="3" t="s">
        <v>63</v>
      </c>
      <c r="U11" s="3" t="s">
        <v>18</v>
      </c>
      <c r="V11" s="3" t="s">
        <v>19</v>
      </c>
      <c r="W11" s="3" t="s">
        <v>64</v>
      </c>
      <c r="X11" s="3" t="s">
        <v>21</v>
      </c>
      <c r="Y11" s="3" t="s">
        <v>64</v>
      </c>
    </row>
    <row r="12" spans="1:25" x14ac:dyDescent="0.25">
      <c r="B12" s="1" t="s">
        <v>65</v>
      </c>
      <c r="C12" s="1" t="s">
        <v>13</v>
      </c>
      <c r="D12" s="1" t="s">
        <v>66</v>
      </c>
      <c r="E12" s="1" t="s">
        <v>67</v>
      </c>
      <c r="F12" s="1" t="s">
        <v>68</v>
      </c>
      <c r="G12" s="1" t="s">
        <v>69</v>
      </c>
      <c r="H12" s="1" t="s">
        <v>18</v>
      </c>
      <c r="I12" s="1" t="s">
        <v>19</v>
      </c>
      <c r="J12" s="1" t="s">
        <v>47</v>
      </c>
      <c r="K12" s="1" t="s">
        <v>21</v>
      </c>
      <c r="L12" s="1" t="s">
        <v>47</v>
      </c>
      <c r="O12" s="3" t="s">
        <v>65</v>
      </c>
      <c r="P12" s="3" t="s">
        <v>13</v>
      </c>
      <c r="Q12" s="3" t="s">
        <v>66</v>
      </c>
      <c r="R12" s="3" t="s">
        <v>67</v>
      </c>
      <c r="S12" s="3" t="s">
        <v>68</v>
      </c>
      <c r="T12" s="3" t="s">
        <v>69</v>
      </c>
      <c r="U12" s="3" t="s">
        <v>18</v>
      </c>
      <c r="V12" s="3" t="s">
        <v>19</v>
      </c>
      <c r="W12" s="3" t="s">
        <v>47</v>
      </c>
      <c r="X12" s="3" t="s">
        <v>21</v>
      </c>
      <c r="Y12" s="3" t="s">
        <v>47</v>
      </c>
    </row>
    <row r="13" spans="1:25" x14ac:dyDescent="0.25">
      <c r="B13" s="1" t="s">
        <v>38</v>
      </c>
      <c r="C13" s="1" t="s">
        <v>13</v>
      </c>
      <c r="D13" s="1" t="s">
        <v>66</v>
      </c>
      <c r="E13" s="1" t="s">
        <v>70</v>
      </c>
      <c r="F13" s="1" t="s">
        <v>71</v>
      </c>
      <c r="G13" s="1" t="s">
        <v>72</v>
      </c>
      <c r="H13" s="1" t="s">
        <v>18</v>
      </c>
      <c r="I13" s="1" t="s">
        <v>19</v>
      </c>
      <c r="J13" s="1" t="s">
        <v>73</v>
      </c>
      <c r="K13" s="1" t="s">
        <v>21</v>
      </c>
      <c r="L13" s="1" t="s">
        <v>73</v>
      </c>
      <c r="O13" s="3" t="s">
        <v>38</v>
      </c>
      <c r="P13" s="3" t="s">
        <v>13</v>
      </c>
      <c r="Q13" s="3" t="s">
        <v>66</v>
      </c>
      <c r="R13" s="3" t="s">
        <v>70</v>
      </c>
      <c r="S13" s="3" t="s">
        <v>71</v>
      </c>
      <c r="T13" s="3" t="s">
        <v>72</v>
      </c>
      <c r="U13" s="3" t="s">
        <v>18</v>
      </c>
      <c r="V13" s="3" t="s">
        <v>19</v>
      </c>
      <c r="W13" s="3" t="s">
        <v>73</v>
      </c>
      <c r="X13" s="3" t="s">
        <v>21</v>
      </c>
      <c r="Y13" s="3" t="s">
        <v>73</v>
      </c>
    </row>
    <row r="14" spans="1:25" x14ac:dyDescent="0.25">
      <c r="B14" s="1" t="s">
        <v>22</v>
      </c>
      <c r="C14" s="1" t="s">
        <v>13</v>
      </c>
      <c r="D14" s="1" t="s">
        <v>66</v>
      </c>
      <c r="E14" s="1" t="s">
        <v>74</v>
      </c>
      <c r="F14" s="1" t="s">
        <v>75</v>
      </c>
      <c r="G14" s="1" t="s">
        <v>76</v>
      </c>
      <c r="H14" s="1" t="s">
        <v>18</v>
      </c>
      <c r="I14" s="1" t="s">
        <v>19</v>
      </c>
      <c r="J14" s="1" t="s">
        <v>77</v>
      </c>
      <c r="K14" s="1" t="s">
        <v>21</v>
      </c>
      <c r="L14" s="1" t="s">
        <v>77</v>
      </c>
      <c r="O14" s="3" t="s">
        <v>22</v>
      </c>
      <c r="P14" s="3" t="s">
        <v>13</v>
      </c>
      <c r="Q14" s="3" t="s">
        <v>66</v>
      </c>
      <c r="R14" s="3" t="s">
        <v>74</v>
      </c>
      <c r="S14" s="3" t="s">
        <v>75</v>
      </c>
      <c r="T14" s="3" t="s">
        <v>76</v>
      </c>
      <c r="U14" s="3" t="s">
        <v>18</v>
      </c>
      <c r="V14" s="3" t="s">
        <v>19</v>
      </c>
      <c r="W14" s="3" t="s">
        <v>77</v>
      </c>
      <c r="X14" s="3" t="s">
        <v>21</v>
      </c>
      <c r="Y14" s="3" t="s">
        <v>77</v>
      </c>
    </row>
    <row r="15" spans="1:25" x14ac:dyDescent="0.25">
      <c r="B15" s="1" t="s">
        <v>27</v>
      </c>
      <c r="C15" s="1" t="s">
        <v>13</v>
      </c>
      <c r="D15" s="1" t="s">
        <v>78</v>
      </c>
      <c r="E15" s="1" t="s">
        <v>79</v>
      </c>
      <c r="F15" s="1" t="s">
        <v>80</v>
      </c>
      <c r="G15" s="1" t="s">
        <v>81</v>
      </c>
      <c r="H15" s="1" t="s">
        <v>18</v>
      </c>
      <c r="I15" s="1" t="s">
        <v>19</v>
      </c>
      <c r="J15" s="1" t="s">
        <v>82</v>
      </c>
      <c r="K15" s="1" t="s">
        <v>21</v>
      </c>
      <c r="L15" s="1" t="s">
        <v>82</v>
      </c>
      <c r="O15" s="3" t="s">
        <v>27</v>
      </c>
      <c r="P15" s="3" t="s">
        <v>13</v>
      </c>
      <c r="Q15" s="3" t="s">
        <v>78</v>
      </c>
      <c r="R15" s="3" t="s">
        <v>79</v>
      </c>
      <c r="S15" s="3" t="s">
        <v>80</v>
      </c>
      <c r="T15" s="3" t="s">
        <v>81</v>
      </c>
      <c r="U15" s="3" t="s">
        <v>18</v>
      </c>
      <c r="V15" s="3" t="s">
        <v>19</v>
      </c>
      <c r="W15" s="3" t="s">
        <v>82</v>
      </c>
      <c r="X15" s="3" t="s">
        <v>21</v>
      </c>
      <c r="Y15" s="3" t="s">
        <v>82</v>
      </c>
    </row>
    <row r="16" spans="1:25" x14ac:dyDescent="0.25">
      <c r="B16" s="1" t="s">
        <v>22</v>
      </c>
      <c r="C16" s="1" t="s">
        <v>13</v>
      </c>
      <c r="D16" s="1" t="s">
        <v>83</v>
      </c>
      <c r="E16" s="1" t="s">
        <v>84</v>
      </c>
      <c r="F16" s="1" t="s">
        <v>85</v>
      </c>
      <c r="G16" s="1" t="s">
        <v>86</v>
      </c>
      <c r="H16" s="1" t="s">
        <v>18</v>
      </c>
      <c r="I16" s="1" t="s">
        <v>19</v>
      </c>
      <c r="J16" s="1" t="s">
        <v>73</v>
      </c>
      <c r="K16" s="1" t="s">
        <v>21</v>
      </c>
      <c r="L16" s="1" t="s">
        <v>73</v>
      </c>
      <c r="O16" s="3" t="s">
        <v>22</v>
      </c>
      <c r="P16" s="3" t="s">
        <v>13</v>
      </c>
      <c r="Q16" s="3" t="s">
        <v>83</v>
      </c>
      <c r="R16" s="3" t="s">
        <v>84</v>
      </c>
      <c r="S16" s="3" t="s">
        <v>85</v>
      </c>
      <c r="T16" s="3" t="s">
        <v>86</v>
      </c>
      <c r="U16" s="3" t="s">
        <v>18</v>
      </c>
      <c r="V16" s="3" t="s">
        <v>19</v>
      </c>
      <c r="W16" s="3" t="s">
        <v>73</v>
      </c>
      <c r="X16" s="3" t="s">
        <v>21</v>
      </c>
      <c r="Y16" s="3" t="s">
        <v>73</v>
      </c>
    </row>
    <row r="17" spans="2:25" x14ac:dyDescent="0.25">
      <c r="B17" s="1" t="s">
        <v>22</v>
      </c>
      <c r="C17" s="1" t="s">
        <v>13</v>
      </c>
      <c r="D17" s="1" t="s">
        <v>83</v>
      </c>
      <c r="E17" s="1" t="s">
        <v>87</v>
      </c>
      <c r="F17" s="1" t="s">
        <v>88</v>
      </c>
      <c r="G17" s="1" t="s">
        <v>89</v>
      </c>
      <c r="H17" s="1" t="s">
        <v>18</v>
      </c>
      <c r="I17" s="1" t="s">
        <v>19</v>
      </c>
      <c r="J17" s="1" t="s">
        <v>73</v>
      </c>
      <c r="K17" s="1" t="s">
        <v>21</v>
      </c>
      <c r="L17" s="1" t="s">
        <v>73</v>
      </c>
      <c r="O17" s="3" t="s">
        <v>22</v>
      </c>
      <c r="P17" s="3" t="s">
        <v>13</v>
      </c>
      <c r="Q17" s="3" t="s">
        <v>83</v>
      </c>
      <c r="R17" s="3" t="s">
        <v>87</v>
      </c>
      <c r="S17" s="3" t="s">
        <v>88</v>
      </c>
      <c r="T17" s="3" t="s">
        <v>89</v>
      </c>
      <c r="U17" s="3" t="s">
        <v>18</v>
      </c>
      <c r="V17" s="3" t="s">
        <v>19</v>
      </c>
      <c r="W17" s="3" t="s">
        <v>73</v>
      </c>
      <c r="X17" s="3" t="s">
        <v>21</v>
      </c>
      <c r="Y17" s="3" t="s">
        <v>73</v>
      </c>
    </row>
    <row r="18" spans="2:25" x14ac:dyDescent="0.25">
      <c r="B18" s="1" t="s">
        <v>27</v>
      </c>
      <c r="C18" s="1" t="s">
        <v>13</v>
      </c>
      <c r="D18" s="1" t="s">
        <v>83</v>
      </c>
      <c r="E18" s="1" t="s">
        <v>90</v>
      </c>
      <c r="F18" s="1" t="s">
        <v>91</v>
      </c>
      <c r="G18" s="1" t="s">
        <v>92</v>
      </c>
      <c r="H18" s="1" t="s">
        <v>18</v>
      </c>
      <c r="I18" s="1" t="s">
        <v>19</v>
      </c>
      <c r="J18" s="1" t="s">
        <v>93</v>
      </c>
      <c r="K18" s="1" t="s">
        <v>21</v>
      </c>
      <c r="L18" s="1" t="s">
        <v>93</v>
      </c>
      <c r="O18" s="3" t="s">
        <v>27</v>
      </c>
      <c r="P18" s="3" t="s">
        <v>13</v>
      </c>
      <c r="Q18" s="3" t="s">
        <v>83</v>
      </c>
      <c r="R18" s="3" t="s">
        <v>90</v>
      </c>
      <c r="S18" s="3" t="s">
        <v>91</v>
      </c>
      <c r="T18" s="3" t="s">
        <v>92</v>
      </c>
      <c r="U18" s="3" t="s">
        <v>18</v>
      </c>
      <c r="V18" s="3" t="s">
        <v>19</v>
      </c>
      <c r="W18" s="3" t="s">
        <v>93</v>
      </c>
      <c r="X18" s="3" t="s">
        <v>21</v>
      </c>
      <c r="Y18" s="3" t="s">
        <v>93</v>
      </c>
    </row>
    <row r="19" spans="2:25" x14ac:dyDescent="0.25">
      <c r="B19" s="1" t="s">
        <v>22</v>
      </c>
      <c r="C19" s="1" t="s">
        <v>13</v>
      </c>
      <c r="D19" s="1" t="s">
        <v>83</v>
      </c>
      <c r="E19" s="1" t="s">
        <v>94</v>
      </c>
      <c r="F19" s="1" t="s">
        <v>95</v>
      </c>
      <c r="G19" s="1" t="s">
        <v>96</v>
      </c>
      <c r="H19" s="1" t="s">
        <v>18</v>
      </c>
      <c r="I19" s="1" t="s">
        <v>19</v>
      </c>
      <c r="J19" s="1" t="s">
        <v>97</v>
      </c>
      <c r="K19" s="1" t="s">
        <v>21</v>
      </c>
      <c r="L19" s="1" t="s">
        <v>97</v>
      </c>
      <c r="O19" s="3" t="s">
        <v>22</v>
      </c>
      <c r="P19" s="3" t="s">
        <v>13</v>
      </c>
      <c r="Q19" s="3" t="s">
        <v>83</v>
      </c>
      <c r="R19" s="3" t="s">
        <v>94</v>
      </c>
      <c r="S19" s="3" t="s">
        <v>95</v>
      </c>
      <c r="T19" s="3" t="s">
        <v>96</v>
      </c>
      <c r="U19" s="3" t="s">
        <v>18</v>
      </c>
      <c r="V19" s="3" t="s">
        <v>19</v>
      </c>
      <c r="W19" s="3" t="s">
        <v>97</v>
      </c>
      <c r="X19" s="3" t="s">
        <v>21</v>
      </c>
      <c r="Y19" s="3" t="s">
        <v>97</v>
      </c>
    </row>
    <row r="20" spans="2:25" x14ac:dyDescent="0.25">
      <c r="B20" s="1" t="s">
        <v>38</v>
      </c>
      <c r="C20" s="1" t="s">
        <v>13</v>
      </c>
      <c r="D20" s="1" t="s">
        <v>98</v>
      </c>
      <c r="E20" s="1" t="s">
        <v>99</v>
      </c>
      <c r="F20" s="1" t="s">
        <v>100</v>
      </c>
      <c r="G20" s="1" t="s">
        <v>101</v>
      </c>
      <c r="H20" s="1" t="s">
        <v>18</v>
      </c>
      <c r="I20" s="1" t="s">
        <v>19</v>
      </c>
      <c r="J20" s="1" t="s">
        <v>47</v>
      </c>
      <c r="K20" s="1" t="s">
        <v>21</v>
      </c>
      <c r="L20" s="1" t="s">
        <v>47</v>
      </c>
      <c r="O20" s="3" t="s">
        <v>38</v>
      </c>
      <c r="P20" s="3" t="s">
        <v>13</v>
      </c>
      <c r="Q20" s="3" t="s">
        <v>98</v>
      </c>
      <c r="R20" s="3" t="s">
        <v>99</v>
      </c>
      <c r="S20" s="3" t="s">
        <v>100</v>
      </c>
      <c r="T20" s="3" t="s">
        <v>101</v>
      </c>
      <c r="U20" s="3" t="s">
        <v>18</v>
      </c>
      <c r="V20" s="3" t="s">
        <v>19</v>
      </c>
      <c r="W20" s="3" t="s">
        <v>47</v>
      </c>
      <c r="X20" s="3" t="s">
        <v>21</v>
      </c>
      <c r="Y20" s="3" t="s">
        <v>47</v>
      </c>
    </row>
    <row r="21" spans="2:25" x14ac:dyDescent="0.25">
      <c r="B21" s="1" t="s">
        <v>22</v>
      </c>
      <c r="C21" s="1" t="s">
        <v>13</v>
      </c>
      <c r="D21" s="1" t="s">
        <v>98</v>
      </c>
      <c r="E21" s="1" t="s">
        <v>102</v>
      </c>
      <c r="F21" s="1" t="s">
        <v>103</v>
      </c>
      <c r="G21" s="1" t="s">
        <v>104</v>
      </c>
      <c r="H21" s="1" t="s">
        <v>18</v>
      </c>
      <c r="I21" s="1" t="s">
        <v>19</v>
      </c>
      <c r="J21" s="1" t="s">
        <v>105</v>
      </c>
      <c r="K21" s="1" t="s">
        <v>21</v>
      </c>
      <c r="L21" s="1" t="s">
        <v>105</v>
      </c>
      <c r="O21" s="3" t="s">
        <v>22</v>
      </c>
      <c r="P21" s="3" t="s">
        <v>13</v>
      </c>
      <c r="Q21" s="3" t="s">
        <v>98</v>
      </c>
      <c r="R21" s="3" t="s">
        <v>102</v>
      </c>
      <c r="S21" s="3" t="s">
        <v>103</v>
      </c>
      <c r="T21" s="3" t="s">
        <v>104</v>
      </c>
      <c r="U21" s="3" t="s">
        <v>18</v>
      </c>
      <c r="V21" s="3" t="s">
        <v>19</v>
      </c>
      <c r="W21" s="3" t="s">
        <v>105</v>
      </c>
      <c r="X21" s="3" t="s">
        <v>21</v>
      </c>
      <c r="Y21" s="3" t="s">
        <v>105</v>
      </c>
    </row>
    <row r="22" spans="2:25" x14ac:dyDescent="0.25">
      <c r="B22" s="1" t="s">
        <v>106</v>
      </c>
      <c r="C22" s="1" t="s">
        <v>13</v>
      </c>
      <c r="D22" s="1" t="s">
        <v>98</v>
      </c>
      <c r="E22" s="1" t="s">
        <v>107</v>
      </c>
      <c r="F22" s="1" t="s">
        <v>108</v>
      </c>
      <c r="G22" s="1" t="s">
        <v>109</v>
      </c>
      <c r="H22" s="1" t="s">
        <v>18</v>
      </c>
      <c r="I22" s="1" t="s">
        <v>19</v>
      </c>
      <c r="J22" s="1" t="s">
        <v>263</v>
      </c>
      <c r="K22" s="1" t="s">
        <v>21</v>
      </c>
      <c r="L22" s="1" t="s">
        <v>263</v>
      </c>
      <c r="O22" s="3" t="s">
        <v>106</v>
      </c>
      <c r="P22" s="3" t="s">
        <v>13</v>
      </c>
      <c r="Q22" s="3" t="s">
        <v>98</v>
      </c>
      <c r="R22" s="3" t="s">
        <v>107</v>
      </c>
      <c r="S22" s="3" t="s">
        <v>108</v>
      </c>
      <c r="T22" s="3" t="s">
        <v>109</v>
      </c>
      <c r="U22" s="3" t="s">
        <v>18</v>
      </c>
      <c r="V22" s="3" t="s">
        <v>19</v>
      </c>
      <c r="W22" s="3" t="s">
        <v>52</v>
      </c>
      <c r="X22" s="3" t="s">
        <v>21</v>
      </c>
      <c r="Y22" s="3" t="s">
        <v>52</v>
      </c>
    </row>
    <row r="23" spans="2:25" x14ac:dyDescent="0.25">
      <c r="B23" s="1" t="s">
        <v>110</v>
      </c>
      <c r="C23" s="1" t="s">
        <v>13</v>
      </c>
      <c r="D23" s="1" t="s">
        <v>98</v>
      </c>
      <c r="E23" s="1" t="s">
        <v>111</v>
      </c>
      <c r="F23" s="1" t="s">
        <v>112</v>
      </c>
      <c r="G23" s="1" t="s">
        <v>113</v>
      </c>
      <c r="H23" s="1" t="s">
        <v>18</v>
      </c>
      <c r="I23" s="1" t="s">
        <v>19</v>
      </c>
      <c r="J23" s="1" t="s">
        <v>97</v>
      </c>
      <c r="K23" s="1" t="s">
        <v>21</v>
      </c>
      <c r="L23" s="1" t="s">
        <v>97</v>
      </c>
      <c r="O23" s="3" t="s">
        <v>110</v>
      </c>
      <c r="P23" s="3" t="s">
        <v>13</v>
      </c>
      <c r="Q23" s="3" t="s">
        <v>98</v>
      </c>
      <c r="R23" s="3" t="s">
        <v>111</v>
      </c>
      <c r="S23" s="3" t="s">
        <v>112</v>
      </c>
      <c r="T23" s="3" t="s">
        <v>113</v>
      </c>
      <c r="U23" s="3" t="s">
        <v>18</v>
      </c>
      <c r="V23" s="3" t="s">
        <v>19</v>
      </c>
      <c r="W23" s="3" t="s">
        <v>97</v>
      </c>
      <c r="X23" s="3" t="s">
        <v>21</v>
      </c>
      <c r="Y23" s="3" t="s">
        <v>97</v>
      </c>
    </row>
    <row r="24" spans="2:25" x14ac:dyDescent="0.25">
      <c r="B24" s="1" t="s">
        <v>27</v>
      </c>
      <c r="C24" s="1" t="s">
        <v>13</v>
      </c>
      <c r="D24" s="1" t="s">
        <v>98</v>
      </c>
      <c r="E24" s="1" t="s">
        <v>114</v>
      </c>
      <c r="F24" s="1" t="s">
        <v>115</v>
      </c>
      <c r="G24" s="1" t="s">
        <v>116</v>
      </c>
      <c r="H24" s="1" t="s">
        <v>18</v>
      </c>
      <c r="I24" s="1" t="s">
        <v>19</v>
      </c>
      <c r="J24" s="1" t="s">
        <v>73</v>
      </c>
      <c r="K24" s="1" t="s">
        <v>21</v>
      </c>
      <c r="L24" s="1" t="s">
        <v>73</v>
      </c>
      <c r="O24" s="3" t="s">
        <v>27</v>
      </c>
      <c r="P24" s="3" t="s">
        <v>13</v>
      </c>
      <c r="Q24" s="3" t="s">
        <v>98</v>
      </c>
      <c r="R24" s="3" t="s">
        <v>114</v>
      </c>
      <c r="S24" s="3" t="s">
        <v>115</v>
      </c>
      <c r="T24" s="3" t="s">
        <v>116</v>
      </c>
      <c r="U24" s="3" t="s">
        <v>18</v>
      </c>
      <c r="V24" s="3" t="s">
        <v>19</v>
      </c>
      <c r="W24" s="3" t="s">
        <v>73</v>
      </c>
      <c r="X24" s="3" t="s">
        <v>21</v>
      </c>
      <c r="Y24" s="3" t="s">
        <v>73</v>
      </c>
    </row>
    <row r="25" spans="2:25" x14ac:dyDescent="0.25">
      <c r="B25" s="1" t="s">
        <v>117</v>
      </c>
      <c r="C25" s="1" t="s">
        <v>13</v>
      </c>
      <c r="D25" s="1" t="s">
        <v>98</v>
      </c>
      <c r="E25" s="1" t="s">
        <v>118</v>
      </c>
      <c r="F25" s="1" t="s">
        <v>119</v>
      </c>
      <c r="G25" s="1" t="s">
        <v>120</v>
      </c>
      <c r="H25" s="1" t="s">
        <v>18</v>
      </c>
      <c r="I25" s="1" t="s">
        <v>19</v>
      </c>
      <c r="J25" s="1" t="s">
        <v>121</v>
      </c>
      <c r="K25" s="1" t="s">
        <v>21</v>
      </c>
      <c r="L25" s="1" t="s">
        <v>121</v>
      </c>
      <c r="O25" s="3" t="s">
        <v>117</v>
      </c>
      <c r="P25" s="3" t="s">
        <v>13</v>
      </c>
      <c r="Q25" s="3" t="s">
        <v>98</v>
      </c>
      <c r="R25" s="3" t="s">
        <v>118</v>
      </c>
      <c r="S25" s="3" t="s">
        <v>119</v>
      </c>
      <c r="T25" s="3" t="s">
        <v>120</v>
      </c>
      <c r="U25" s="3" t="s">
        <v>18</v>
      </c>
      <c r="V25" s="3" t="s">
        <v>19</v>
      </c>
      <c r="W25" s="3" t="s">
        <v>121</v>
      </c>
      <c r="X25" s="3" t="s">
        <v>21</v>
      </c>
      <c r="Y25" s="3" t="s">
        <v>121</v>
      </c>
    </row>
    <row r="26" spans="2:25" x14ac:dyDescent="0.25">
      <c r="B26" s="1" t="s">
        <v>106</v>
      </c>
      <c r="C26" s="1" t="s">
        <v>13</v>
      </c>
      <c r="D26" s="1" t="s">
        <v>98</v>
      </c>
      <c r="E26" s="1" t="s">
        <v>122</v>
      </c>
      <c r="F26" s="1" t="s">
        <v>123</v>
      </c>
      <c r="G26" s="1" t="s">
        <v>124</v>
      </c>
      <c r="H26" s="1" t="s">
        <v>18</v>
      </c>
      <c r="I26" s="1" t="s">
        <v>19</v>
      </c>
      <c r="J26" s="1" t="s">
        <v>125</v>
      </c>
      <c r="K26" s="1" t="s">
        <v>21</v>
      </c>
      <c r="L26" s="1" t="s">
        <v>125</v>
      </c>
      <c r="O26" s="3" t="s">
        <v>106</v>
      </c>
      <c r="P26" s="3" t="s">
        <v>13</v>
      </c>
      <c r="Q26" s="3" t="s">
        <v>98</v>
      </c>
      <c r="R26" s="3" t="s">
        <v>122</v>
      </c>
      <c r="S26" s="3" t="s">
        <v>123</v>
      </c>
      <c r="T26" s="3" t="s">
        <v>124</v>
      </c>
      <c r="U26" s="3" t="s">
        <v>18</v>
      </c>
      <c r="V26" s="3" t="s">
        <v>19</v>
      </c>
      <c r="W26" s="3" t="s">
        <v>125</v>
      </c>
      <c r="X26" s="3" t="s">
        <v>21</v>
      </c>
      <c r="Y26" s="3" t="s">
        <v>125</v>
      </c>
    </row>
    <row r="27" spans="2:25" x14ac:dyDescent="0.25">
      <c r="B27" s="1" t="s">
        <v>22</v>
      </c>
      <c r="C27" s="1" t="s">
        <v>13</v>
      </c>
      <c r="D27" s="1" t="s">
        <v>126</v>
      </c>
      <c r="E27" s="1" t="s">
        <v>127</v>
      </c>
      <c r="F27" s="1" t="s">
        <v>128</v>
      </c>
      <c r="G27" s="1" t="s">
        <v>129</v>
      </c>
      <c r="H27" s="1" t="s">
        <v>32</v>
      </c>
      <c r="I27" s="1" t="s">
        <v>33</v>
      </c>
      <c r="J27" s="1" t="s">
        <v>130</v>
      </c>
      <c r="K27" s="1" t="s">
        <v>21</v>
      </c>
      <c r="L27" s="1" t="s">
        <v>130</v>
      </c>
      <c r="O27" s="3" t="s">
        <v>22</v>
      </c>
      <c r="P27" s="3" t="s">
        <v>13</v>
      </c>
      <c r="Q27" s="3" t="s">
        <v>126</v>
      </c>
      <c r="R27" s="3" t="s">
        <v>127</v>
      </c>
      <c r="S27" s="3" t="s">
        <v>128</v>
      </c>
      <c r="T27" s="3" t="s">
        <v>129</v>
      </c>
      <c r="U27" s="3" t="s">
        <v>32</v>
      </c>
      <c r="V27" s="3" t="s">
        <v>33</v>
      </c>
      <c r="W27" s="3" t="s">
        <v>130</v>
      </c>
      <c r="X27" s="3" t="s">
        <v>21</v>
      </c>
      <c r="Y27" s="3" t="s">
        <v>130</v>
      </c>
    </row>
    <row r="28" spans="2:25" x14ac:dyDescent="0.25">
      <c r="B28" s="1" t="s">
        <v>22</v>
      </c>
      <c r="C28" s="1" t="s">
        <v>13</v>
      </c>
      <c r="D28" s="1" t="s">
        <v>126</v>
      </c>
      <c r="E28" s="1" t="s">
        <v>131</v>
      </c>
      <c r="F28" s="1" t="s">
        <v>132</v>
      </c>
      <c r="G28" s="1" t="s">
        <v>133</v>
      </c>
      <c r="H28" s="1" t="s">
        <v>32</v>
      </c>
      <c r="I28" s="1" t="s">
        <v>33</v>
      </c>
      <c r="J28" s="1" t="s">
        <v>134</v>
      </c>
      <c r="K28" s="1" t="s">
        <v>21</v>
      </c>
      <c r="L28" s="1" t="s">
        <v>134</v>
      </c>
      <c r="O28" s="3" t="s">
        <v>22</v>
      </c>
      <c r="P28" s="3" t="s">
        <v>13</v>
      </c>
      <c r="Q28" s="3" t="s">
        <v>126</v>
      </c>
      <c r="R28" s="3" t="s">
        <v>131</v>
      </c>
      <c r="S28" s="3" t="s">
        <v>132</v>
      </c>
      <c r="T28" s="3" t="s">
        <v>133</v>
      </c>
      <c r="U28" s="3" t="s">
        <v>32</v>
      </c>
      <c r="V28" s="3" t="s">
        <v>33</v>
      </c>
      <c r="W28" s="3" t="s">
        <v>134</v>
      </c>
      <c r="X28" s="3" t="s">
        <v>21</v>
      </c>
      <c r="Y28" s="3" t="s">
        <v>134</v>
      </c>
    </row>
    <row r="29" spans="2:25" x14ac:dyDescent="0.25">
      <c r="B29" s="1" t="s">
        <v>22</v>
      </c>
      <c r="C29" s="1" t="s">
        <v>13</v>
      </c>
      <c r="D29" s="1" t="s">
        <v>126</v>
      </c>
      <c r="E29" s="1" t="s">
        <v>135</v>
      </c>
      <c r="F29" s="1" t="s">
        <v>136</v>
      </c>
      <c r="G29" s="1" t="s">
        <v>137</v>
      </c>
      <c r="H29" s="1" t="s">
        <v>32</v>
      </c>
      <c r="I29" s="1" t="s">
        <v>33</v>
      </c>
      <c r="J29" s="1" t="s">
        <v>134</v>
      </c>
      <c r="K29" s="1" t="s">
        <v>21</v>
      </c>
      <c r="L29" s="1" t="s">
        <v>134</v>
      </c>
      <c r="O29" s="3" t="s">
        <v>22</v>
      </c>
      <c r="P29" s="3" t="s">
        <v>13</v>
      </c>
      <c r="Q29" s="3" t="s">
        <v>126</v>
      </c>
      <c r="R29" s="3" t="s">
        <v>135</v>
      </c>
      <c r="S29" s="3" t="s">
        <v>136</v>
      </c>
      <c r="T29" s="3" t="s">
        <v>137</v>
      </c>
      <c r="U29" s="3" t="s">
        <v>32</v>
      </c>
      <c r="V29" s="3" t="s">
        <v>33</v>
      </c>
      <c r="W29" s="3" t="s">
        <v>134</v>
      </c>
      <c r="X29" s="3" t="s">
        <v>21</v>
      </c>
      <c r="Y29" s="3" t="s">
        <v>134</v>
      </c>
    </row>
    <row r="30" spans="2:25" x14ac:dyDescent="0.25">
      <c r="B30" s="1" t="s">
        <v>27</v>
      </c>
      <c r="C30" s="1" t="s">
        <v>13</v>
      </c>
      <c r="D30" s="1" t="s">
        <v>126</v>
      </c>
      <c r="E30" s="1" t="s">
        <v>138</v>
      </c>
      <c r="F30" s="1" t="s">
        <v>139</v>
      </c>
      <c r="G30" s="1" t="s">
        <v>140</v>
      </c>
      <c r="H30" s="1" t="s">
        <v>32</v>
      </c>
      <c r="I30" s="1" t="s">
        <v>33</v>
      </c>
      <c r="J30" s="1" t="s">
        <v>141</v>
      </c>
      <c r="K30" s="1" t="s">
        <v>21</v>
      </c>
      <c r="L30" s="1" t="s">
        <v>141</v>
      </c>
      <c r="O30" s="3" t="s">
        <v>27</v>
      </c>
      <c r="P30" s="3" t="s">
        <v>13</v>
      </c>
      <c r="Q30" s="3" t="s">
        <v>126</v>
      </c>
      <c r="R30" s="3" t="s">
        <v>138</v>
      </c>
      <c r="S30" s="3" t="s">
        <v>139</v>
      </c>
      <c r="T30" s="3" t="s">
        <v>140</v>
      </c>
      <c r="U30" s="3" t="s">
        <v>32</v>
      </c>
      <c r="V30" s="3" t="s">
        <v>33</v>
      </c>
      <c r="W30" s="3" t="s">
        <v>141</v>
      </c>
      <c r="X30" s="3" t="s">
        <v>21</v>
      </c>
      <c r="Y30" s="3" t="s">
        <v>141</v>
      </c>
    </row>
    <row r="31" spans="2:25" x14ac:dyDescent="0.25">
      <c r="B31" s="1" t="s">
        <v>27</v>
      </c>
      <c r="C31" s="1" t="s">
        <v>13</v>
      </c>
      <c r="D31" s="1" t="s">
        <v>126</v>
      </c>
      <c r="E31" s="1" t="s">
        <v>142</v>
      </c>
      <c r="F31" s="1" t="s">
        <v>143</v>
      </c>
      <c r="G31" s="1" t="s">
        <v>144</v>
      </c>
      <c r="H31" s="1" t="s">
        <v>32</v>
      </c>
      <c r="I31" s="1" t="s">
        <v>33</v>
      </c>
      <c r="J31" s="1" t="s">
        <v>145</v>
      </c>
      <c r="K31" s="1" t="s">
        <v>21</v>
      </c>
      <c r="L31" s="1" t="s">
        <v>145</v>
      </c>
      <c r="O31" s="3" t="s">
        <v>27</v>
      </c>
      <c r="P31" s="3" t="s">
        <v>13</v>
      </c>
      <c r="Q31" s="3" t="s">
        <v>126</v>
      </c>
      <c r="R31" s="3" t="s">
        <v>142</v>
      </c>
      <c r="S31" s="3" t="s">
        <v>143</v>
      </c>
      <c r="T31" s="3" t="s">
        <v>144</v>
      </c>
      <c r="U31" s="3" t="s">
        <v>32</v>
      </c>
      <c r="V31" s="3" t="s">
        <v>33</v>
      </c>
      <c r="W31" s="3" t="s">
        <v>145</v>
      </c>
      <c r="X31" s="3" t="s">
        <v>21</v>
      </c>
      <c r="Y31" s="3" t="s">
        <v>145</v>
      </c>
    </row>
    <row r="32" spans="2:25" x14ac:dyDescent="0.25">
      <c r="B32" s="1" t="s">
        <v>27</v>
      </c>
      <c r="C32" s="1" t="s">
        <v>13</v>
      </c>
      <c r="D32" s="1" t="s">
        <v>126</v>
      </c>
      <c r="E32" s="1" t="s">
        <v>146</v>
      </c>
      <c r="F32" s="1" t="s">
        <v>147</v>
      </c>
      <c r="G32" s="1" t="str">
        <f>"0000000223119"</f>
        <v>0000000223119</v>
      </c>
      <c r="H32" s="1" t="s">
        <v>32</v>
      </c>
      <c r="I32" s="1" t="s">
        <v>33</v>
      </c>
      <c r="J32" s="1" t="s">
        <v>148</v>
      </c>
      <c r="K32" s="1" t="s">
        <v>21</v>
      </c>
      <c r="L32" s="1" t="s">
        <v>148</v>
      </c>
      <c r="O32" s="3" t="s">
        <v>27</v>
      </c>
      <c r="P32" s="3" t="s">
        <v>13</v>
      </c>
      <c r="Q32" s="3" t="s">
        <v>126</v>
      </c>
      <c r="R32" s="3" t="s">
        <v>146</v>
      </c>
      <c r="S32" s="3" t="s">
        <v>147</v>
      </c>
      <c r="T32" s="3" t="str">
        <f>"0000000223119"</f>
        <v>0000000223119</v>
      </c>
      <c r="U32" s="3" t="s">
        <v>32</v>
      </c>
      <c r="V32" s="3" t="s">
        <v>33</v>
      </c>
      <c r="W32" s="3" t="s">
        <v>148</v>
      </c>
      <c r="X32" s="3" t="s">
        <v>21</v>
      </c>
      <c r="Y32" s="3" t="s">
        <v>148</v>
      </c>
    </row>
    <row r="33" spans="1:25" x14ac:dyDescent="0.25">
      <c r="B33" s="1" t="s">
        <v>38</v>
      </c>
      <c r="C33" s="1" t="s">
        <v>13</v>
      </c>
      <c r="D33" s="1" t="s">
        <v>126</v>
      </c>
      <c r="E33" s="1" t="s">
        <v>149</v>
      </c>
      <c r="F33" s="1" t="s">
        <v>150</v>
      </c>
      <c r="G33" s="1" t="str">
        <f>"0000000223126"</f>
        <v>0000000223126</v>
      </c>
      <c r="H33" s="1" t="s">
        <v>32</v>
      </c>
      <c r="I33" s="1" t="s">
        <v>33</v>
      </c>
      <c r="J33" s="1" t="s">
        <v>151</v>
      </c>
      <c r="K33" s="1" t="s">
        <v>21</v>
      </c>
      <c r="L33" s="1" t="s">
        <v>151</v>
      </c>
      <c r="O33" s="3" t="s">
        <v>38</v>
      </c>
      <c r="P33" s="3" t="s">
        <v>13</v>
      </c>
      <c r="Q33" s="3" t="s">
        <v>126</v>
      </c>
      <c r="R33" s="3" t="s">
        <v>149</v>
      </c>
      <c r="S33" s="3" t="s">
        <v>150</v>
      </c>
      <c r="T33" s="3" t="str">
        <f>"0000000223126"</f>
        <v>0000000223126</v>
      </c>
      <c r="U33" s="3" t="s">
        <v>32</v>
      </c>
      <c r="V33" s="3" t="s">
        <v>33</v>
      </c>
      <c r="W33" s="3" t="s">
        <v>151</v>
      </c>
      <c r="X33" s="3" t="s">
        <v>21</v>
      </c>
      <c r="Y33" s="3" t="s">
        <v>151</v>
      </c>
    </row>
    <row r="34" spans="1:25" x14ac:dyDescent="0.25">
      <c r="B34" s="1" t="s">
        <v>27</v>
      </c>
      <c r="C34" s="1" t="s">
        <v>13</v>
      </c>
      <c r="D34" s="1" t="s">
        <v>126</v>
      </c>
      <c r="E34" s="1" t="s">
        <v>152</v>
      </c>
      <c r="F34" s="1" t="s">
        <v>153</v>
      </c>
      <c r="G34" s="1" t="str">
        <f>"0000000243643"</f>
        <v>0000000243643</v>
      </c>
      <c r="H34" s="1" t="s">
        <v>32</v>
      </c>
      <c r="I34" s="1" t="s">
        <v>33</v>
      </c>
      <c r="J34" s="1" t="s">
        <v>154</v>
      </c>
      <c r="K34" s="1" t="s">
        <v>21</v>
      </c>
      <c r="L34" s="1" t="s">
        <v>154</v>
      </c>
      <c r="O34" s="3" t="s">
        <v>27</v>
      </c>
      <c r="P34" s="3" t="s">
        <v>13</v>
      </c>
      <c r="Q34" s="3" t="s">
        <v>126</v>
      </c>
      <c r="R34" s="3" t="s">
        <v>152</v>
      </c>
      <c r="S34" s="3" t="s">
        <v>153</v>
      </c>
      <c r="T34" s="3" t="str">
        <f>"0000000243643"</f>
        <v>0000000243643</v>
      </c>
      <c r="U34" s="3" t="s">
        <v>32</v>
      </c>
      <c r="V34" s="3" t="s">
        <v>33</v>
      </c>
      <c r="W34" s="3" t="s">
        <v>154</v>
      </c>
      <c r="X34" s="3" t="s">
        <v>21</v>
      </c>
      <c r="Y34" s="3" t="s">
        <v>154</v>
      </c>
    </row>
    <row r="35" spans="1:25" x14ac:dyDescent="0.25">
      <c r="B35" s="1" t="s">
        <v>38</v>
      </c>
      <c r="C35" s="1" t="s">
        <v>13</v>
      </c>
      <c r="D35" s="1" t="s">
        <v>126</v>
      </c>
      <c r="E35" s="1" t="s">
        <v>155</v>
      </c>
      <c r="F35" s="1" t="s">
        <v>156</v>
      </c>
      <c r="G35" s="1" t="str">
        <f>"0000000278836"</f>
        <v>0000000278836</v>
      </c>
      <c r="H35" s="1" t="s">
        <v>32</v>
      </c>
      <c r="I35" s="1" t="s">
        <v>33</v>
      </c>
      <c r="J35" s="1" t="s">
        <v>157</v>
      </c>
      <c r="K35" s="1" t="s">
        <v>21</v>
      </c>
      <c r="L35" s="1" t="s">
        <v>157</v>
      </c>
      <c r="O35" s="3" t="s">
        <v>38</v>
      </c>
      <c r="P35" s="3" t="s">
        <v>13</v>
      </c>
      <c r="Q35" s="3" t="s">
        <v>126</v>
      </c>
      <c r="R35" s="3" t="s">
        <v>155</v>
      </c>
      <c r="S35" s="3" t="s">
        <v>156</v>
      </c>
      <c r="T35" s="3" t="str">
        <f>"0000000278836"</f>
        <v>0000000278836</v>
      </c>
      <c r="U35" s="3" t="s">
        <v>32</v>
      </c>
      <c r="V35" s="3" t="s">
        <v>33</v>
      </c>
      <c r="W35" s="3" t="s">
        <v>157</v>
      </c>
      <c r="X35" s="3" t="s">
        <v>21</v>
      </c>
      <c r="Y35" s="3" t="s">
        <v>157</v>
      </c>
    </row>
    <row r="36" spans="1:25" x14ac:dyDescent="0.25">
      <c r="A36" s="1" t="s">
        <v>1</v>
      </c>
      <c r="B36" s="1" t="s">
        <v>27</v>
      </c>
      <c r="C36" s="1" t="s">
        <v>13</v>
      </c>
      <c r="D36" s="1" t="s">
        <v>158</v>
      </c>
      <c r="E36" s="1" t="s">
        <v>159</v>
      </c>
      <c r="F36" s="1" t="s">
        <v>160</v>
      </c>
      <c r="G36" s="1" t="s">
        <v>161</v>
      </c>
      <c r="H36" s="1" t="s">
        <v>32</v>
      </c>
      <c r="I36" s="1" t="s">
        <v>162</v>
      </c>
      <c r="J36" s="1" t="s">
        <v>163</v>
      </c>
      <c r="K36" s="1" t="s">
        <v>21</v>
      </c>
      <c r="L36" s="1" t="s">
        <v>163</v>
      </c>
      <c r="N36" s="3" t="s">
        <v>1</v>
      </c>
      <c r="O36" s="3" t="s">
        <v>27</v>
      </c>
      <c r="P36" s="3" t="s">
        <v>13</v>
      </c>
      <c r="Q36" s="3" t="s">
        <v>158</v>
      </c>
      <c r="R36" s="3" t="s">
        <v>159</v>
      </c>
      <c r="S36" s="3" t="s">
        <v>160</v>
      </c>
      <c r="T36" s="3" t="s">
        <v>161</v>
      </c>
      <c r="U36" s="3" t="s">
        <v>32</v>
      </c>
      <c r="V36" s="3" t="s">
        <v>162</v>
      </c>
      <c r="W36" s="3" t="s">
        <v>163</v>
      </c>
      <c r="X36" s="3" t="s">
        <v>21</v>
      </c>
      <c r="Y36" s="3" t="s">
        <v>163</v>
      </c>
    </row>
    <row r="37" spans="1:25" x14ac:dyDescent="0.25">
      <c r="A37" s="1" t="s">
        <v>1</v>
      </c>
      <c r="B37" s="1" t="s">
        <v>27</v>
      </c>
      <c r="C37" s="1" t="s">
        <v>13</v>
      </c>
      <c r="D37" s="1" t="s">
        <v>164</v>
      </c>
      <c r="E37" s="1" t="s">
        <v>165</v>
      </c>
      <c r="F37" s="1" t="s">
        <v>166</v>
      </c>
      <c r="G37" s="1" t="s">
        <v>167</v>
      </c>
      <c r="H37" s="1" t="s">
        <v>32</v>
      </c>
      <c r="I37" s="1" t="s">
        <v>168</v>
      </c>
      <c r="J37" s="1" t="s">
        <v>169</v>
      </c>
      <c r="K37" s="1" t="s">
        <v>21</v>
      </c>
      <c r="L37" s="1" t="s">
        <v>169</v>
      </c>
      <c r="N37" s="3" t="s">
        <v>1</v>
      </c>
      <c r="O37" s="3" t="s">
        <v>27</v>
      </c>
      <c r="P37" s="3" t="s">
        <v>13</v>
      </c>
      <c r="Q37" s="3" t="s">
        <v>164</v>
      </c>
      <c r="R37" s="3" t="s">
        <v>165</v>
      </c>
      <c r="S37" s="3" t="s">
        <v>166</v>
      </c>
      <c r="T37" s="3" t="s">
        <v>167</v>
      </c>
      <c r="U37" s="3" t="s">
        <v>32</v>
      </c>
      <c r="V37" s="3" t="s">
        <v>168</v>
      </c>
      <c r="W37" s="3" t="s">
        <v>169</v>
      </c>
      <c r="X37" s="3" t="s">
        <v>21</v>
      </c>
      <c r="Y37" s="3" t="s">
        <v>169</v>
      </c>
    </row>
    <row r="38" spans="1:25" x14ac:dyDescent="0.25">
      <c r="A38" s="1" t="s">
        <v>1</v>
      </c>
      <c r="B38" s="1" t="s">
        <v>27</v>
      </c>
      <c r="C38" s="1" t="s">
        <v>13</v>
      </c>
      <c r="D38" s="1" t="s">
        <v>164</v>
      </c>
      <c r="E38" s="1" t="s">
        <v>170</v>
      </c>
      <c r="F38" s="1" t="s">
        <v>171</v>
      </c>
      <c r="G38" s="1" t="str">
        <f>"0000000129190"</f>
        <v>0000000129190</v>
      </c>
      <c r="H38" s="1" t="s">
        <v>32</v>
      </c>
      <c r="I38" s="1" t="s">
        <v>33</v>
      </c>
      <c r="J38" s="1" t="s">
        <v>264</v>
      </c>
      <c r="K38" s="1" t="s">
        <v>21</v>
      </c>
      <c r="L38" s="1" t="s">
        <v>264</v>
      </c>
      <c r="N38" s="3" t="s">
        <v>1</v>
      </c>
      <c r="O38" s="3" t="s">
        <v>27</v>
      </c>
      <c r="P38" s="3" t="s">
        <v>13</v>
      </c>
      <c r="Q38" s="3" t="s">
        <v>164</v>
      </c>
      <c r="R38" s="3" t="s">
        <v>170</v>
      </c>
      <c r="S38" s="3" t="s">
        <v>171</v>
      </c>
      <c r="T38" s="3" t="str">
        <f>"0000000129190"</f>
        <v>0000000129190</v>
      </c>
      <c r="U38" s="3" t="s">
        <v>32</v>
      </c>
      <c r="V38" s="3" t="s">
        <v>33</v>
      </c>
      <c r="W38" s="3" t="s">
        <v>172</v>
      </c>
      <c r="X38" s="3" t="s">
        <v>21</v>
      </c>
      <c r="Y38" s="3" t="s">
        <v>172</v>
      </c>
    </row>
    <row r="39" spans="1:25" x14ac:dyDescent="0.25">
      <c r="A39" s="1" t="s">
        <v>1</v>
      </c>
      <c r="B39" s="1" t="s">
        <v>27</v>
      </c>
      <c r="C39" s="1" t="s">
        <v>13</v>
      </c>
      <c r="D39" s="1" t="s">
        <v>164</v>
      </c>
      <c r="E39" s="1" t="s">
        <v>265</v>
      </c>
      <c r="F39" s="1" t="s">
        <v>266</v>
      </c>
      <c r="G39" s="1" t="str">
        <f>"0000000151634"</f>
        <v>0000000151634</v>
      </c>
      <c r="H39" s="1" t="s">
        <v>32</v>
      </c>
      <c r="I39" s="1" t="s">
        <v>33</v>
      </c>
      <c r="J39" s="1" t="s">
        <v>267</v>
      </c>
      <c r="K39" s="1" t="s">
        <v>21</v>
      </c>
      <c r="L39" s="1" t="s">
        <v>267</v>
      </c>
      <c r="N39" s="3" t="s">
        <v>1</v>
      </c>
      <c r="O39" s="3" t="s">
        <v>27</v>
      </c>
      <c r="P39" s="3" t="s">
        <v>13</v>
      </c>
      <c r="Q39" s="3" t="s">
        <v>164</v>
      </c>
      <c r="R39" s="3" t="s">
        <v>173</v>
      </c>
      <c r="S39" s="3" t="s">
        <v>174</v>
      </c>
      <c r="T39" s="3" t="str">
        <f>"0000000416627"</f>
        <v>0000000416627</v>
      </c>
      <c r="U39" s="3" t="s">
        <v>32</v>
      </c>
      <c r="V39" s="3" t="s">
        <v>33</v>
      </c>
      <c r="W39" s="3" t="s">
        <v>175</v>
      </c>
      <c r="X39" s="3" t="s">
        <v>21</v>
      </c>
      <c r="Y39" s="3" t="s">
        <v>175</v>
      </c>
    </row>
    <row r="40" spans="1:25" x14ac:dyDescent="0.25">
      <c r="B40" s="1" t="s">
        <v>27</v>
      </c>
      <c r="C40" s="1" t="s">
        <v>13</v>
      </c>
      <c r="D40" s="1" t="s">
        <v>164</v>
      </c>
      <c r="E40" s="1" t="s">
        <v>176</v>
      </c>
      <c r="F40" s="1" t="s">
        <v>177</v>
      </c>
      <c r="G40" s="1" t="str">
        <f>"0000000170956"</f>
        <v>0000000170956</v>
      </c>
      <c r="H40" s="1" t="s">
        <v>32</v>
      </c>
      <c r="I40" s="1" t="s">
        <v>33</v>
      </c>
      <c r="J40" s="1" t="s">
        <v>178</v>
      </c>
      <c r="K40" s="1" t="s">
        <v>21</v>
      </c>
      <c r="L40" s="1" t="s">
        <v>178</v>
      </c>
      <c r="O40" s="3" t="s">
        <v>27</v>
      </c>
      <c r="P40" s="3" t="s">
        <v>13</v>
      </c>
      <c r="Q40" s="3" t="s">
        <v>164</v>
      </c>
      <c r="R40" s="3" t="s">
        <v>176</v>
      </c>
      <c r="S40" s="3" t="s">
        <v>177</v>
      </c>
      <c r="T40" s="3" t="str">
        <f>"0000000170956"</f>
        <v>0000000170956</v>
      </c>
      <c r="U40" s="3" t="s">
        <v>32</v>
      </c>
      <c r="V40" s="3" t="s">
        <v>33</v>
      </c>
      <c r="W40" s="3" t="s">
        <v>178</v>
      </c>
      <c r="X40" s="3" t="s">
        <v>21</v>
      </c>
      <c r="Y40" s="3" t="s">
        <v>178</v>
      </c>
    </row>
    <row r="41" spans="1:25" x14ac:dyDescent="0.25">
      <c r="A41" s="1" t="s">
        <v>1</v>
      </c>
      <c r="B41" s="1" t="s">
        <v>27</v>
      </c>
      <c r="C41" s="1" t="s">
        <v>13</v>
      </c>
      <c r="D41" s="1" t="s">
        <v>164</v>
      </c>
      <c r="E41" s="1" t="s">
        <v>179</v>
      </c>
      <c r="F41" s="1" t="s">
        <v>180</v>
      </c>
      <c r="G41" s="1" t="str">
        <f>"0000000263573"</f>
        <v>0000000263573</v>
      </c>
      <c r="H41" s="1" t="s">
        <v>32</v>
      </c>
      <c r="I41" s="1" t="s">
        <v>33</v>
      </c>
      <c r="J41" s="1" t="s">
        <v>181</v>
      </c>
      <c r="K41" s="1" t="s">
        <v>21</v>
      </c>
      <c r="L41" s="1" t="s">
        <v>181</v>
      </c>
      <c r="N41" s="3" t="s">
        <v>1</v>
      </c>
      <c r="O41" s="3" t="s">
        <v>27</v>
      </c>
      <c r="P41" s="3" t="s">
        <v>13</v>
      </c>
      <c r="Q41" s="3" t="s">
        <v>164</v>
      </c>
      <c r="R41" s="3" t="s">
        <v>179</v>
      </c>
      <c r="S41" s="3" t="s">
        <v>180</v>
      </c>
      <c r="T41" s="3" t="str">
        <f>"0000000263573"</f>
        <v>0000000263573</v>
      </c>
      <c r="U41" s="3" t="s">
        <v>32</v>
      </c>
      <c r="V41" s="3" t="s">
        <v>33</v>
      </c>
      <c r="W41" s="3" t="s">
        <v>181</v>
      </c>
      <c r="X41" s="3" t="s">
        <v>21</v>
      </c>
      <c r="Y41" s="3" t="s">
        <v>181</v>
      </c>
    </row>
    <row r="42" spans="1:25" x14ac:dyDescent="0.25">
      <c r="A42" s="1" t="s">
        <v>1</v>
      </c>
      <c r="B42" s="1" t="s">
        <v>27</v>
      </c>
      <c r="C42" s="1" t="s">
        <v>13</v>
      </c>
      <c r="D42" s="1" t="s">
        <v>164</v>
      </c>
      <c r="E42" s="1" t="s">
        <v>182</v>
      </c>
      <c r="F42" s="1" t="s">
        <v>183</v>
      </c>
      <c r="G42" s="1" t="str">
        <f>"0000000352031"</f>
        <v>0000000352031</v>
      </c>
      <c r="H42" s="1" t="s">
        <v>32</v>
      </c>
      <c r="I42" s="1" t="s">
        <v>33</v>
      </c>
      <c r="J42" s="1" t="s">
        <v>268</v>
      </c>
      <c r="K42" s="1" t="s">
        <v>21</v>
      </c>
      <c r="L42" s="1" t="s">
        <v>268</v>
      </c>
      <c r="N42" s="3" t="s">
        <v>1</v>
      </c>
      <c r="O42" s="3" t="s">
        <v>27</v>
      </c>
      <c r="P42" s="3" t="s">
        <v>13</v>
      </c>
      <c r="Q42" s="3" t="s">
        <v>164</v>
      </c>
      <c r="R42" s="3" t="s">
        <v>182</v>
      </c>
      <c r="S42" s="3" t="s">
        <v>183</v>
      </c>
      <c r="T42" s="3" t="str">
        <f>"0000000352031"</f>
        <v>0000000352031</v>
      </c>
      <c r="U42" s="3" t="s">
        <v>32</v>
      </c>
      <c r="V42" s="3" t="s">
        <v>33</v>
      </c>
      <c r="W42" s="3" t="s">
        <v>184</v>
      </c>
      <c r="X42" s="3" t="s">
        <v>21</v>
      </c>
      <c r="Y42" s="3" t="s">
        <v>184</v>
      </c>
    </row>
    <row r="43" spans="1:25" x14ac:dyDescent="0.25">
      <c r="A43" s="1" t="s">
        <v>1</v>
      </c>
      <c r="B43" s="1" t="s">
        <v>27</v>
      </c>
      <c r="C43" s="1" t="s">
        <v>13</v>
      </c>
      <c r="D43" s="1" t="s">
        <v>185</v>
      </c>
      <c r="E43" s="1" t="s">
        <v>186</v>
      </c>
      <c r="F43" s="1" t="s">
        <v>187</v>
      </c>
      <c r="G43" s="1" t="s">
        <v>188</v>
      </c>
      <c r="H43" s="1" t="s">
        <v>32</v>
      </c>
      <c r="I43" s="1" t="s">
        <v>33</v>
      </c>
      <c r="J43" s="1" t="s">
        <v>269</v>
      </c>
      <c r="K43" s="1" t="s">
        <v>21</v>
      </c>
      <c r="L43" s="1" t="s">
        <v>269</v>
      </c>
      <c r="N43" s="3" t="s">
        <v>1</v>
      </c>
      <c r="O43" s="3" t="s">
        <v>27</v>
      </c>
      <c r="P43" s="3" t="s">
        <v>13</v>
      </c>
      <c r="Q43" s="3" t="s">
        <v>185</v>
      </c>
      <c r="R43" s="3" t="s">
        <v>186</v>
      </c>
      <c r="S43" s="3" t="s">
        <v>187</v>
      </c>
      <c r="T43" s="3" t="s">
        <v>188</v>
      </c>
      <c r="U43" s="3" t="s">
        <v>32</v>
      </c>
      <c r="V43" s="3" t="s">
        <v>33</v>
      </c>
      <c r="W43" s="3" t="s">
        <v>189</v>
      </c>
      <c r="X43" s="3" t="s">
        <v>21</v>
      </c>
      <c r="Y43" s="3" t="s">
        <v>189</v>
      </c>
    </row>
    <row r="44" spans="1:25" x14ac:dyDescent="0.25">
      <c r="A44" s="1" t="s">
        <v>1</v>
      </c>
      <c r="B44" s="1" t="s">
        <v>27</v>
      </c>
      <c r="C44" s="1" t="s">
        <v>13</v>
      </c>
      <c r="D44" s="1" t="s">
        <v>185</v>
      </c>
      <c r="E44" s="1" t="s">
        <v>190</v>
      </c>
      <c r="F44" s="1" t="s">
        <v>191</v>
      </c>
      <c r="G44" s="1" t="s">
        <v>192</v>
      </c>
      <c r="H44" s="1" t="s">
        <v>32</v>
      </c>
      <c r="I44" s="1" t="s">
        <v>193</v>
      </c>
      <c r="J44" s="1" t="s">
        <v>194</v>
      </c>
      <c r="K44" s="1" t="s">
        <v>21</v>
      </c>
      <c r="L44" s="1" t="s">
        <v>194</v>
      </c>
      <c r="N44" s="3" t="s">
        <v>1</v>
      </c>
      <c r="O44" s="3" t="s">
        <v>27</v>
      </c>
      <c r="P44" s="3" t="s">
        <v>13</v>
      </c>
      <c r="Q44" s="3" t="s">
        <v>185</v>
      </c>
      <c r="R44" s="3" t="s">
        <v>190</v>
      </c>
      <c r="S44" s="3" t="s">
        <v>191</v>
      </c>
      <c r="T44" s="3" t="s">
        <v>192</v>
      </c>
      <c r="U44" s="3" t="s">
        <v>32</v>
      </c>
      <c r="V44" s="3" t="s">
        <v>193</v>
      </c>
      <c r="W44" s="3" t="s">
        <v>194</v>
      </c>
      <c r="X44" s="3" t="s">
        <v>21</v>
      </c>
      <c r="Y44" s="3" t="s">
        <v>194</v>
      </c>
    </row>
    <row r="45" spans="1:25" x14ac:dyDescent="0.25">
      <c r="A45" s="1" t="s">
        <v>1</v>
      </c>
      <c r="B45" s="1" t="s">
        <v>27</v>
      </c>
      <c r="C45" s="1" t="s">
        <v>13</v>
      </c>
      <c r="D45" s="1" t="s">
        <v>185</v>
      </c>
      <c r="E45" s="1" t="s">
        <v>195</v>
      </c>
      <c r="F45" s="1" t="s">
        <v>196</v>
      </c>
      <c r="G45" s="1" t="str">
        <f>"0000000075022"</f>
        <v>0000000075022</v>
      </c>
      <c r="H45" s="1" t="s">
        <v>32</v>
      </c>
      <c r="I45" s="1" t="s">
        <v>33</v>
      </c>
      <c r="J45" s="1" t="s">
        <v>270</v>
      </c>
      <c r="K45" s="1" t="s">
        <v>21</v>
      </c>
      <c r="L45" s="1" t="s">
        <v>270</v>
      </c>
      <c r="N45" s="3" t="s">
        <v>1</v>
      </c>
      <c r="O45" s="3" t="s">
        <v>27</v>
      </c>
      <c r="P45" s="3" t="s">
        <v>13</v>
      </c>
      <c r="Q45" s="3" t="s">
        <v>185</v>
      </c>
      <c r="R45" s="3" t="s">
        <v>195</v>
      </c>
      <c r="S45" s="3" t="s">
        <v>196</v>
      </c>
      <c r="T45" s="3" t="str">
        <f>"0000000075022"</f>
        <v>0000000075022</v>
      </c>
      <c r="U45" s="3" t="s">
        <v>32</v>
      </c>
      <c r="V45" s="3" t="s">
        <v>33</v>
      </c>
      <c r="W45" s="3" t="s">
        <v>197</v>
      </c>
      <c r="X45" s="3" t="s">
        <v>21</v>
      </c>
      <c r="Y45" s="3" t="s">
        <v>197</v>
      </c>
    </row>
    <row r="46" spans="1:25" x14ac:dyDescent="0.25">
      <c r="A46" s="1" t="s">
        <v>1</v>
      </c>
      <c r="B46" s="1" t="s">
        <v>27</v>
      </c>
      <c r="C46" s="1" t="s">
        <v>13</v>
      </c>
      <c r="D46" s="1" t="s">
        <v>185</v>
      </c>
      <c r="E46" s="1" t="s">
        <v>198</v>
      </c>
      <c r="F46" s="1" t="s">
        <v>199</v>
      </c>
      <c r="G46" s="1" t="str">
        <f>"0000000163026"</f>
        <v>0000000163026</v>
      </c>
      <c r="H46" s="1" t="s">
        <v>32</v>
      </c>
      <c r="I46" s="1" t="s">
        <v>33</v>
      </c>
      <c r="J46" s="1" t="s">
        <v>200</v>
      </c>
      <c r="K46" s="1" t="s">
        <v>21</v>
      </c>
      <c r="L46" s="1" t="s">
        <v>200</v>
      </c>
      <c r="N46" s="3" t="s">
        <v>1</v>
      </c>
      <c r="O46" s="3" t="s">
        <v>27</v>
      </c>
      <c r="P46" s="3" t="s">
        <v>13</v>
      </c>
      <c r="Q46" s="3" t="s">
        <v>185</v>
      </c>
      <c r="R46" s="3" t="s">
        <v>198</v>
      </c>
      <c r="S46" s="3" t="s">
        <v>199</v>
      </c>
      <c r="T46" s="3" t="str">
        <f>"0000000163026"</f>
        <v>0000000163026</v>
      </c>
      <c r="U46" s="3" t="s">
        <v>32</v>
      </c>
      <c r="V46" s="3" t="s">
        <v>33</v>
      </c>
      <c r="W46" s="3" t="s">
        <v>200</v>
      </c>
      <c r="X46" s="3" t="s">
        <v>21</v>
      </c>
      <c r="Y46" s="3" t="s">
        <v>200</v>
      </c>
    </row>
    <row r="47" spans="1:25" x14ac:dyDescent="0.25">
      <c r="A47" s="1" t="s">
        <v>1</v>
      </c>
      <c r="B47" s="1" t="s">
        <v>27</v>
      </c>
      <c r="C47" s="1" t="s">
        <v>13</v>
      </c>
      <c r="D47" s="1" t="s">
        <v>185</v>
      </c>
      <c r="E47" s="1" t="s">
        <v>201</v>
      </c>
      <c r="F47" s="1" t="s">
        <v>202</v>
      </c>
      <c r="G47" s="1" t="str">
        <f>"0000000163033"</f>
        <v>0000000163033</v>
      </c>
      <c r="H47" s="1" t="s">
        <v>32</v>
      </c>
      <c r="I47" s="1" t="s">
        <v>33</v>
      </c>
      <c r="J47" s="1" t="s">
        <v>203</v>
      </c>
      <c r="K47" s="1" t="s">
        <v>21</v>
      </c>
      <c r="L47" s="1" t="s">
        <v>203</v>
      </c>
      <c r="N47" s="3" t="s">
        <v>1</v>
      </c>
      <c r="O47" s="3" t="s">
        <v>27</v>
      </c>
      <c r="P47" s="3" t="s">
        <v>13</v>
      </c>
      <c r="Q47" s="3" t="s">
        <v>185</v>
      </c>
      <c r="R47" s="3" t="s">
        <v>201</v>
      </c>
      <c r="S47" s="3" t="s">
        <v>202</v>
      </c>
      <c r="T47" s="3" t="str">
        <f>"0000000163033"</f>
        <v>0000000163033</v>
      </c>
      <c r="U47" s="3" t="s">
        <v>32</v>
      </c>
      <c r="V47" s="3" t="s">
        <v>33</v>
      </c>
      <c r="W47" s="3" t="s">
        <v>203</v>
      </c>
      <c r="X47" s="3" t="s">
        <v>21</v>
      </c>
      <c r="Y47" s="3" t="s">
        <v>203</v>
      </c>
    </row>
    <row r="48" spans="1:25" x14ac:dyDescent="0.25">
      <c r="A48" s="1" t="s">
        <v>1</v>
      </c>
      <c r="B48" s="1" t="s">
        <v>27</v>
      </c>
      <c r="C48" s="1" t="s">
        <v>13</v>
      </c>
      <c r="D48" s="1" t="s">
        <v>204</v>
      </c>
      <c r="E48" s="1" t="s">
        <v>205</v>
      </c>
      <c r="F48" s="1" t="s">
        <v>206</v>
      </c>
      <c r="G48" s="1" t="str">
        <f>"0000000106320"</f>
        <v>0000000106320</v>
      </c>
      <c r="H48" s="1" t="s">
        <v>32</v>
      </c>
      <c r="I48" s="1" t="s">
        <v>33</v>
      </c>
      <c r="J48" s="1" t="s">
        <v>271</v>
      </c>
      <c r="K48" s="1" t="s">
        <v>21</v>
      </c>
      <c r="L48" s="1" t="s">
        <v>271</v>
      </c>
      <c r="N48" s="3" t="s">
        <v>1</v>
      </c>
      <c r="O48" s="3" t="s">
        <v>27</v>
      </c>
      <c r="P48" s="3" t="s">
        <v>13</v>
      </c>
      <c r="Q48" s="3" t="s">
        <v>204</v>
      </c>
      <c r="R48" s="3" t="s">
        <v>205</v>
      </c>
      <c r="S48" s="3" t="s">
        <v>206</v>
      </c>
      <c r="T48" s="3" t="str">
        <f>"0000000106320"</f>
        <v>0000000106320</v>
      </c>
      <c r="U48" s="3" t="s">
        <v>32</v>
      </c>
      <c r="V48" s="3" t="s">
        <v>33</v>
      </c>
      <c r="W48" s="3" t="s">
        <v>207</v>
      </c>
      <c r="X48" s="3" t="s">
        <v>21</v>
      </c>
      <c r="Y48" s="3" t="s">
        <v>207</v>
      </c>
    </row>
    <row r="49" spans="1:25" x14ac:dyDescent="0.25">
      <c r="A49" s="1" t="s">
        <v>1</v>
      </c>
      <c r="B49" s="1" t="s">
        <v>27</v>
      </c>
      <c r="C49" s="1" t="s">
        <v>13</v>
      </c>
      <c r="D49" s="1" t="s">
        <v>204</v>
      </c>
      <c r="E49" s="1" t="s">
        <v>272</v>
      </c>
      <c r="F49" s="1" t="s">
        <v>273</v>
      </c>
      <c r="G49" s="1" t="str">
        <f>"0000000153553"</f>
        <v>0000000153553</v>
      </c>
      <c r="H49" s="1" t="s">
        <v>32</v>
      </c>
      <c r="I49" s="1" t="s">
        <v>33</v>
      </c>
      <c r="J49" s="1" t="s">
        <v>274</v>
      </c>
      <c r="K49" s="1" t="s">
        <v>21</v>
      </c>
      <c r="L49" s="1" t="s">
        <v>274</v>
      </c>
      <c r="N49" s="3" t="s">
        <v>1</v>
      </c>
      <c r="O49" s="3" t="s">
        <v>27</v>
      </c>
      <c r="P49" s="3" t="s">
        <v>13</v>
      </c>
      <c r="Q49" s="3" t="s">
        <v>204</v>
      </c>
      <c r="R49" s="3" t="s">
        <v>208</v>
      </c>
      <c r="S49" s="3" t="s">
        <v>209</v>
      </c>
      <c r="T49" s="3" t="str">
        <f>"0000000374811"</f>
        <v>0000000374811</v>
      </c>
      <c r="U49" s="3" t="s">
        <v>32</v>
      </c>
      <c r="V49" s="3" t="s">
        <v>33</v>
      </c>
      <c r="W49" s="3" t="s">
        <v>210</v>
      </c>
      <c r="X49" s="3" t="s">
        <v>21</v>
      </c>
      <c r="Y49" s="3" t="s">
        <v>210</v>
      </c>
    </row>
    <row r="50" spans="1:25" x14ac:dyDescent="0.25">
      <c r="A50" s="1" t="s">
        <v>1</v>
      </c>
      <c r="B50" s="1" t="s">
        <v>27</v>
      </c>
      <c r="C50" s="1" t="s">
        <v>13</v>
      </c>
      <c r="D50" s="1" t="s">
        <v>204</v>
      </c>
      <c r="E50" s="1" t="s">
        <v>211</v>
      </c>
      <c r="F50" s="1" t="s">
        <v>212</v>
      </c>
      <c r="G50" s="1" t="str">
        <f>"0000000319447"</f>
        <v>0000000319447</v>
      </c>
      <c r="H50" s="1" t="s">
        <v>32</v>
      </c>
      <c r="I50" s="1" t="s">
        <v>33</v>
      </c>
      <c r="J50" s="1" t="s">
        <v>275</v>
      </c>
      <c r="K50" s="1" t="s">
        <v>21</v>
      </c>
      <c r="L50" s="1" t="s">
        <v>275</v>
      </c>
      <c r="N50" s="3" t="s">
        <v>1</v>
      </c>
      <c r="O50" s="3" t="s">
        <v>27</v>
      </c>
      <c r="P50" s="3" t="s">
        <v>13</v>
      </c>
      <c r="Q50" s="3" t="s">
        <v>204</v>
      </c>
      <c r="R50" s="3" t="s">
        <v>211</v>
      </c>
      <c r="S50" s="3" t="s">
        <v>212</v>
      </c>
      <c r="T50" s="3" t="str">
        <f>"0000000319447"</f>
        <v>0000000319447</v>
      </c>
      <c r="U50" s="3" t="s">
        <v>32</v>
      </c>
      <c r="V50" s="3" t="s">
        <v>33</v>
      </c>
      <c r="W50" s="3" t="s">
        <v>213</v>
      </c>
      <c r="X50" s="3" t="s">
        <v>21</v>
      </c>
      <c r="Y50" s="3" t="s">
        <v>213</v>
      </c>
    </row>
    <row r="51" spans="1:25" x14ac:dyDescent="0.25">
      <c r="B51" s="1" t="s">
        <v>27</v>
      </c>
      <c r="C51" s="1" t="s">
        <v>13</v>
      </c>
      <c r="D51" s="1" t="s">
        <v>214</v>
      </c>
      <c r="E51" s="1" t="s">
        <v>215</v>
      </c>
      <c r="F51" s="1" t="s">
        <v>216</v>
      </c>
      <c r="G51" s="1" t="str">
        <f>"0000000094634"</f>
        <v>0000000094634</v>
      </c>
      <c r="H51" s="1" t="s">
        <v>217</v>
      </c>
      <c r="I51" s="1" t="s">
        <v>218</v>
      </c>
      <c r="J51" s="1" t="s">
        <v>276</v>
      </c>
      <c r="K51" s="1" t="s">
        <v>21</v>
      </c>
      <c r="L51" s="1" t="s">
        <v>276</v>
      </c>
      <c r="O51" s="3" t="s">
        <v>27</v>
      </c>
      <c r="P51" s="3" t="s">
        <v>13</v>
      </c>
      <c r="Q51" s="3" t="s">
        <v>214</v>
      </c>
      <c r="R51" s="3" t="s">
        <v>215</v>
      </c>
      <c r="S51" s="3" t="s">
        <v>216</v>
      </c>
      <c r="T51" s="3" t="str">
        <f>"0000000094634"</f>
        <v>0000000094634</v>
      </c>
      <c r="U51" s="3" t="s">
        <v>217</v>
      </c>
      <c r="V51" s="3" t="s">
        <v>218</v>
      </c>
      <c r="W51" s="3" t="s">
        <v>219</v>
      </c>
      <c r="X51" s="3" t="s">
        <v>21</v>
      </c>
      <c r="Y51" s="3" t="s">
        <v>219</v>
      </c>
    </row>
    <row r="52" spans="1:25" x14ac:dyDescent="0.25">
      <c r="B52" s="1" t="s">
        <v>220</v>
      </c>
      <c r="C52" s="1" t="s">
        <v>13</v>
      </c>
      <c r="D52" s="1" t="s">
        <v>221</v>
      </c>
      <c r="E52" s="1" t="s">
        <v>222</v>
      </c>
      <c r="F52" s="1" t="s">
        <v>223</v>
      </c>
      <c r="G52" s="1" t="s">
        <v>224</v>
      </c>
      <c r="H52" s="1" t="s">
        <v>217</v>
      </c>
      <c r="I52" s="1" t="s">
        <v>218</v>
      </c>
      <c r="J52" s="1" t="s">
        <v>225</v>
      </c>
      <c r="K52" s="1" t="s">
        <v>21</v>
      </c>
      <c r="L52" s="1" t="s">
        <v>225</v>
      </c>
      <c r="O52" s="3" t="s">
        <v>220</v>
      </c>
      <c r="P52" s="3" t="s">
        <v>13</v>
      </c>
      <c r="Q52" s="3" t="s">
        <v>221</v>
      </c>
      <c r="R52" s="3" t="s">
        <v>222</v>
      </c>
      <c r="S52" s="3" t="s">
        <v>223</v>
      </c>
      <c r="T52" s="3" t="s">
        <v>224</v>
      </c>
      <c r="U52" s="3" t="s">
        <v>217</v>
      </c>
      <c r="V52" s="3" t="s">
        <v>218</v>
      </c>
      <c r="W52" s="3" t="s">
        <v>225</v>
      </c>
      <c r="X52" s="3" t="s">
        <v>21</v>
      </c>
      <c r="Y52" s="3" t="s">
        <v>225</v>
      </c>
    </row>
    <row r="53" spans="1:25" x14ac:dyDescent="0.25">
      <c r="B53" s="1" t="s">
        <v>22</v>
      </c>
      <c r="C53" s="1" t="s">
        <v>13</v>
      </c>
      <c r="D53" s="1" t="s">
        <v>226</v>
      </c>
      <c r="E53" s="1" t="s">
        <v>227</v>
      </c>
      <c r="F53" s="1" t="s">
        <v>228</v>
      </c>
      <c r="G53" s="1" t="s">
        <v>229</v>
      </c>
      <c r="H53" s="1" t="s">
        <v>18</v>
      </c>
      <c r="I53" s="1" t="s">
        <v>230</v>
      </c>
      <c r="J53" s="1" t="s">
        <v>231</v>
      </c>
      <c r="K53" s="1" t="s">
        <v>21</v>
      </c>
      <c r="L53" s="1" t="s">
        <v>231</v>
      </c>
      <c r="O53" s="3" t="s">
        <v>22</v>
      </c>
      <c r="P53" s="3" t="s">
        <v>13</v>
      </c>
      <c r="Q53" s="3" t="s">
        <v>226</v>
      </c>
      <c r="R53" s="3" t="s">
        <v>227</v>
      </c>
      <c r="S53" s="3" t="s">
        <v>228</v>
      </c>
      <c r="T53" s="3" t="s">
        <v>229</v>
      </c>
      <c r="U53" s="3" t="s">
        <v>18</v>
      </c>
      <c r="V53" s="3" t="s">
        <v>230</v>
      </c>
      <c r="W53" s="3" t="s">
        <v>231</v>
      </c>
      <c r="X53" s="3" t="s">
        <v>21</v>
      </c>
      <c r="Y53" s="3" t="s">
        <v>231</v>
      </c>
    </row>
    <row r="54" spans="1:25" x14ac:dyDescent="0.25">
      <c r="B54" s="1" t="s">
        <v>38</v>
      </c>
      <c r="C54" s="1" t="s">
        <v>13</v>
      </c>
      <c r="D54" s="1" t="s">
        <v>226</v>
      </c>
      <c r="E54" s="1" t="s">
        <v>232</v>
      </c>
      <c r="F54" s="1" t="s">
        <v>233</v>
      </c>
      <c r="G54" s="1" t="s">
        <v>234</v>
      </c>
      <c r="H54" s="1" t="s">
        <v>18</v>
      </c>
      <c r="I54" s="1" t="s">
        <v>230</v>
      </c>
      <c r="J54" s="1" t="s">
        <v>235</v>
      </c>
      <c r="K54" s="1" t="s">
        <v>21</v>
      </c>
      <c r="L54" s="1" t="s">
        <v>235</v>
      </c>
      <c r="O54" s="3" t="s">
        <v>38</v>
      </c>
      <c r="P54" s="3" t="s">
        <v>13</v>
      </c>
      <c r="Q54" s="3" t="s">
        <v>226</v>
      </c>
      <c r="R54" s="3" t="s">
        <v>232</v>
      </c>
      <c r="S54" s="3" t="s">
        <v>233</v>
      </c>
      <c r="T54" s="3" t="s">
        <v>234</v>
      </c>
      <c r="U54" s="3" t="s">
        <v>18</v>
      </c>
      <c r="V54" s="3" t="s">
        <v>230</v>
      </c>
      <c r="W54" s="3" t="s">
        <v>235</v>
      </c>
      <c r="X54" s="3" t="s">
        <v>21</v>
      </c>
      <c r="Y54" s="3" t="s">
        <v>235</v>
      </c>
    </row>
    <row r="55" spans="1:25" x14ac:dyDescent="0.25">
      <c r="B55" s="1" t="s">
        <v>27</v>
      </c>
      <c r="C55" s="1" t="s">
        <v>13</v>
      </c>
      <c r="D55" s="1" t="s">
        <v>236</v>
      </c>
      <c r="E55" s="1" t="s">
        <v>237</v>
      </c>
      <c r="F55" s="1" t="s">
        <v>238</v>
      </c>
      <c r="G55" s="1" t="str">
        <f>"0000000135436"</f>
        <v>0000000135436</v>
      </c>
      <c r="H55" s="1" t="s">
        <v>32</v>
      </c>
      <c r="I55" s="1" t="s">
        <v>33</v>
      </c>
      <c r="J55" s="1" t="s">
        <v>239</v>
      </c>
      <c r="K55" s="1" t="s">
        <v>21</v>
      </c>
      <c r="L55" s="1" t="s">
        <v>239</v>
      </c>
      <c r="O55" s="3" t="s">
        <v>27</v>
      </c>
      <c r="P55" s="3" t="s">
        <v>13</v>
      </c>
      <c r="Q55" s="3" t="s">
        <v>236</v>
      </c>
      <c r="R55" s="3" t="s">
        <v>237</v>
      </c>
      <c r="S55" s="3" t="s">
        <v>238</v>
      </c>
      <c r="T55" s="3" t="str">
        <f>"0000000135436"</f>
        <v>0000000135436</v>
      </c>
      <c r="U55" s="3" t="s">
        <v>32</v>
      </c>
      <c r="V55" s="3" t="s">
        <v>33</v>
      </c>
      <c r="W55" s="3" t="s">
        <v>239</v>
      </c>
      <c r="X55" s="3" t="s">
        <v>21</v>
      </c>
      <c r="Y55" s="3" t="s">
        <v>239</v>
      </c>
    </row>
    <row r="56" spans="1:25" x14ac:dyDescent="0.25">
      <c r="B56" s="1" t="s">
        <v>27</v>
      </c>
      <c r="C56" s="1" t="s">
        <v>13</v>
      </c>
      <c r="D56" s="1" t="s">
        <v>236</v>
      </c>
      <c r="E56" s="1" t="s">
        <v>240</v>
      </c>
      <c r="F56" s="1" t="s">
        <v>241</v>
      </c>
      <c r="G56" s="1" t="s">
        <v>242</v>
      </c>
      <c r="H56" s="1" t="s">
        <v>32</v>
      </c>
      <c r="I56" s="1" t="s">
        <v>33</v>
      </c>
      <c r="J56" s="1" t="s">
        <v>243</v>
      </c>
      <c r="K56" s="1" t="s">
        <v>21</v>
      </c>
      <c r="L56" s="1" t="s">
        <v>243</v>
      </c>
      <c r="O56" s="3" t="s">
        <v>27</v>
      </c>
      <c r="P56" s="3" t="s">
        <v>13</v>
      </c>
      <c r="Q56" s="3" t="s">
        <v>236</v>
      </c>
      <c r="R56" s="3" t="s">
        <v>240</v>
      </c>
      <c r="S56" s="3" t="s">
        <v>241</v>
      </c>
      <c r="T56" s="3" t="s">
        <v>242</v>
      </c>
      <c r="U56" s="3" t="s">
        <v>32</v>
      </c>
      <c r="V56" s="3" t="s">
        <v>33</v>
      </c>
      <c r="W56" s="3" t="s">
        <v>243</v>
      </c>
      <c r="X56" s="3" t="s">
        <v>21</v>
      </c>
      <c r="Y56" s="3" t="s">
        <v>243</v>
      </c>
    </row>
    <row r="57" spans="1:25" x14ac:dyDescent="0.25">
      <c r="B57" s="1" t="s">
        <v>27</v>
      </c>
      <c r="C57" s="1" t="s">
        <v>13</v>
      </c>
      <c r="D57" s="1" t="s">
        <v>236</v>
      </c>
      <c r="E57" s="1" t="s">
        <v>244</v>
      </c>
      <c r="F57" s="1" t="s">
        <v>245</v>
      </c>
      <c r="G57" s="1" t="s">
        <v>246</v>
      </c>
      <c r="H57" s="1" t="s">
        <v>32</v>
      </c>
      <c r="I57" s="1" t="s">
        <v>33</v>
      </c>
      <c r="J57" s="1" t="s">
        <v>247</v>
      </c>
      <c r="K57" s="1" t="s">
        <v>21</v>
      </c>
      <c r="L57" s="1" t="s">
        <v>247</v>
      </c>
      <c r="O57" s="3" t="s">
        <v>27</v>
      </c>
      <c r="P57" s="3" t="s">
        <v>13</v>
      </c>
      <c r="Q57" s="3" t="s">
        <v>236</v>
      </c>
      <c r="R57" s="3" t="s">
        <v>244</v>
      </c>
      <c r="S57" s="3" t="s">
        <v>245</v>
      </c>
      <c r="T57" s="3" t="s">
        <v>246</v>
      </c>
      <c r="U57" s="3" t="s">
        <v>32</v>
      </c>
      <c r="V57" s="3" t="s">
        <v>33</v>
      </c>
      <c r="W57" s="3" t="s">
        <v>247</v>
      </c>
      <c r="X57" s="3" t="s">
        <v>21</v>
      </c>
      <c r="Y57" s="3" t="s">
        <v>247</v>
      </c>
    </row>
    <row r="58" spans="1:25" x14ac:dyDescent="0.25">
      <c r="B58" s="1" t="s">
        <v>27</v>
      </c>
      <c r="C58" s="1" t="s">
        <v>13</v>
      </c>
      <c r="D58" s="1" t="s">
        <v>236</v>
      </c>
      <c r="E58" s="1" t="s">
        <v>248</v>
      </c>
      <c r="F58" s="1" t="s">
        <v>249</v>
      </c>
      <c r="G58" s="1" t="str">
        <f>"0000000135443"</f>
        <v>0000000135443</v>
      </c>
      <c r="H58" s="1" t="s">
        <v>32</v>
      </c>
      <c r="I58" s="1" t="s">
        <v>33</v>
      </c>
      <c r="J58" s="1" t="s">
        <v>250</v>
      </c>
      <c r="K58" s="1" t="s">
        <v>21</v>
      </c>
      <c r="L58" s="1" t="s">
        <v>250</v>
      </c>
      <c r="O58" s="3" t="s">
        <v>27</v>
      </c>
      <c r="P58" s="3" t="s">
        <v>13</v>
      </c>
      <c r="Q58" s="3" t="s">
        <v>236</v>
      </c>
      <c r="R58" s="3" t="s">
        <v>248</v>
      </c>
      <c r="S58" s="3" t="s">
        <v>249</v>
      </c>
      <c r="T58" s="3" t="str">
        <f>"0000000135443"</f>
        <v>0000000135443</v>
      </c>
      <c r="U58" s="3" t="s">
        <v>32</v>
      </c>
      <c r="V58" s="3" t="s">
        <v>33</v>
      </c>
      <c r="W58" s="3" t="s">
        <v>250</v>
      </c>
      <c r="X58" s="3" t="s">
        <v>21</v>
      </c>
      <c r="Y58" s="3" t="s">
        <v>250</v>
      </c>
    </row>
    <row r="59" spans="1:25" x14ac:dyDescent="0.25">
      <c r="B59" s="1" t="s">
        <v>27</v>
      </c>
      <c r="C59" s="1" t="s">
        <v>13</v>
      </c>
      <c r="D59" s="1" t="s">
        <v>236</v>
      </c>
      <c r="E59" s="1" t="s">
        <v>251</v>
      </c>
      <c r="F59" s="1" t="s">
        <v>252</v>
      </c>
      <c r="G59" s="1" t="str">
        <f>"0000000134262"</f>
        <v>0000000134262</v>
      </c>
      <c r="H59" s="1" t="s">
        <v>32</v>
      </c>
      <c r="I59" s="1" t="s">
        <v>33</v>
      </c>
      <c r="J59" s="1" t="s">
        <v>253</v>
      </c>
      <c r="K59" s="1" t="s">
        <v>21</v>
      </c>
      <c r="L59" s="1" t="s">
        <v>253</v>
      </c>
      <c r="O59" s="3" t="s">
        <v>27</v>
      </c>
      <c r="P59" s="3" t="s">
        <v>13</v>
      </c>
      <c r="Q59" s="3" t="s">
        <v>236</v>
      </c>
      <c r="R59" s="3" t="s">
        <v>251</v>
      </c>
      <c r="S59" s="3" t="s">
        <v>252</v>
      </c>
      <c r="T59" s="3" t="str">
        <f>"0000000134262"</f>
        <v>0000000134262</v>
      </c>
      <c r="U59" s="3" t="s">
        <v>32</v>
      </c>
      <c r="V59" s="3" t="s">
        <v>33</v>
      </c>
      <c r="W59" s="3" t="s">
        <v>253</v>
      </c>
      <c r="X59" s="3" t="s">
        <v>21</v>
      </c>
      <c r="Y59" s="3" t="s">
        <v>253</v>
      </c>
    </row>
    <row r="60" spans="1:25" x14ac:dyDescent="0.25">
      <c r="B60" s="1" t="s">
        <v>27</v>
      </c>
      <c r="C60" s="1" t="s">
        <v>13</v>
      </c>
      <c r="D60" s="1" t="s">
        <v>236</v>
      </c>
      <c r="E60" s="1" t="s">
        <v>254</v>
      </c>
      <c r="F60" s="1" t="s">
        <v>255</v>
      </c>
      <c r="G60" s="1" t="str">
        <f>"0000000134279"</f>
        <v>0000000134279</v>
      </c>
      <c r="H60" s="1" t="s">
        <v>32</v>
      </c>
      <c r="I60" s="1" t="s">
        <v>33</v>
      </c>
      <c r="J60" s="1" t="s">
        <v>256</v>
      </c>
      <c r="K60" s="1" t="s">
        <v>21</v>
      </c>
      <c r="L60" s="1" t="s">
        <v>256</v>
      </c>
      <c r="O60" s="3" t="s">
        <v>27</v>
      </c>
      <c r="P60" s="3" t="s">
        <v>13</v>
      </c>
      <c r="Q60" s="3" t="s">
        <v>236</v>
      </c>
      <c r="R60" s="3" t="s">
        <v>254</v>
      </c>
      <c r="S60" s="3" t="s">
        <v>255</v>
      </c>
      <c r="T60" s="3" t="str">
        <f>"0000000134279"</f>
        <v>0000000134279</v>
      </c>
      <c r="U60" s="3" t="s">
        <v>32</v>
      </c>
      <c r="V60" s="3" t="s">
        <v>33</v>
      </c>
      <c r="W60" s="3" t="s">
        <v>256</v>
      </c>
      <c r="X60" s="3" t="s">
        <v>21</v>
      </c>
      <c r="Y60" s="3" t="s">
        <v>256</v>
      </c>
    </row>
    <row r="61" spans="1:25" x14ac:dyDescent="0.25">
      <c r="B61" s="1" t="s">
        <v>27</v>
      </c>
      <c r="C61" s="1" t="s">
        <v>13</v>
      </c>
      <c r="D61" s="1" t="s">
        <v>257</v>
      </c>
      <c r="E61" s="1" t="s">
        <v>258</v>
      </c>
      <c r="F61" s="1" t="s">
        <v>259</v>
      </c>
      <c r="G61" s="1" t="s">
        <v>260</v>
      </c>
      <c r="H61" s="1" t="s">
        <v>32</v>
      </c>
      <c r="I61" s="1" t="s">
        <v>261</v>
      </c>
      <c r="J61" s="1" t="s">
        <v>262</v>
      </c>
      <c r="K61" s="1" t="s">
        <v>21</v>
      </c>
      <c r="L61" s="1" t="s">
        <v>262</v>
      </c>
      <c r="O61" s="3" t="s">
        <v>27</v>
      </c>
      <c r="P61" s="3" t="s">
        <v>13</v>
      </c>
      <c r="Q61" s="3" t="s">
        <v>257</v>
      </c>
      <c r="R61" s="3" t="s">
        <v>258</v>
      </c>
      <c r="S61" s="3" t="s">
        <v>259</v>
      </c>
      <c r="T61" s="3" t="s">
        <v>260</v>
      </c>
      <c r="U61" s="3" t="s">
        <v>32</v>
      </c>
      <c r="V61" s="3" t="s">
        <v>261</v>
      </c>
      <c r="W61" s="3" t="s">
        <v>262</v>
      </c>
      <c r="X61" s="3" t="s">
        <v>21</v>
      </c>
      <c r="Y61" s="3" t="s">
        <v>262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diff1</vt:lpstr>
      <vt:lpstr>diff2</vt:lpstr>
      <vt:lpstr>partlist DIFF</vt:lpstr>
      <vt:lpstr>unittester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dcterms:created xsi:type="dcterms:W3CDTF">2018-12-03T10:50:08Z</dcterms:created>
  <dcterms:modified xsi:type="dcterms:W3CDTF">2019-03-18T12:31:32Z</dcterms:modified>
</cp:coreProperties>
</file>