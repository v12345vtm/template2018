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5970" windowHeight="10470" activeTab="2"/>
  </bookViews>
  <sheets>
    <sheet name="diff1" sheetId="1" r:id="rId1"/>
    <sheet name="diff2" sheetId="2" r:id="rId2"/>
    <sheet name="partlist DIFF" sheetId="3" r:id="rId3"/>
    <sheet name="unittester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3" l="1"/>
  <c r="T4" i="3"/>
  <c r="T6" i="3"/>
  <c r="T7" i="3"/>
  <c r="T8" i="3"/>
  <c r="T9" i="3"/>
  <c r="T10" i="3"/>
  <c r="T11" i="3"/>
  <c r="T12" i="3"/>
  <c r="T13" i="3"/>
  <c r="T14" i="3"/>
  <c r="G2" i="3"/>
  <c r="G4" i="3"/>
  <c r="G6" i="3"/>
  <c r="G7" i="3"/>
  <c r="G8" i="3"/>
  <c r="G9" i="3"/>
  <c r="G10" i="3"/>
  <c r="G11" i="3"/>
  <c r="G12" i="3"/>
  <c r="G13" i="3"/>
  <c r="G14" i="3"/>
  <c r="T60" i="4" l="1"/>
  <c r="G60" i="4"/>
  <c r="T59" i="4"/>
  <c r="G59" i="4"/>
  <c r="T58" i="4"/>
  <c r="G58" i="4"/>
  <c r="T55" i="4"/>
  <c r="G55" i="4"/>
  <c r="T51" i="4"/>
  <c r="G51" i="4"/>
  <c r="T50" i="4"/>
  <c r="G50" i="4"/>
  <c r="T49" i="4"/>
  <c r="G49" i="4"/>
  <c r="T48" i="4"/>
  <c r="G48" i="4"/>
  <c r="T47" i="4"/>
  <c r="G47" i="4"/>
  <c r="T46" i="4"/>
  <c r="G46" i="4"/>
  <c r="T45" i="4"/>
  <c r="G45" i="4"/>
  <c r="T42" i="4"/>
  <c r="G42" i="4"/>
  <c r="T41" i="4"/>
  <c r="G41" i="4"/>
  <c r="T40" i="4"/>
  <c r="G40" i="4"/>
  <c r="T39" i="4"/>
  <c r="G39" i="4"/>
  <c r="T38" i="4"/>
  <c r="G38" i="4"/>
  <c r="T35" i="4"/>
  <c r="G35" i="4"/>
  <c r="T34" i="4"/>
  <c r="G34" i="4"/>
  <c r="T33" i="4"/>
  <c r="G33" i="4"/>
  <c r="T32" i="4"/>
  <c r="G32" i="4"/>
  <c r="T5" i="4"/>
  <c r="G5" i="4"/>
  <c r="G5" i="1"/>
  <c r="G32" i="1"/>
  <c r="G33" i="1"/>
  <c r="G34" i="1"/>
  <c r="G35" i="1"/>
  <c r="G38" i="1"/>
  <c r="G39" i="1"/>
  <c r="G40" i="1"/>
  <c r="G41" i="1"/>
  <c r="G42" i="1"/>
  <c r="G45" i="1"/>
  <c r="G46" i="1"/>
  <c r="G47" i="1"/>
  <c r="G48" i="1"/>
  <c r="G49" i="1"/>
  <c r="G50" i="1"/>
  <c r="G51" i="1"/>
  <c r="G55" i="1"/>
  <c r="G58" i="1"/>
  <c r="G59" i="1"/>
  <c r="G60" i="1"/>
  <c r="G5" i="2"/>
  <c r="G32" i="2"/>
  <c r="G33" i="2"/>
  <c r="G34" i="2"/>
  <c r="G35" i="2"/>
  <c r="G38" i="2"/>
  <c r="G39" i="2"/>
  <c r="G40" i="2"/>
  <c r="G41" i="2"/>
  <c r="G42" i="2"/>
  <c r="G45" i="2"/>
  <c r="G46" i="2"/>
  <c r="G47" i="2"/>
  <c r="G48" i="2"/>
  <c r="G49" i="2"/>
  <c r="G50" i="2"/>
  <c r="G51" i="2"/>
  <c r="G55" i="2"/>
  <c r="G58" i="2"/>
  <c r="G59" i="2"/>
  <c r="G60" i="2"/>
</calcChain>
</file>

<file path=xl/sharedStrings.xml><?xml version="1.0" encoding="utf-8"?>
<sst xmlns="http://schemas.openxmlformats.org/spreadsheetml/2006/main" count="2946" uniqueCount="324">
  <si>
    <t>d</t>
  </si>
  <si>
    <t>+</t>
  </si>
  <si>
    <t>Aantal</t>
  </si>
  <si>
    <t>Enh</t>
  </si>
  <si>
    <t>Art.groep</t>
  </si>
  <si>
    <t>Artikelsymbool</t>
  </si>
  <si>
    <t>Omschrijving</t>
  </si>
  <si>
    <t>Alternatief Nummer</t>
  </si>
  <si>
    <t>Code hoofdsoort</t>
  </si>
  <si>
    <t>Code soort</t>
  </si>
  <si>
    <t>Totaal variabelekosten</t>
  </si>
  <si>
    <t>Totaal vastekosten</t>
  </si>
  <si>
    <t>3,00</t>
  </si>
  <si>
    <t>ST</t>
  </si>
  <si>
    <t>AFBUS</t>
  </si>
  <si>
    <t>MS-M-04,0X15,0-BD</t>
  </si>
  <si>
    <t>Afstandsbus messing M 4 x 15 mm met buitendraad</t>
  </si>
  <si>
    <t>0FAS321040015</t>
  </si>
  <si>
    <t>MECHCO</t>
  </si>
  <si>
    <t>BEV</t>
  </si>
  <si>
    <t>0,75</t>
  </si>
  <si>
    <t>0,00</t>
  </si>
  <si>
    <t>4,00</t>
  </si>
  <si>
    <t>NY-D-04,0X10,0</t>
  </si>
  <si>
    <t>Afstandsbus nylon D 4 x 10 mm</t>
  </si>
  <si>
    <t>0FAS322040010</t>
  </si>
  <si>
    <t>0,16</t>
  </si>
  <si>
    <t>1,00</t>
  </si>
  <si>
    <t>DIVMA</t>
  </si>
  <si>
    <t>050056A00OPT</t>
  </si>
  <si>
    <t>Inkijkvenster Umbra 802</t>
  </si>
  <si>
    <t>3LUM000097060</t>
  </si>
  <si>
    <t>MAAK</t>
  </si>
  <si>
    <t>OPTBL</t>
  </si>
  <si>
    <t>2,54</t>
  </si>
  <si>
    <t>050098A00OPT</t>
  </si>
  <si>
    <t>Behuizing HIPS - LVC-T50 RAL2004 Oranje</t>
  </si>
  <si>
    <t>84,57</t>
  </si>
  <si>
    <t>2,00</t>
  </si>
  <si>
    <t>DNBOU</t>
  </si>
  <si>
    <t>0912-M03X06-RVS</t>
  </si>
  <si>
    <t>Binnenzeskantbout cylinderkop DIN0912  M 3x06mm A2</t>
  </si>
  <si>
    <t>0DN0912030062</t>
  </si>
  <si>
    <t>0,06</t>
  </si>
  <si>
    <t>0912-M04X08-RVS</t>
  </si>
  <si>
    <t>Binnenzeskantbout cylinderkop DIN0912  M 4x08mm A2</t>
  </si>
  <si>
    <t>0DN0912040082</t>
  </si>
  <si>
    <t>0,14</t>
  </si>
  <si>
    <t>6,00</t>
  </si>
  <si>
    <t>0912-M04X10-RVS</t>
  </si>
  <si>
    <t>Binnenzeskantbout cylinderkop DIN0912  M 4x10mm A2</t>
  </si>
  <si>
    <t>0DN0912040102</t>
  </si>
  <si>
    <t>0,25</t>
  </si>
  <si>
    <t>0912-M04X20-RVS</t>
  </si>
  <si>
    <t>Binnenzeskantbout cylinderkop DIN0912  M 4x20mm A2</t>
  </si>
  <si>
    <t>0DN0912040202</t>
  </si>
  <si>
    <t>0,15</t>
  </si>
  <si>
    <t>0912-M05X12-RVS</t>
  </si>
  <si>
    <t>Binnenzeskantbout cylinderkop DIN0912  M 5x12mm A2</t>
  </si>
  <si>
    <t>0DN0912050122</t>
  </si>
  <si>
    <t>0,26</t>
  </si>
  <si>
    <t>0912-M06X25-RVS</t>
  </si>
  <si>
    <t>Binnenzeskantbout cylinderkop DIN0912  M 6x25mm A2</t>
  </si>
  <si>
    <t>0DN0912060252</t>
  </si>
  <si>
    <t>0,32</t>
  </si>
  <si>
    <t>11,00</t>
  </si>
  <si>
    <t>DNMOE</t>
  </si>
  <si>
    <t>0934-M04RVS</t>
  </si>
  <si>
    <t>Zeskantmoer DIN0934  M 4mm A2</t>
  </si>
  <si>
    <t>0DN0934040002</t>
  </si>
  <si>
    <t>0934-M05RVS</t>
  </si>
  <si>
    <t>Zeskantmoer DIN0934  M 5mm A2</t>
  </si>
  <si>
    <t>0DN0934050002</t>
  </si>
  <si>
    <t>0,02</t>
  </si>
  <si>
    <t>0934-M06RVS</t>
  </si>
  <si>
    <t>Zeskantmoer DIN0934  M 6mm A2</t>
  </si>
  <si>
    <t>0DN0934060002</t>
  </si>
  <si>
    <t>0,11</t>
  </si>
  <si>
    <t>DNPEN</t>
  </si>
  <si>
    <t>0007-03X10-RVS</t>
  </si>
  <si>
    <t>Cylindrische pen DIN0007  3x10mm A2</t>
  </si>
  <si>
    <t>0DN0007030102</t>
  </si>
  <si>
    <t>0,08</t>
  </si>
  <si>
    <t>DNRON</t>
  </si>
  <si>
    <t>0125-04-RVS</t>
  </si>
  <si>
    <t>Vlakke sluitring DIN0125 4mm A2</t>
  </si>
  <si>
    <t>0DN0125040002</t>
  </si>
  <si>
    <t>0125-05-RVS</t>
  </si>
  <si>
    <t>Vlakke sluitring DIN0125 5mm A2</t>
  </si>
  <si>
    <t>0DN0125050002</t>
  </si>
  <si>
    <t>9021-03-RVS</t>
  </si>
  <si>
    <t>Sluitring met grote diameter DIN9021 3mm A2</t>
  </si>
  <si>
    <t>0DN9021030002</t>
  </si>
  <si>
    <t>0,01</t>
  </si>
  <si>
    <t>9021-06-RVS</t>
  </si>
  <si>
    <t>Sluitring met grote diameter DIN9021 6mm A2</t>
  </si>
  <si>
    <t>0DN9021060002</t>
  </si>
  <si>
    <t>0,12</t>
  </si>
  <si>
    <t>DNSCH</t>
  </si>
  <si>
    <t>0916-M03X16-RVS</t>
  </si>
  <si>
    <t>Stelschroef binnenzesk.kraterp DIN0916 M 3x 16mm A2</t>
  </si>
  <si>
    <t>0DN0916030162</t>
  </si>
  <si>
    <t>0916-M06X35-FE</t>
  </si>
  <si>
    <t>Stelschroef binnenzesk.kraterp DIN0916 M 6x 35mm staal</t>
  </si>
  <si>
    <t>0DN0916060351</t>
  </si>
  <si>
    <t>0,54</t>
  </si>
  <si>
    <t>14,00</t>
  </si>
  <si>
    <t>7985-M03X06-RVS</t>
  </si>
  <si>
    <t>Metaalschroef cyl.kop kruisin. DIN7985 M 3x 06mm A2</t>
  </si>
  <si>
    <t>0DN7985030062</t>
  </si>
  <si>
    <t>8,00</t>
  </si>
  <si>
    <t>7985-M03X08-RVS</t>
  </si>
  <si>
    <t>Metaalschroef cyl.kop kruisin. DIN7985 M 3x 08mm A2</t>
  </si>
  <si>
    <t>0DN7985030082</t>
  </si>
  <si>
    <t>7985-M03X10-RVS</t>
  </si>
  <si>
    <t>Metaalschroef cyl.kop kruisin. DIN7985 M 3x 10mm A2</t>
  </si>
  <si>
    <t>0DN7985030102</t>
  </si>
  <si>
    <t>7,00</t>
  </si>
  <si>
    <t>7985-M04X25-RVS</t>
  </si>
  <si>
    <t>Metaalschroef cyl.kop kruisin. DIN7985 M 4x 25mm A2</t>
  </si>
  <si>
    <t>0DN7985040252</t>
  </si>
  <si>
    <t>0,36</t>
  </si>
  <si>
    <t>7985-M05X12-RVS</t>
  </si>
  <si>
    <t>Metaalschroef cyl.kop kruisin. DIN7985 M 5x 12mm A2</t>
  </si>
  <si>
    <t>0DN7985050122</t>
  </si>
  <si>
    <t>0,85</t>
  </si>
  <si>
    <t>DRFR</t>
  </si>
  <si>
    <t>050053_00OPT</t>
  </si>
  <si>
    <t>Sluitring messing U15</t>
  </si>
  <si>
    <t>3LUM000004360</t>
  </si>
  <si>
    <t>6,52</t>
  </si>
  <si>
    <t>050054_00OPT</t>
  </si>
  <si>
    <t>Tussenstuk messing LM 6</t>
  </si>
  <si>
    <t>3LUM000007812</t>
  </si>
  <si>
    <t>9,60</t>
  </si>
  <si>
    <t>050193A00OPT</t>
  </si>
  <si>
    <t>Afstandsbus afschermplaat optisch blok Rev.A</t>
  </si>
  <si>
    <t>3LUM200018610</t>
  </si>
  <si>
    <t>050470_00OPT</t>
  </si>
  <si>
    <t>Sleufstuk - 10x10x210 mm</t>
  </si>
  <si>
    <t>3LUM100008550</t>
  </si>
  <si>
    <t>7,31</t>
  </si>
  <si>
    <t>050471_00OPT</t>
  </si>
  <si>
    <t>Lat drukstiften - 10x10x210 mm</t>
  </si>
  <si>
    <t>3LUM100008560</t>
  </si>
  <si>
    <t>4,69</t>
  </si>
  <si>
    <t>080185A00OPT</t>
  </si>
  <si>
    <t>Steun PCB ACC-led Rev A</t>
  </si>
  <si>
    <t>13,25</t>
  </si>
  <si>
    <t>110149_00OPT</t>
  </si>
  <si>
    <t>Tussenbus ACC-LED</t>
  </si>
  <si>
    <t>16,00</t>
  </si>
  <si>
    <t>120055_00OPT</t>
  </si>
  <si>
    <t>Tussenplaat voedingsprint LM1050</t>
  </si>
  <si>
    <t>8,80</t>
  </si>
  <si>
    <t>130039_00OPT</t>
  </si>
  <si>
    <t>Draadbus ACC-LED</t>
  </si>
  <si>
    <t>11,10</t>
  </si>
  <si>
    <t>EP-VK</t>
  </si>
  <si>
    <t>STOFHOES</t>
  </si>
  <si>
    <t>Stofhoes LM6-25-50</t>
  </si>
  <si>
    <t>3ACC-H40-0000</t>
  </si>
  <si>
    <t>ACC</t>
  </si>
  <si>
    <t>10,43</t>
  </si>
  <si>
    <t>HF</t>
  </si>
  <si>
    <t>020192_00CAL</t>
  </si>
  <si>
    <t>Ijkplaat CLP</t>
  </si>
  <si>
    <t>3CAL-C01-0000</t>
  </si>
  <si>
    <t>CAL</t>
  </si>
  <si>
    <t>36,40</t>
  </si>
  <si>
    <t>050976A00OPT</t>
  </si>
  <si>
    <t>Connectorplaatmodule LVC1050 Rev. A</t>
  </si>
  <si>
    <t>98,96</t>
  </si>
  <si>
    <t>080117A00OPT</t>
  </si>
  <si>
    <t>Lensfront LM50 ACC (12cellen)</t>
  </si>
  <si>
    <t>127,41</t>
  </si>
  <si>
    <t>090010A00OPT</t>
  </si>
  <si>
    <t>Waterpasmodule Praag</t>
  </si>
  <si>
    <t>25,60</t>
  </si>
  <si>
    <t>120273_00OPT</t>
  </si>
  <si>
    <t>Zijdeur ijkplaat met slot</t>
  </si>
  <si>
    <t>46,65</t>
  </si>
  <si>
    <t>150029A01OPT</t>
  </si>
  <si>
    <t>Cameramodule ACS200 F8-objectief</t>
  </si>
  <si>
    <t>281,34</t>
  </si>
  <si>
    <t>HFKAB</t>
  </si>
  <si>
    <t>040135A00OPT</t>
  </si>
  <si>
    <t>Kabel camera/bdp LM50 Rev. A</t>
  </si>
  <si>
    <t>3CAB040135100</t>
  </si>
  <si>
    <t>2,50</t>
  </si>
  <si>
    <t>050212_00KOL</t>
  </si>
  <si>
    <t>Voedingskabel LM1050 bdp/pow.bl.</t>
  </si>
  <si>
    <t>3CAB050212000</t>
  </si>
  <si>
    <t>KOLOM</t>
  </si>
  <si>
    <t>13,24</t>
  </si>
  <si>
    <t>051015_00OPT</t>
  </si>
  <si>
    <t>VGA Flatcable LVC1050</t>
  </si>
  <si>
    <t>3,40</t>
  </si>
  <si>
    <t>080158A00OPT</t>
  </si>
  <si>
    <t>Kabel enable flash ACC 100</t>
  </si>
  <si>
    <t>6,97</t>
  </si>
  <si>
    <t>080165_00OPT</t>
  </si>
  <si>
    <t>Kabel voeding IDC100 LED</t>
  </si>
  <si>
    <t>4,36</t>
  </si>
  <si>
    <t>HFPRI</t>
  </si>
  <si>
    <t>040358_00OPT/</t>
  </si>
  <si>
    <t>LM1050 Voedingsprint power supply</t>
  </si>
  <si>
    <t>78,45</t>
  </si>
  <si>
    <t>080163_01OPT/</t>
  </si>
  <si>
    <t>Bedieningspaneel LM1050 T60 - 12 cellen</t>
  </si>
  <si>
    <t>314,45</t>
  </si>
  <si>
    <t>140214A00OPT/</t>
  </si>
  <si>
    <t>PCB nieuwe ACC led</t>
  </si>
  <si>
    <t>42,69</t>
  </si>
  <si>
    <t>KABAS</t>
  </si>
  <si>
    <t>SER-01,8-VV-9P</t>
  </si>
  <si>
    <t>Seriële kabel 01,8m V/V -9P</t>
  </si>
  <si>
    <t>ELCOM</t>
  </si>
  <si>
    <t>KABEL</t>
  </si>
  <si>
    <t>2,43</t>
  </si>
  <si>
    <t>0,50</t>
  </si>
  <si>
    <t>KAKAN</t>
  </si>
  <si>
    <t>000X000MM-O-ZELFKL.DIAM20</t>
  </si>
  <si>
    <t>Kabelkanaal open zelfklevend - diameter 20</t>
  </si>
  <si>
    <t>0CAB961022220</t>
  </si>
  <si>
    <t>0,84</t>
  </si>
  <si>
    <t>MONTB</t>
  </si>
  <si>
    <t>MAG-10X4MM</t>
  </si>
  <si>
    <t>Montage-toebehoren magneten 10X4 mm</t>
  </si>
  <si>
    <t>3LUM000007180</t>
  </si>
  <si>
    <t>OND</t>
  </si>
  <si>
    <t>0,80</t>
  </si>
  <si>
    <t>NOR-DRUKSTIFT-HWN206I-D-M5</t>
  </si>
  <si>
    <t>Montage-toebehoren Norm-delen Drukstift - HWN206I D-M5</t>
  </si>
  <si>
    <t>3LUM000008590</t>
  </si>
  <si>
    <t>4,40</t>
  </si>
  <si>
    <t>PLTW</t>
  </si>
  <si>
    <t>040182A00OPT</t>
  </si>
  <si>
    <t>Tussenplaat scherm LM50 Rev.A</t>
  </si>
  <si>
    <t>16,60</t>
  </si>
  <si>
    <t>040412_00OPT</t>
  </si>
  <si>
    <t>Scherm ADS-afregeling</t>
  </si>
  <si>
    <t>3LVC100007591040412_</t>
  </si>
  <si>
    <t>26,74</t>
  </si>
  <si>
    <t>050058_00OPT</t>
  </si>
  <si>
    <t>Onderplaat LM6-LM11</t>
  </si>
  <si>
    <t>3LUM100097040</t>
  </si>
  <si>
    <t>19,22</t>
  </si>
  <si>
    <t>050194B00OPT</t>
  </si>
  <si>
    <t>Afschermplaat kabels optisch blok</t>
  </si>
  <si>
    <t>10,20</t>
  </si>
  <si>
    <t>070300_00OPT</t>
  </si>
  <si>
    <t>Zijplaat ophanging vooraan</t>
  </si>
  <si>
    <t>2,31</t>
  </si>
  <si>
    <t>070301_00OPT</t>
  </si>
  <si>
    <t>Zijplaat ophanging achteraan</t>
  </si>
  <si>
    <t>1,87</t>
  </si>
  <si>
    <t>STICK</t>
  </si>
  <si>
    <t>030220_00DIV</t>
  </si>
  <si>
    <t>Sticker LET transparant 49x199 mm</t>
  </si>
  <si>
    <t>3PAN030220000</t>
  </si>
  <si>
    <t>DIV</t>
  </si>
  <si>
    <t>0,46</t>
  </si>
  <si>
    <t>0,24</t>
  </si>
  <si>
    <t>98,49</t>
  </si>
  <si>
    <t>080117_00OPT</t>
  </si>
  <si>
    <t>Lensfront LM50 ACC</t>
  </si>
  <si>
    <t>123,65</t>
  </si>
  <si>
    <t>283,77</t>
  </si>
  <si>
    <t>2,44</t>
  </si>
  <si>
    <t>3,34</t>
  </si>
  <si>
    <t>79,47</t>
  </si>
  <si>
    <t>080163_00OPT/</t>
  </si>
  <si>
    <t>Bedieningspaneel LM1050 T60</t>
  </si>
  <si>
    <t>362,83</t>
  </si>
  <si>
    <t>43,18</t>
  </si>
  <si>
    <t>2,35</t>
  </si>
  <si>
    <t>e</t>
  </si>
  <si>
    <t>BEWKO</t>
  </si>
  <si>
    <t>060265_00CAL</t>
  </si>
  <si>
    <t>Speciale schroef Kalcam</t>
  </si>
  <si>
    <t>32,92</t>
  </si>
  <si>
    <t>0912-M03X12-RVS</t>
  </si>
  <si>
    <t>Binnenzeskantbout cylinderkop DIN0912  M 3x12mm A2</t>
  </si>
  <si>
    <t>0DN0912030122</t>
  </si>
  <si>
    <t>0934-M04MES</t>
  </si>
  <si>
    <t>Zeskantmoer DIN0934  M 4mm messing</t>
  </si>
  <si>
    <t>060263_00CAL</t>
  </si>
  <si>
    <t>Moer binnenring kogelgewricht Kalcam</t>
  </si>
  <si>
    <t>7,20</t>
  </si>
  <si>
    <t>060264_00CAL</t>
  </si>
  <si>
    <t>Draadring buitenring kogelgewricht Kalcam</t>
  </si>
  <si>
    <t>5,35</t>
  </si>
  <si>
    <t>150232_01DAS</t>
  </si>
  <si>
    <t>Isolatiering lasermodule DAS RDF-MPC Manueel</t>
  </si>
  <si>
    <t>DAS</t>
  </si>
  <si>
    <t>33,60</t>
  </si>
  <si>
    <t>150233_01DAS</t>
  </si>
  <si>
    <t>Draadring lasermodule DAS RDF-MPC Manueel</t>
  </si>
  <si>
    <t>10,25</t>
  </si>
  <si>
    <t>150234_01DAS</t>
  </si>
  <si>
    <t>Laserhuls lasermodule DAS RDF-MPC Manueel</t>
  </si>
  <si>
    <t>37,22</t>
  </si>
  <si>
    <t>150235_01DAS</t>
  </si>
  <si>
    <t>Steun regelschroeven lasermodule DAS RDF-MPC Manueel</t>
  </si>
  <si>
    <t>151,20</t>
  </si>
  <si>
    <t>ELEM</t>
  </si>
  <si>
    <t>DRUK-ELESA-GN615.1-M5</t>
  </si>
  <si>
    <t>Drukschroef ELESA-GN615.1-M5</t>
  </si>
  <si>
    <t>1,11</t>
  </si>
  <si>
    <t>150236_01DAS</t>
  </si>
  <si>
    <t>Laser DAS RDF-MPC Manueel</t>
  </si>
  <si>
    <t>82,15</t>
  </si>
  <si>
    <t>KOGEL</t>
  </si>
  <si>
    <t>DIV-000x010MM-KOGELGEWRICHT</t>
  </si>
  <si>
    <t>Kogelgewricht 10mm SKFGE10C</t>
  </si>
  <si>
    <t>LAG</t>
  </si>
  <si>
    <t>10,01</t>
  </si>
  <si>
    <t>180498_01CAL</t>
  </si>
  <si>
    <t>Tussenbus vooraan laser Picotronic DC650-1-3-C500</t>
  </si>
  <si>
    <t>150236A01DAS</t>
  </si>
  <si>
    <t>Laser DAS RDF-MPC Manueel (Picotronic DC650-1-3-C500)</t>
  </si>
  <si>
    <t>oud</t>
  </si>
  <si>
    <t>nieuw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</si>
</sst>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114300</xdr:rowOff>
        </xdr:from>
        <xdr:to>
          <xdr:col>4</xdr:col>
          <xdr:colOff>762000</xdr:colOff>
          <xdr:row>2</xdr:row>
          <xdr:rowOff>171450</xdr:rowOff>
        </xdr:to>
        <xdr:sp macro="" textlink="">
          <xdr:nvSpPr>
            <xdr:cNvPr id="3073" name="verschilZoeke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5</xdr:row>
          <xdr:rowOff>171450</xdr:rowOff>
        </xdr:from>
        <xdr:to>
          <xdr:col>4</xdr:col>
          <xdr:colOff>1514475</xdr:colOff>
          <xdr:row>8</xdr:row>
          <xdr:rowOff>9525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6</xdr:row>
          <xdr:rowOff>57150</xdr:rowOff>
        </xdr:from>
        <xdr:to>
          <xdr:col>5</xdr:col>
          <xdr:colOff>1162050</xdr:colOff>
          <xdr:row>7</xdr:row>
          <xdr:rowOff>171450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1466850</xdr:colOff>
          <xdr:row>1</xdr:row>
          <xdr:rowOff>57150</xdr:rowOff>
        </xdr:from>
        <xdr:to>
          <xdr:col>5</xdr:col>
          <xdr:colOff>771525</xdr:colOff>
          <xdr:row>2</xdr:row>
          <xdr:rowOff>171450</xdr:rowOff>
        </xdr:to>
        <xdr:sp macro="" textlink="">
          <xdr:nvSpPr>
            <xdr:cNvPr id="3076" name="CommandButton3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61"/>
  <sheetViews>
    <sheetView workbookViewId="0">
      <selection activeCell="C5" sqref="A1:L61"/>
    </sheetView>
  </sheetViews>
  <sheetFormatPr defaultRowHeight="15" x14ac:dyDescent="0.25"/>
  <sheetData>
    <row r="1" spans="1:12" x14ac:dyDescent="0.25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2" x14ac:dyDescent="0.25"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 t="s">
        <v>18</v>
      </c>
      <c r="I2" t="s">
        <v>19</v>
      </c>
      <c r="J2" t="s">
        <v>20</v>
      </c>
      <c r="K2" t="s">
        <v>21</v>
      </c>
      <c r="L2" t="s">
        <v>20</v>
      </c>
    </row>
    <row r="3" spans="1:12" x14ac:dyDescent="0.25">
      <c r="B3" t="s">
        <v>22</v>
      </c>
      <c r="C3" t="s">
        <v>13</v>
      </c>
      <c r="D3" t="s">
        <v>14</v>
      </c>
      <c r="E3" t="s">
        <v>23</v>
      </c>
      <c r="F3" t="s">
        <v>24</v>
      </c>
      <c r="G3" t="s">
        <v>25</v>
      </c>
      <c r="H3" t="s">
        <v>18</v>
      </c>
      <c r="I3" t="s">
        <v>19</v>
      </c>
      <c r="J3" t="s">
        <v>26</v>
      </c>
      <c r="K3" t="s">
        <v>21</v>
      </c>
      <c r="L3" t="s">
        <v>26</v>
      </c>
    </row>
    <row r="4" spans="1:12" x14ac:dyDescent="0.25">
      <c r="B4" t="s">
        <v>27</v>
      </c>
      <c r="C4" t="s">
        <v>13</v>
      </c>
      <c r="D4" t="s">
        <v>28</v>
      </c>
      <c r="E4" t="s">
        <v>29</v>
      </c>
      <c r="F4" t="s">
        <v>30</v>
      </c>
      <c r="G4" t="s">
        <v>31</v>
      </c>
      <c r="H4" t="s">
        <v>32</v>
      </c>
      <c r="I4" t="s">
        <v>33</v>
      </c>
      <c r="J4" t="s">
        <v>34</v>
      </c>
      <c r="K4" t="s">
        <v>21</v>
      </c>
      <c r="L4" t="s">
        <v>34</v>
      </c>
    </row>
    <row r="5" spans="1:12" x14ac:dyDescent="0.25">
      <c r="B5" t="s">
        <v>27</v>
      </c>
      <c r="C5" t="s">
        <v>13</v>
      </c>
      <c r="D5" t="s">
        <v>28</v>
      </c>
      <c r="E5" t="s">
        <v>35</v>
      </c>
      <c r="F5" t="s">
        <v>36</v>
      </c>
      <c r="G5" t="str">
        <f>"0000000132787"</f>
        <v>0000000132787</v>
      </c>
      <c r="H5" t="s">
        <v>32</v>
      </c>
      <c r="I5" t="s">
        <v>33</v>
      </c>
      <c r="J5" t="s">
        <v>37</v>
      </c>
      <c r="K5" t="s">
        <v>21</v>
      </c>
      <c r="L5" t="s">
        <v>37</v>
      </c>
    </row>
    <row r="6" spans="1:12" x14ac:dyDescent="0.25">
      <c r="B6" t="s">
        <v>38</v>
      </c>
      <c r="C6" t="s">
        <v>13</v>
      </c>
      <c r="D6" t="s">
        <v>39</v>
      </c>
      <c r="E6" t="s">
        <v>40</v>
      </c>
      <c r="F6" t="s">
        <v>41</v>
      </c>
      <c r="G6" t="s">
        <v>42</v>
      </c>
      <c r="H6" t="s">
        <v>18</v>
      </c>
      <c r="I6" t="s">
        <v>19</v>
      </c>
      <c r="J6" t="s">
        <v>43</v>
      </c>
      <c r="K6" t="s">
        <v>21</v>
      </c>
      <c r="L6" t="s">
        <v>43</v>
      </c>
    </row>
    <row r="7" spans="1:12" x14ac:dyDescent="0.25">
      <c r="B7" t="s">
        <v>12</v>
      </c>
      <c r="C7" t="s">
        <v>13</v>
      </c>
      <c r="D7" t="s">
        <v>39</v>
      </c>
      <c r="E7" t="s">
        <v>44</v>
      </c>
      <c r="F7" t="s">
        <v>45</v>
      </c>
      <c r="G7" t="s">
        <v>46</v>
      </c>
      <c r="H7" t="s">
        <v>18</v>
      </c>
      <c r="I7" t="s">
        <v>19</v>
      </c>
      <c r="J7" t="s">
        <v>47</v>
      </c>
      <c r="K7" t="s">
        <v>21</v>
      </c>
      <c r="L7" t="s">
        <v>47</v>
      </c>
    </row>
    <row r="8" spans="1:12" x14ac:dyDescent="0.25">
      <c r="B8" t="s">
        <v>48</v>
      </c>
      <c r="C8" t="s">
        <v>13</v>
      </c>
      <c r="D8" t="s">
        <v>39</v>
      </c>
      <c r="E8" t="s">
        <v>49</v>
      </c>
      <c r="F8" t="s">
        <v>50</v>
      </c>
      <c r="G8" t="s">
        <v>51</v>
      </c>
      <c r="H8" t="s">
        <v>18</v>
      </c>
      <c r="I8" t="s">
        <v>19</v>
      </c>
      <c r="J8" t="s">
        <v>52</v>
      </c>
      <c r="K8" t="s">
        <v>21</v>
      </c>
      <c r="L8" t="s">
        <v>52</v>
      </c>
    </row>
    <row r="9" spans="1:12" x14ac:dyDescent="0.25">
      <c r="B9" t="s">
        <v>22</v>
      </c>
      <c r="C9" t="s">
        <v>13</v>
      </c>
      <c r="D9" t="s">
        <v>39</v>
      </c>
      <c r="E9" t="s">
        <v>53</v>
      </c>
      <c r="F9" t="s">
        <v>54</v>
      </c>
      <c r="G9" t="s">
        <v>55</v>
      </c>
      <c r="H9" t="s">
        <v>18</v>
      </c>
      <c r="I9" t="s">
        <v>19</v>
      </c>
      <c r="J9" t="s">
        <v>56</v>
      </c>
      <c r="K9" t="s">
        <v>21</v>
      </c>
      <c r="L9" t="s">
        <v>56</v>
      </c>
    </row>
    <row r="10" spans="1:12" x14ac:dyDescent="0.25">
      <c r="B10" t="s">
        <v>22</v>
      </c>
      <c r="C10" t="s">
        <v>13</v>
      </c>
      <c r="D10" t="s">
        <v>39</v>
      </c>
      <c r="E10" t="s">
        <v>57</v>
      </c>
      <c r="F10" t="s">
        <v>58</v>
      </c>
      <c r="G10" t="s">
        <v>59</v>
      </c>
      <c r="H10" t="s">
        <v>18</v>
      </c>
      <c r="I10" t="s">
        <v>19</v>
      </c>
      <c r="J10" t="s">
        <v>60</v>
      </c>
      <c r="K10" t="s">
        <v>21</v>
      </c>
      <c r="L10" t="s">
        <v>60</v>
      </c>
    </row>
    <row r="11" spans="1:12" x14ac:dyDescent="0.25">
      <c r="B11" t="s">
        <v>22</v>
      </c>
      <c r="C11" t="s">
        <v>13</v>
      </c>
      <c r="D11" t="s">
        <v>39</v>
      </c>
      <c r="E11" t="s">
        <v>61</v>
      </c>
      <c r="F11" t="s">
        <v>62</v>
      </c>
      <c r="G11" t="s">
        <v>63</v>
      </c>
      <c r="H11" t="s">
        <v>18</v>
      </c>
      <c r="I11" t="s">
        <v>19</v>
      </c>
      <c r="J11" t="s">
        <v>64</v>
      </c>
      <c r="K11" t="s">
        <v>21</v>
      </c>
      <c r="L11" t="s">
        <v>64</v>
      </c>
    </row>
    <row r="12" spans="1:12" x14ac:dyDescent="0.25">
      <c r="B12" t="s">
        <v>65</v>
      </c>
      <c r="C12" t="s">
        <v>13</v>
      </c>
      <c r="D12" t="s">
        <v>66</v>
      </c>
      <c r="E12" t="s">
        <v>67</v>
      </c>
      <c r="F12" t="s">
        <v>68</v>
      </c>
      <c r="G12" t="s">
        <v>69</v>
      </c>
      <c r="H12" t="s">
        <v>18</v>
      </c>
      <c r="I12" t="s">
        <v>19</v>
      </c>
      <c r="J12" t="s">
        <v>47</v>
      </c>
      <c r="K12" t="s">
        <v>21</v>
      </c>
      <c r="L12" t="s">
        <v>47</v>
      </c>
    </row>
    <row r="13" spans="1:12" x14ac:dyDescent="0.25">
      <c r="B13" t="s">
        <v>38</v>
      </c>
      <c r="C13" t="s">
        <v>13</v>
      </c>
      <c r="D13" t="s">
        <v>66</v>
      </c>
      <c r="E13" t="s">
        <v>70</v>
      </c>
      <c r="F13" t="s">
        <v>71</v>
      </c>
      <c r="G13" t="s">
        <v>72</v>
      </c>
      <c r="H13" t="s">
        <v>18</v>
      </c>
      <c r="I13" t="s">
        <v>19</v>
      </c>
      <c r="J13" t="s">
        <v>73</v>
      </c>
      <c r="K13" t="s">
        <v>21</v>
      </c>
      <c r="L13" t="s">
        <v>73</v>
      </c>
    </row>
    <row r="14" spans="1:12" x14ac:dyDescent="0.25">
      <c r="B14" t="s">
        <v>22</v>
      </c>
      <c r="C14" t="s">
        <v>13</v>
      </c>
      <c r="D14" t="s">
        <v>66</v>
      </c>
      <c r="E14" t="s">
        <v>74</v>
      </c>
      <c r="F14" t="s">
        <v>75</v>
      </c>
      <c r="G14" t="s">
        <v>76</v>
      </c>
      <c r="H14" t="s">
        <v>18</v>
      </c>
      <c r="I14" t="s">
        <v>19</v>
      </c>
      <c r="J14" t="s">
        <v>77</v>
      </c>
      <c r="K14" t="s">
        <v>21</v>
      </c>
      <c r="L14" t="s">
        <v>77</v>
      </c>
    </row>
    <row r="15" spans="1:12" x14ac:dyDescent="0.25">
      <c r="B15" t="s">
        <v>27</v>
      </c>
      <c r="C15" t="s">
        <v>13</v>
      </c>
      <c r="D15" t="s">
        <v>78</v>
      </c>
      <c r="E15" t="s">
        <v>79</v>
      </c>
      <c r="F15" t="s">
        <v>80</v>
      </c>
      <c r="G15" t="s">
        <v>81</v>
      </c>
      <c r="H15" t="s">
        <v>18</v>
      </c>
      <c r="I15" t="s">
        <v>19</v>
      </c>
      <c r="J15" t="s">
        <v>82</v>
      </c>
      <c r="K15" t="s">
        <v>21</v>
      </c>
      <c r="L15" t="s">
        <v>82</v>
      </c>
    </row>
    <row r="16" spans="1:12" x14ac:dyDescent="0.25">
      <c r="B16" t="s">
        <v>22</v>
      </c>
      <c r="C16" t="s">
        <v>13</v>
      </c>
      <c r="D16" t="s">
        <v>83</v>
      </c>
      <c r="E16" t="s">
        <v>84</v>
      </c>
      <c r="F16" t="s">
        <v>85</v>
      </c>
      <c r="G16" t="s">
        <v>86</v>
      </c>
      <c r="H16" t="s">
        <v>18</v>
      </c>
      <c r="I16" t="s">
        <v>19</v>
      </c>
      <c r="J16" t="s">
        <v>73</v>
      </c>
      <c r="K16" t="s">
        <v>21</v>
      </c>
      <c r="L16" t="s">
        <v>73</v>
      </c>
    </row>
    <row r="17" spans="2:12" x14ac:dyDescent="0.25">
      <c r="B17" t="s">
        <v>22</v>
      </c>
      <c r="C17" t="s">
        <v>13</v>
      </c>
      <c r="D17" t="s">
        <v>83</v>
      </c>
      <c r="E17" t="s">
        <v>87</v>
      </c>
      <c r="F17" t="s">
        <v>88</v>
      </c>
      <c r="G17" t="s">
        <v>89</v>
      </c>
      <c r="H17" t="s">
        <v>18</v>
      </c>
      <c r="I17" t="s">
        <v>19</v>
      </c>
      <c r="J17" t="s">
        <v>73</v>
      </c>
      <c r="K17" t="s">
        <v>21</v>
      </c>
      <c r="L17" t="s">
        <v>73</v>
      </c>
    </row>
    <row r="18" spans="2:12" x14ac:dyDescent="0.25">
      <c r="B18" t="s">
        <v>27</v>
      </c>
      <c r="C18" t="s">
        <v>13</v>
      </c>
      <c r="D18" t="s">
        <v>83</v>
      </c>
      <c r="E18" t="s">
        <v>90</v>
      </c>
      <c r="F18" t="s">
        <v>91</v>
      </c>
      <c r="G18" t="s">
        <v>92</v>
      </c>
      <c r="H18" t="s">
        <v>18</v>
      </c>
      <c r="I18" t="s">
        <v>19</v>
      </c>
      <c r="J18" t="s">
        <v>93</v>
      </c>
      <c r="K18" t="s">
        <v>21</v>
      </c>
      <c r="L18" t="s">
        <v>93</v>
      </c>
    </row>
    <row r="19" spans="2:12" x14ac:dyDescent="0.25">
      <c r="B19" t="s">
        <v>22</v>
      </c>
      <c r="C19" t="s">
        <v>13</v>
      </c>
      <c r="D19" t="s">
        <v>83</v>
      </c>
      <c r="E19" t="s">
        <v>94</v>
      </c>
      <c r="F19" t="s">
        <v>95</v>
      </c>
      <c r="G19" t="s">
        <v>96</v>
      </c>
      <c r="H19" t="s">
        <v>18</v>
      </c>
      <c r="I19" t="s">
        <v>19</v>
      </c>
      <c r="J19" t="s">
        <v>97</v>
      </c>
      <c r="K19" t="s">
        <v>21</v>
      </c>
      <c r="L19" t="s">
        <v>97</v>
      </c>
    </row>
    <row r="20" spans="2:12" x14ac:dyDescent="0.25">
      <c r="B20" t="s">
        <v>38</v>
      </c>
      <c r="C20" t="s">
        <v>13</v>
      </c>
      <c r="D20" t="s">
        <v>98</v>
      </c>
      <c r="E20" t="s">
        <v>99</v>
      </c>
      <c r="F20" t="s">
        <v>100</v>
      </c>
      <c r="G20" t="s">
        <v>101</v>
      </c>
      <c r="H20" t="s">
        <v>18</v>
      </c>
      <c r="I20" t="s">
        <v>19</v>
      </c>
      <c r="J20" t="s">
        <v>47</v>
      </c>
      <c r="K20" t="s">
        <v>21</v>
      </c>
      <c r="L20" t="s">
        <v>47</v>
      </c>
    </row>
    <row r="21" spans="2:12" x14ac:dyDescent="0.25">
      <c r="B21" t="s">
        <v>22</v>
      </c>
      <c r="C21" t="s">
        <v>13</v>
      </c>
      <c r="D21" t="s">
        <v>98</v>
      </c>
      <c r="E21" t="s">
        <v>102</v>
      </c>
      <c r="F21" t="s">
        <v>103</v>
      </c>
      <c r="G21" t="s">
        <v>104</v>
      </c>
      <c r="H21" t="s">
        <v>18</v>
      </c>
      <c r="I21" t="s">
        <v>19</v>
      </c>
      <c r="J21" t="s">
        <v>105</v>
      </c>
      <c r="K21" t="s">
        <v>21</v>
      </c>
      <c r="L21" t="s">
        <v>105</v>
      </c>
    </row>
    <row r="22" spans="2:12" x14ac:dyDescent="0.25">
      <c r="B22" t="s">
        <v>106</v>
      </c>
      <c r="C22" t="s">
        <v>13</v>
      </c>
      <c r="D22" t="s">
        <v>98</v>
      </c>
      <c r="E22" t="s">
        <v>107</v>
      </c>
      <c r="F22" t="s">
        <v>108</v>
      </c>
      <c r="G22" t="s">
        <v>109</v>
      </c>
      <c r="H22" t="s">
        <v>18</v>
      </c>
      <c r="I22" t="s">
        <v>19</v>
      </c>
      <c r="J22" t="s">
        <v>263</v>
      </c>
      <c r="K22" t="s">
        <v>21</v>
      </c>
      <c r="L22" t="s">
        <v>263</v>
      </c>
    </row>
    <row r="23" spans="2:12" x14ac:dyDescent="0.25">
      <c r="B23" t="s">
        <v>110</v>
      </c>
      <c r="C23" t="s">
        <v>13</v>
      </c>
      <c r="D23" t="s">
        <v>98</v>
      </c>
      <c r="E23" t="s">
        <v>111</v>
      </c>
      <c r="F23" t="s">
        <v>112</v>
      </c>
      <c r="G23" t="s">
        <v>113</v>
      </c>
      <c r="H23" t="s">
        <v>18</v>
      </c>
      <c r="I23" t="s">
        <v>19</v>
      </c>
      <c r="J23" t="s">
        <v>97</v>
      </c>
      <c r="K23" t="s">
        <v>21</v>
      </c>
      <c r="L23" t="s">
        <v>97</v>
      </c>
    </row>
    <row r="24" spans="2:12" x14ac:dyDescent="0.25">
      <c r="B24" t="s">
        <v>27</v>
      </c>
      <c r="C24" t="s">
        <v>13</v>
      </c>
      <c r="D24" t="s">
        <v>98</v>
      </c>
      <c r="E24" t="s">
        <v>114</v>
      </c>
      <c r="F24" t="s">
        <v>115</v>
      </c>
      <c r="G24" t="s">
        <v>116</v>
      </c>
      <c r="H24" t="s">
        <v>18</v>
      </c>
      <c r="I24" t="s">
        <v>19</v>
      </c>
      <c r="J24" t="s">
        <v>73</v>
      </c>
      <c r="K24" t="s">
        <v>21</v>
      </c>
      <c r="L24" t="s">
        <v>73</v>
      </c>
    </row>
    <row r="25" spans="2:12" x14ac:dyDescent="0.25">
      <c r="B25" t="s">
        <v>117</v>
      </c>
      <c r="C25" t="s">
        <v>13</v>
      </c>
      <c r="D25" t="s">
        <v>98</v>
      </c>
      <c r="E25" t="s">
        <v>118</v>
      </c>
      <c r="F25" t="s">
        <v>119</v>
      </c>
      <c r="G25" t="s">
        <v>120</v>
      </c>
      <c r="H25" t="s">
        <v>18</v>
      </c>
      <c r="I25" t="s">
        <v>19</v>
      </c>
      <c r="J25" t="s">
        <v>121</v>
      </c>
      <c r="K25" t="s">
        <v>21</v>
      </c>
      <c r="L25" t="s">
        <v>121</v>
      </c>
    </row>
    <row r="26" spans="2:12" x14ac:dyDescent="0.25">
      <c r="B26" t="s">
        <v>106</v>
      </c>
      <c r="C26" t="s">
        <v>13</v>
      </c>
      <c r="D26" t="s">
        <v>98</v>
      </c>
      <c r="E26" t="s">
        <v>122</v>
      </c>
      <c r="F26" t="s">
        <v>123</v>
      </c>
      <c r="G26" t="s">
        <v>124</v>
      </c>
      <c r="H26" t="s">
        <v>18</v>
      </c>
      <c r="I26" t="s">
        <v>19</v>
      </c>
      <c r="J26" t="s">
        <v>125</v>
      </c>
      <c r="K26" t="s">
        <v>21</v>
      </c>
      <c r="L26" t="s">
        <v>125</v>
      </c>
    </row>
    <row r="27" spans="2:12" x14ac:dyDescent="0.25">
      <c r="B27" t="s">
        <v>22</v>
      </c>
      <c r="C27" t="s">
        <v>13</v>
      </c>
      <c r="D27" t="s">
        <v>126</v>
      </c>
      <c r="E27" t="s">
        <v>127</v>
      </c>
      <c r="F27" t="s">
        <v>128</v>
      </c>
      <c r="G27" t="s">
        <v>129</v>
      </c>
      <c r="H27" t="s">
        <v>32</v>
      </c>
      <c r="I27" t="s">
        <v>33</v>
      </c>
      <c r="J27" t="s">
        <v>130</v>
      </c>
      <c r="K27" t="s">
        <v>21</v>
      </c>
      <c r="L27" t="s">
        <v>130</v>
      </c>
    </row>
    <row r="28" spans="2:12" x14ac:dyDescent="0.25">
      <c r="B28" t="s">
        <v>22</v>
      </c>
      <c r="C28" t="s">
        <v>13</v>
      </c>
      <c r="D28" t="s">
        <v>126</v>
      </c>
      <c r="E28" t="s">
        <v>131</v>
      </c>
      <c r="F28" t="s">
        <v>132</v>
      </c>
      <c r="G28" t="s">
        <v>133</v>
      </c>
      <c r="H28" t="s">
        <v>32</v>
      </c>
      <c r="I28" t="s">
        <v>33</v>
      </c>
      <c r="J28" t="s">
        <v>134</v>
      </c>
      <c r="K28" t="s">
        <v>21</v>
      </c>
      <c r="L28" t="s">
        <v>134</v>
      </c>
    </row>
    <row r="29" spans="2:12" x14ac:dyDescent="0.25">
      <c r="B29" t="s">
        <v>22</v>
      </c>
      <c r="C29" t="s">
        <v>13</v>
      </c>
      <c r="D29" t="s">
        <v>126</v>
      </c>
      <c r="E29" t="s">
        <v>135</v>
      </c>
      <c r="F29" t="s">
        <v>136</v>
      </c>
      <c r="G29" t="s">
        <v>137</v>
      </c>
      <c r="H29" t="s">
        <v>32</v>
      </c>
      <c r="I29" t="s">
        <v>33</v>
      </c>
      <c r="J29" t="s">
        <v>134</v>
      </c>
      <c r="K29" t="s">
        <v>21</v>
      </c>
      <c r="L29" t="s">
        <v>134</v>
      </c>
    </row>
    <row r="30" spans="2:12" x14ac:dyDescent="0.25">
      <c r="B30" t="s">
        <v>27</v>
      </c>
      <c r="C30" t="s">
        <v>13</v>
      </c>
      <c r="D30" t="s">
        <v>126</v>
      </c>
      <c r="E30" t="s">
        <v>138</v>
      </c>
      <c r="F30" t="s">
        <v>139</v>
      </c>
      <c r="G30" t="s">
        <v>140</v>
      </c>
      <c r="H30" t="s">
        <v>32</v>
      </c>
      <c r="I30" t="s">
        <v>33</v>
      </c>
      <c r="J30" t="s">
        <v>141</v>
      </c>
      <c r="K30" t="s">
        <v>21</v>
      </c>
      <c r="L30" t="s">
        <v>141</v>
      </c>
    </row>
    <row r="31" spans="2:12" x14ac:dyDescent="0.25">
      <c r="B31" t="s">
        <v>27</v>
      </c>
      <c r="C31" t="s">
        <v>13</v>
      </c>
      <c r="D31" t="s">
        <v>126</v>
      </c>
      <c r="E31" t="s">
        <v>142</v>
      </c>
      <c r="F31" t="s">
        <v>143</v>
      </c>
      <c r="G31" t="s">
        <v>144</v>
      </c>
      <c r="H31" t="s">
        <v>32</v>
      </c>
      <c r="I31" t="s">
        <v>33</v>
      </c>
      <c r="J31" t="s">
        <v>145</v>
      </c>
      <c r="K31" t="s">
        <v>21</v>
      </c>
      <c r="L31" t="s">
        <v>145</v>
      </c>
    </row>
    <row r="32" spans="2:12" x14ac:dyDescent="0.25">
      <c r="B32" t="s">
        <v>27</v>
      </c>
      <c r="C32" t="s">
        <v>13</v>
      </c>
      <c r="D32" t="s">
        <v>126</v>
      </c>
      <c r="E32" t="s">
        <v>146</v>
      </c>
      <c r="F32" t="s">
        <v>147</v>
      </c>
      <c r="G32" t="str">
        <f>"0000000223119"</f>
        <v>0000000223119</v>
      </c>
      <c r="H32" t="s">
        <v>32</v>
      </c>
      <c r="I32" t="s">
        <v>33</v>
      </c>
      <c r="J32" t="s">
        <v>148</v>
      </c>
      <c r="K32" t="s">
        <v>21</v>
      </c>
      <c r="L32" t="s">
        <v>148</v>
      </c>
    </row>
    <row r="33" spans="1:12" x14ac:dyDescent="0.25">
      <c r="B33" t="s">
        <v>38</v>
      </c>
      <c r="C33" t="s">
        <v>13</v>
      </c>
      <c r="D33" t="s">
        <v>126</v>
      </c>
      <c r="E33" t="s">
        <v>149</v>
      </c>
      <c r="F33" t="s">
        <v>150</v>
      </c>
      <c r="G33" t="str">
        <f>"0000000223126"</f>
        <v>0000000223126</v>
      </c>
      <c r="H33" t="s">
        <v>32</v>
      </c>
      <c r="I33" t="s">
        <v>33</v>
      </c>
      <c r="J33" t="s">
        <v>151</v>
      </c>
      <c r="K33" t="s">
        <v>21</v>
      </c>
      <c r="L33" t="s">
        <v>151</v>
      </c>
    </row>
    <row r="34" spans="1:12" x14ac:dyDescent="0.25">
      <c r="B34" t="s">
        <v>27</v>
      </c>
      <c r="C34" t="s">
        <v>13</v>
      </c>
      <c r="D34" t="s">
        <v>126</v>
      </c>
      <c r="E34" t="s">
        <v>152</v>
      </c>
      <c r="F34" t="s">
        <v>153</v>
      </c>
      <c r="G34" t="str">
        <f>"0000000243643"</f>
        <v>0000000243643</v>
      </c>
      <c r="H34" t="s">
        <v>32</v>
      </c>
      <c r="I34" t="s">
        <v>33</v>
      </c>
      <c r="J34" t="s">
        <v>154</v>
      </c>
      <c r="K34" t="s">
        <v>21</v>
      </c>
      <c r="L34" t="s">
        <v>154</v>
      </c>
    </row>
    <row r="35" spans="1:12" x14ac:dyDescent="0.25">
      <c r="B35" t="s">
        <v>38</v>
      </c>
      <c r="C35" t="s">
        <v>13</v>
      </c>
      <c r="D35" t="s">
        <v>126</v>
      </c>
      <c r="E35" t="s">
        <v>155</v>
      </c>
      <c r="F35" t="s">
        <v>156</v>
      </c>
      <c r="G35" t="str">
        <f>"0000000278836"</f>
        <v>0000000278836</v>
      </c>
      <c r="H35" t="s">
        <v>32</v>
      </c>
      <c r="I35" t="s">
        <v>33</v>
      </c>
      <c r="J35" t="s">
        <v>157</v>
      </c>
      <c r="K35" t="s">
        <v>21</v>
      </c>
      <c r="L35" t="s">
        <v>157</v>
      </c>
    </row>
    <row r="36" spans="1:12" x14ac:dyDescent="0.25">
      <c r="A36" t="s">
        <v>1</v>
      </c>
      <c r="B36" t="s">
        <v>27</v>
      </c>
      <c r="C36" t="s">
        <v>13</v>
      </c>
      <c r="D36" t="s">
        <v>158</v>
      </c>
      <c r="E36" t="s">
        <v>159</v>
      </c>
      <c r="F36" t="s">
        <v>160</v>
      </c>
      <c r="G36" t="s">
        <v>161</v>
      </c>
      <c r="H36" t="s">
        <v>32</v>
      </c>
      <c r="I36" t="s">
        <v>162</v>
      </c>
      <c r="J36" t="s">
        <v>163</v>
      </c>
      <c r="K36" t="s">
        <v>21</v>
      </c>
      <c r="L36" t="s">
        <v>163</v>
      </c>
    </row>
    <row r="37" spans="1:12" x14ac:dyDescent="0.25">
      <c r="A37" t="s">
        <v>1</v>
      </c>
      <c r="B37" t="s">
        <v>27</v>
      </c>
      <c r="C37" t="s">
        <v>13</v>
      </c>
      <c r="D37" t="s">
        <v>164</v>
      </c>
      <c r="E37" t="s">
        <v>165</v>
      </c>
      <c r="F37" t="s">
        <v>166</v>
      </c>
      <c r="G37" t="s">
        <v>167</v>
      </c>
      <c r="H37" t="s">
        <v>32</v>
      </c>
      <c r="I37" t="s">
        <v>168</v>
      </c>
      <c r="J37" t="s">
        <v>169</v>
      </c>
      <c r="K37" t="s">
        <v>21</v>
      </c>
      <c r="L37" t="s">
        <v>169</v>
      </c>
    </row>
    <row r="38" spans="1:12" x14ac:dyDescent="0.25">
      <c r="A38" t="s">
        <v>1</v>
      </c>
      <c r="B38" t="s">
        <v>27</v>
      </c>
      <c r="C38" t="s">
        <v>13</v>
      </c>
      <c r="D38" t="s">
        <v>164</v>
      </c>
      <c r="E38" t="s">
        <v>170</v>
      </c>
      <c r="F38" t="s">
        <v>171</v>
      </c>
      <c r="G38" t="str">
        <f>"0000000129190"</f>
        <v>0000000129190</v>
      </c>
      <c r="H38" t="s">
        <v>32</v>
      </c>
      <c r="I38" t="s">
        <v>33</v>
      </c>
      <c r="J38" t="s">
        <v>264</v>
      </c>
      <c r="K38" t="s">
        <v>21</v>
      </c>
      <c r="L38" t="s">
        <v>264</v>
      </c>
    </row>
    <row r="39" spans="1:12" x14ac:dyDescent="0.25">
      <c r="A39" t="s">
        <v>1</v>
      </c>
      <c r="B39" t="s">
        <v>27</v>
      </c>
      <c r="C39" t="s">
        <v>13</v>
      </c>
      <c r="D39" t="s">
        <v>164</v>
      </c>
      <c r="E39" t="s">
        <v>265</v>
      </c>
      <c r="F39" t="s">
        <v>266</v>
      </c>
      <c r="G39" t="str">
        <f>"0000000151634"</f>
        <v>0000000151634</v>
      </c>
      <c r="H39" t="s">
        <v>32</v>
      </c>
      <c r="I39" t="s">
        <v>33</v>
      </c>
      <c r="J39" t="s">
        <v>267</v>
      </c>
      <c r="K39" t="s">
        <v>21</v>
      </c>
      <c r="L39" t="s">
        <v>267</v>
      </c>
    </row>
    <row r="40" spans="1:12" x14ac:dyDescent="0.25">
      <c r="B40" t="s">
        <v>27</v>
      </c>
      <c r="C40" t="s">
        <v>13</v>
      </c>
      <c r="D40" t="s">
        <v>164</v>
      </c>
      <c r="E40" t="s">
        <v>176</v>
      </c>
      <c r="F40" t="s">
        <v>177</v>
      </c>
      <c r="G40" t="str">
        <f>"0000000170956"</f>
        <v>0000000170956</v>
      </c>
      <c r="H40" t="s">
        <v>32</v>
      </c>
      <c r="I40" t="s">
        <v>33</v>
      </c>
      <c r="J40" t="s">
        <v>178</v>
      </c>
      <c r="K40" t="s">
        <v>21</v>
      </c>
      <c r="L40" t="s">
        <v>178</v>
      </c>
    </row>
    <row r="41" spans="1:12" x14ac:dyDescent="0.25">
      <c r="A41" t="s">
        <v>1</v>
      </c>
      <c r="B41" t="s">
        <v>27</v>
      </c>
      <c r="C41" t="s">
        <v>13</v>
      </c>
      <c r="D41" t="s">
        <v>164</v>
      </c>
      <c r="E41" t="s">
        <v>179</v>
      </c>
      <c r="F41" t="s">
        <v>180</v>
      </c>
      <c r="G41" t="str">
        <f>"0000000263573"</f>
        <v>0000000263573</v>
      </c>
      <c r="H41" t="s">
        <v>32</v>
      </c>
      <c r="I41" t="s">
        <v>33</v>
      </c>
      <c r="J41" t="s">
        <v>181</v>
      </c>
      <c r="K41" t="s">
        <v>21</v>
      </c>
      <c r="L41" t="s">
        <v>181</v>
      </c>
    </row>
    <row r="42" spans="1:12" x14ac:dyDescent="0.25">
      <c r="A42" t="s">
        <v>1</v>
      </c>
      <c r="B42" t="s">
        <v>27</v>
      </c>
      <c r="C42" t="s">
        <v>13</v>
      </c>
      <c r="D42" t="s">
        <v>164</v>
      </c>
      <c r="E42" t="s">
        <v>182</v>
      </c>
      <c r="F42" t="s">
        <v>183</v>
      </c>
      <c r="G42" t="str">
        <f>"0000000352031"</f>
        <v>0000000352031</v>
      </c>
      <c r="H42" t="s">
        <v>32</v>
      </c>
      <c r="I42" t="s">
        <v>33</v>
      </c>
      <c r="J42" t="s">
        <v>268</v>
      </c>
      <c r="K42" t="s">
        <v>21</v>
      </c>
      <c r="L42" t="s">
        <v>268</v>
      </c>
    </row>
    <row r="43" spans="1:12" x14ac:dyDescent="0.25">
      <c r="A43" t="s">
        <v>1</v>
      </c>
      <c r="B43" t="s">
        <v>27</v>
      </c>
      <c r="C43" t="s">
        <v>13</v>
      </c>
      <c r="D43" t="s">
        <v>185</v>
      </c>
      <c r="E43" t="s">
        <v>186</v>
      </c>
      <c r="F43" t="s">
        <v>187</v>
      </c>
      <c r="G43" t="s">
        <v>188</v>
      </c>
      <c r="H43" t="s">
        <v>32</v>
      </c>
      <c r="I43" t="s">
        <v>33</v>
      </c>
      <c r="J43" t="s">
        <v>269</v>
      </c>
      <c r="K43" t="s">
        <v>21</v>
      </c>
      <c r="L43" t="s">
        <v>269</v>
      </c>
    </row>
    <row r="44" spans="1:12" x14ac:dyDescent="0.25">
      <c r="A44" t="s">
        <v>1</v>
      </c>
      <c r="B44" t="s">
        <v>27</v>
      </c>
      <c r="C44" t="s">
        <v>13</v>
      </c>
      <c r="D44" t="s">
        <v>185</v>
      </c>
      <c r="E44" t="s">
        <v>190</v>
      </c>
      <c r="F44" t="s">
        <v>191</v>
      </c>
      <c r="G44" t="s">
        <v>192</v>
      </c>
      <c r="H44" t="s">
        <v>32</v>
      </c>
      <c r="I44" t="s">
        <v>193</v>
      </c>
      <c r="J44" t="s">
        <v>194</v>
      </c>
      <c r="K44" t="s">
        <v>21</v>
      </c>
      <c r="L44" t="s">
        <v>194</v>
      </c>
    </row>
    <row r="45" spans="1:12" x14ac:dyDescent="0.25">
      <c r="A45" t="s">
        <v>1</v>
      </c>
      <c r="B45" t="s">
        <v>27</v>
      </c>
      <c r="C45" t="s">
        <v>13</v>
      </c>
      <c r="D45" t="s">
        <v>185</v>
      </c>
      <c r="E45" t="s">
        <v>195</v>
      </c>
      <c r="F45" t="s">
        <v>196</v>
      </c>
      <c r="G45" t="str">
        <f>"0000000075022"</f>
        <v>0000000075022</v>
      </c>
      <c r="H45" t="s">
        <v>32</v>
      </c>
      <c r="I45" t="s">
        <v>33</v>
      </c>
      <c r="J45" t="s">
        <v>270</v>
      </c>
      <c r="K45" t="s">
        <v>21</v>
      </c>
      <c r="L45" t="s">
        <v>270</v>
      </c>
    </row>
    <row r="46" spans="1:12" x14ac:dyDescent="0.25">
      <c r="A46" t="s">
        <v>1</v>
      </c>
      <c r="B46" t="s">
        <v>27</v>
      </c>
      <c r="C46" t="s">
        <v>13</v>
      </c>
      <c r="D46" t="s">
        <v>185</v>
      </c>
      <c r="E46" t="s">
        <v>198</v>
      </c>
      <c r="F46" t="s">
        <v>199</v>
      </c>
      <c r="G46" t="str">
        <f>"0000000163026"</f>
        <v>0000000163026</v>
      </c>
      <c r="H46" t="s">
        <v>32</v>
      </c>
      <c r="I46" t="s">
        <v>33</v>
      </c>
      <c r="J46" t="s">
        <v>200</v>
      </c>
      <c r="K46" t="s">
        <v>21</v>
      </c>
      <c r="L46" t="s">
        <v>200</v>
      </c>
    </row>
    <row r="47" spans="1:12" x14ac:dyDescent="0.25">
      <c r="A47" t="s">
        <v>1</v>
      </c>
      <c r="B47" t="s">
        <v>27</v>
      </c>
      <c r="C47" t="s">
        <v>13</v>
      </c>
      <c r="D47" t="s">
        <v>185</v>
      </c>
      <c r="E47" t="s">
        <v>201</v>
      </c>
      <c r="F47" t="s">
        <v>202</v>
      </c>
      <c r="G47" t="str">
        <f>"0000000163033"</f>
        <v>0000000163033</v>
      </c>
      <c r="H47" t="s">
        <v>32</v>
      </c>
      <c r="I47" t="s">
        <v>33</v>
      </c>
      <c r="J47" t="s">
        <v>203</v>
      </c>
      <c r="K47" t="s">
        <v>21</v>
      </c>
      <c r="L47" t="s">
        <v>203</v>
      </c>
    </row>
    <row r="48" spans="1:12" x14ac:dyDescent="0.25">
      <c r="A48" t="s">
        <v>1</v>
      </c>
      <c r="B48" t="s">
        <v>27</v>
      </c>
      <c r="C48" t="s">
        <v>13</v>
      </c>
      <c r="D48" t="s">
        <v>204</v>
      </c>
      <c r="E48" t="s">
        <v>205</v>
      </c>
      <c r="F48" t="s">
        <v>206</v>
      </c>
      <c r="G48" t="str">
        <f>"0000000106320"</f>
        <v>0000000106320</v>
      </c>
      <c r="H48" t="s">
        <v>32</v>
      </c>
      <c r="I48" t="s">
        <v>33</v>
      </c>
      <c r="J48" t="s">
        <v>271</v>
      </c>
      <c r="K48" t="s">
        <v>21</v>
      </c>
      <c r="L48" t="s">
        <v>271</v>
      </c>
    </row>
    <row r="49" spans="1:12" x14ac:dyDescent="0.25">
      <c r="A49" t="s">
        <v>1</v>
      </c>
      <c r="B49" t="s">
        <v>27</v>
      </c>
      <c r="C49" t="s">
        <v>13</v>
      </c>
      <c r="D49" t="s">
        <v>204</v>
      </c>
      <c r="E49" t="s">
        <v>272</v>
      </c>
      <c r="F49" t="s">
        <v>273</v>
      </c>
      <c r="G49" t="str">
        <f>"0000000153553"</f>
        <v>0000000153553</v>
      </c>
      <c r="H49" t="s">
        <v>32</v>
      </c>
      <c r="I49" t="s">
        <v>33</v>
      </c>
      <c r="J49" t="s">
        <v>274</v>
      </c>
      <c r="K49" t="s">
        <v>21</v>
      </c>
      <c r="L49" t="s">
        <v>274</v>
      </c>
    </row>
    <row r="50" spans="1:12" x14ac:dyDescent="0.25">
      <c r="A50" t="s">
        <v>1</v>
      </c>
      <c r="B50" t="s">
        <v>27</v>
      </c>
      <c r="C50" t="s">
        <v>13</v>
      </c>
      <c r="D50" t="s">
        <v>204</v>
      </c>
      <c r="E50" t="s">
        <v>211</v>
      </c>
      <c r="F50" t="s">
        <v>212</v>
      </c>
      <c r="G50" t="str">
        <f>"0000000319447"</f>
        <v>0000000319447</v>
      </c>
      <c r="H50" t="s">
        <v>32</v>
      </c>
      <c r="I50" t="s">
        <v>33</v>
      </c>
      <c r="J50" t="s">
        <v>275</v>
      </c>
      <c r="K50" t="s">
        <v>21</v>
      </c>
      <c r="L50" t="s">
        <v>275</v>
      </c>
    </row>
    <row r="51" spans="1:12" x14ac:dyDescent="0.25">
      <c r="B51" t="s">
        <v>27</v>
      </c>
      <c r="C51" t="s">
        <v>13</v>
      </c>
      <c r="D51" t="s">
        <v>214</v>
      </c>
      <c r="E51" t="s">
        <v>215</v>
      </c>
      <c r="F51" t="s">
        <v>216</v>
      </c>
      <c r="G51" t="str">
        <f>"0000000094634"</f>
        <v>0000000094634</v>
      </c>
      <c r="H51" t="s">
        <v>217</v>
      </c>
      <c r="I51" t="s">
        <v>218</v>
      </c>
      <c r="J51" t="s">
        <v>276</v>
      </c>
      <c r="K51" t="s">
        <v>21</v>
      </c>
      <c r="L51" t="s">
        <v>276</v>
      </c>
    </row>
    <row r="52" spans="1:12" x14ac:dyDescent="0.25">
      <c r="B52" t="s">
        <v>220</v>
      </c>
      <c r="C52" t="s">
        <v>13</v>
      </c>
      <c r="D52" t="s">
        <v>221</v>
      </c>
      <c r="E52" t="s">
        <v>222</v>
      </c>
      <c r="F52" t="s">
        <v>223</v>
      </c>
      <c r="G52" t="s">
        <v>224</v>
      </c>
      <c r="H52" t="s">
        <v>217</v>
      </c>
      <c r="I52" t="s">
        <v>218</v>
      </c>
      <c r="J52" t="s">
        <v>225</v>
      </c>
      <c r="K52" t="s">
        <v>21</v>
      </c>
      <c r="L52" t="s">
        <v>225</v>
      </c>
    </row>
    <row r="53" spans="1:12" x14ac:dyDescent="0.25">
      <c r="B53" t="s">
        <v>22</v>
      </c>
      <c r="C53" t="s">
        <v>13</v>
      </c>
      <c r="D53" t="s">
        <v>226</v>
      </c>
      <c r="E53" t="s">
        <v>227</v>
      </c>
      <c r="F53" t="s">
        <v>228</v>
      </c>
      <c r="G53" t="s">
        <v>229</v>
      </c>
      <c r="H53" t="s">
        <v>18</v>
      </c>
      <c r="I53" t="s">
        <v>230</v>
      </c>
      <c r="J53" t="s">
        <v>231</v>
      </c>
      <c r="K53" t="s">
        <v>21</v>
      </c>
      <c r="L53" t="s">
        <v>231</v>
      </c>
    </row>
    <row r="54" spans="1:12" x14ac:dyDescent="0.25">
      <c r="B54" t="s">
        <v>38</v>
      </c>
      <c r="C54" t="s">
        <v>13</v>
      </c>
      <c r="D54" t="s">
        <v>226</v>
      </c>
      <c r="E54" t="s">
        <v>232</v>
      </c>
      <c r="F54" t="s">
        <v>233</v>
      </c>
      <c r="G54" t="s">
        <v>234</v>
      </c>
      <c r="H54" t="s">
        <v>18</v>
      </c>
      <c r="I54" t="s">
        <v>230</v>
      </c>
      <c r="J54" t="s">
        <v>235</v>
      </c>
      <c r="K54" t="s">
        <v>21</v>
      </c>
      <c r="L54" t="s">
        <v>235</v>
      </c>
    </row>
    <row r="55" spans="1:12" x14ac:dyDescent="0.25">
      <c r="B55" t="s">
        <v>27</v>
      </c>
      <c r="C55" t="s">
        <v>13</v>
      </c>
      <c r="D55" t="s">
        <v>236</v>
      </c>
      <c r="E55" t="s">
        <v>237</v>
      </c>
      <c r="F55" t="s">
        <v>238</v>
      </c>
      <c r="G55" t="str">
        <f>"0000000135436"</f>
        <v>0000000135436</v>
      </c>
      <c r="H55" t="s">
        <v>32</v>
      </c>
      <c r="I55" t="s">
        <v>33</v>
      </c>
      <c r="J55" t="s">
        <v>239</v>
      </c>
      <c r="K55" t="s">
        <v>21</v>
      </c>
      <c r="L55" t="s">
        <v>239</v>
      </c>
    </row>
    <row r="56" spans="1:12" x14ac:dyDescent="0.25">
      <c r="B56" t="s">
        <v>27</v>
      </c>
      <c r="C56" t="s">
        <v>13</v>
      </c>
      <c r="D56" t="s">
        <v>236</v>
      </c>
      <c r="E56" t="s">
        <v>240</v>
      </c>
      <c r="F56" t="s">
        <v>241</v>
      </c>
      <c r="G56" t="s">
        <v>242</v>
      </c>
      <c r="H56" t="s">
        <v>32</v>
      </c>
      <c r="I56" t="s">
        <v>33</v>
      </c>
      <c r="J56" t="s">
        <v>243</v>
      </c>
      <c r="K56" t="s">
        <v>21</v>
      </c>
      <c r="L56" t="s">
        <v>243</v>
      </c>
    </row>
    <row r="57" spans="1:12" x14ac:dyDescent="0.25">
      <c r="B57" t="s">
        <v>27</v>
      </c>
      <c r="C57" t="s">
        <v>13</v>
      </c>
      <c r="D57" t="s">
        <v>236</v>
      </c>
      <c r="E57" t="s">
        <v>244</v>
      </c>
      <c r="F57" t="s">
        <v>245</v>
      </c>
      <c r="G57" t="s">
        <v>246</v>
      </c>
      <c r="H57" t="s">
        <v>32</v>
      </c>
      <c r="I57" t="s">
        <v>33</v>
      </c>
      <c r="J57" t="s">
        <v>247</v>
      </c>
      <c r="K57" t="s">
        <v>21</v>
      </c>
      <c r="L57" t="s">
        <v>247</v>
      </c>
    </row>
    <row r="58" spans="1:12" x14ac:dyDescent="0.25">
      <c r="B58" t="s">
        <v>27</v>
      </c>
      <c r="C58" t="s">
        <v>13</v>
      </c>
      <c r="D58" t="s">
        <v>236</v>
      </c>
      <c r="E58" t="s">
        <v>248</v>
      </c>
      <c r="F58" t="s">
        <v>249</v>
      </c>
      <c r="G58" t="str">
        <f>"0000000135443"</f>
        <v>0000000135443</v>
      </c>
      <c r="H58" t="s">
        <v>32</v>
      </c>
      <c r="I58" t="s">
        <v>33</v>
      </c>
      <c r="J58" t="s">
        <v>250</v>
      </c>
      <c r="K58" t="s">
        <v>21</v>
      </c>
      <c r="L58" t="s">
        <v>250</v>
      </c>
    </row>
    <row r="59" spans="1:12" x14ac:dyDescent="0.25">
      <c r="B59" t="s">
        <v>27</v>
      </c>
      <c r="C59" t="s">
        <v>13</v>
      </c>
      <c r="D59" t="s">
        <v>236</v>
      </c>
      <c r="E59" t="s">
        <v>251</v>
      </c>
      <c r="F59" t="s">
        <v>252</v>
      </c>
      <c r="G59" t="str">
        <f>"0000000134262"</f>
        <v>0000000134262</v>
      </c>
      <c r="H59" t="s">
        <v>32</v>
      </c>
      <c r="I59" t="s">
        <v>33</v>
      </c>
      <c r="J59" t="s">
        <v>253</v>
      </c>
      <c r="K59" t="s">
        <v>21</v>
      </c>
      <c r="L59" t="s">
        <v>253</v>
      </c>
    </row>
    <row r="60" spans="1:12" x14ac:dyDescent="0.25">
      <c r="B60" t="s">
        <v>27</v>
      </c>
      <c r="C60" t="s">
        <v>13</v>
      </c>
      <c r="D60" t="s">
        <v>236</v>
      </c>
      <c r="E60" t="s">
        <v>254</v>
      </c>
      <c r="F60" t="s">
        <v>255</v>
      </c>
      <c r="G60" t="str">
        <f>"0000000134279"</f>
        <v>0000000134279</v>
      </c>
      <c r="H60" t="s">
        <v>32</v>
      </c>
      <c r="I60" t="s">
        <v>33</v>
      </c>
      <c r="J60" t="s">
        <v>256</v>
      </c>
      <c r="K60" t="s">
        <v>21</v>
      </c>
      <c r="L60" t="s">
        <v>256</v>
      </c>
    </row>
    <row r="61" spans="1:12" x14ac:dyDescent="0.25">
      <c r="B61" t="s">
        <v>27</v>
      </c>
      <c r="C61" t="s">
        <v>13</v>
      </c>
      <c r="D61" t="s">
        <v>257</v>
      </c>
      <c r="E61" t="s">
        <v>258</v>
      </c>
      <c r="F61" t="s">
        <v>259</v>
      </c>
      <c r="G61" t="s">
        <v>260</v>
      </c>
      <c r="H61" t="s">
        <v>32</v>
      </c>
      <c r="I61" t="s">
        <v>261</v>
      </c>
      <c r="J61" t="s">
        <v>262</v>
      </c>
      <c r="K61" t="s">
        <v>21</v>
      </c>
      <c r="L61" t="s">
        <v>262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L61"/>
  <sheetViews>
    <sheetView workbookViewId="0">
      <selection sqref="A1:L1048576"/>
    </sheetView>
  </sheetViews>
  <sheetFormatPr defaultRowHeight="15" x14ac:dyDescent="0.25"/>
  <sheetData>
    <row r="1" spans="1:12" x14ac:dyDescent="0.25">
      <c r="A1" t="s">
        <v>277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2" x14ac:dyDescent="0.25"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 t="s">
        <v>18</v>
      </c>
      <c r="I2" t="s">
        <v>19</v>
      </c>
      <c r="J2" t="s">
        <v>20</v>
      </c>
      <c r="K2" t="s">
        <v>21</v>
      </c>
      <c r="L2" t="s">
        <v>20</v>
      </c>
    </row>
    <row r="3" spans="1:12" x14ac:dyDescent="0.25">
      <c r="B3" t="s">
        <v>22</v>
      </c>
      <c r="C3" t="s">
        <v>13</v>
      </c>
      <c r="D3" t="s">
        <v>14</v>
      </c>
      <c r="E3" t="s">
        <v>23</v>
      </c>
      <c r="F3" t="s">
        <v>24</v>
      </c>
      <c r="G3" t="s">
        <v>25</v>
      </c>
      <c r="H3" t="s">
        <v>18</v>
      </c>
      <c r="I3" t="s">
        <v>19</v>
      </c>
      <c r="J3" t="s">
        <v>26</v>
      </c>
      <c r="K3" t="s">
        <v>21</v>
      </c>
      <c r="L3" t="s">
        <v>26</v>
      </c>
    </row>
    <row r="4" spans="1:12" x14ac:dyDescent="0.25">
      <c r="B4" t="s">
        <v>27</v>
      </c>
      <c r="C4" t="s">
        <v>13</v>
      </c>
      <c r="D4" t="s">
        <v>28</v>
      </c>
      <c r="E4" t="s">
        <v>29</v>
      </c>
      <c r="F4" t="s">
        <v>30</v>
      </c>
      <c r="G4" t="s">
        <v>31</v>
      </c>
      <c r="H4" t="s">
        <v>32</v>
      </c>
      <c r="I4" t="s">
        <v>33</v>
      </c>
      <c r="J4" t="s">
        <v>34</v>
      </c>
      <c r="K4" t="s">
        <v>21</v>
      </c>
      <c r="L4" t="s">
        <v>34</v>
      </c>
    </row>
    <row r="5" spans="1:12" x14ac:dyDescent="0.25">
      <c r="B5" t="s">
        <v>27</v>
      </c>
      <c r="C5" t="s">
        <v>13</v>
      </c>
      <c r="D5" t="s">
        <v>28</v>
      </c>
      <c r="E5" t="s">
        <v>35</v>
      </c>
      <c r="F5" t="s">
        <v>36</v>
      </c>
      <c r="G5" t="str">
        <f>"0000000132787"</f>
        <v>0000000132787</v>
      </c>
      <c r="H5" t="s">
        <v>32</v>
      </c>
      <c r="I5" t="s">
        <v>33</v>
      </c>
      <c r="J5" t="s">
        <v>37</v>
      </c>
      <c r="K5" t="s">
        <v>21</v>
      </c>
      <c r="L5" t="s">
        <v>37</v>
      </c>
    </row>
    <row r="6" spans="1:12" x14ac:dyDescent="0.25">
      <c r="B6" t="s">
        <v>38</v>
      </c>
      <c r="C6" t="s">
        <v>13</v>
      </c>
      <c r="D6" t="s">
        <v>39</v>
      </c>
      <c r="E6" t="s">
        <v>40</v>
      </c>
      <c r="F6" t="s">
        <v>41</v>
      </c>
      <c r="G6" t="s">
        <v>42</v>
      </c>
      <c r="H6" t="s">
        <v>18</v>
      </c>
      <c r="I6" t="s">
        <v>19</v>
      </c>
      <c r="J6" t="s">
        <v>43</v>
      </c>
      <c r="K6" t="s">
        <v>21</v>
      </c>
      <c r="L6" t="s">
        <v>43</v>
      </c>
    </row>
    <row r="7" spans="1:12" x14ac:dyDescent="0.25">
      <c r="B7" t="s">
        <v>12</v>
      </c>
      <c r="C7" t="s">
        <v>13</v>
      </c>
      <c r="D7" t="s">
        <v>39</v>
      </c>
      <c r="E7" t="s">
        <v>44</v>
      </c>
      <c r="F7" t="s">
        <v>45</v>
      </c>
      <c r="G7" t="s">
        <v>46</v>
      </c>
      <c r="H7" t="s">
        <v>18</v>
      </c>
      <c r="I7" t="s">
        <v>19</v>
      </c>
      <c r="J7" t="s">
        <v>47</v>
      </c>
      <c r="K7" t="s">
        <v>21</v>
      </c>
      <c r="L7" t="s">
        <v>47</v>
      </c>
    </row>
    <row r="8" spans="1:12" x14ac:dyDescent="0.25">
      <c r="B8" t="s">
        <v>48</v>
      </c>
      <c r="C8" t="s">
        <v>13</v>
      </c>
      <c r="D8" t="s">
        <v>39</v>
      </c>
      <c r="E8" t="s">
        <v>49</v>
      </c>
      <c r="F8" t="s">
        <v>50</v>
      </c>
      <c r="G8" t="s">
        <v>51</v>
      </c>
      <c r="H8" t="s">
        <v>18</v>
      </c>
      <c r="I8" t="s">
        <v>19</v>
      </c>
      <c r="J8" t="s">
        <v>52</v>
      </c>
      <c r="K8" t="s">
        <v>21</v>
      </c>
      <c r="L8" t="s">
        <v>52</v>
      </c>
    </row>
    <row r="9" spans="1:12" x14ac:dyDescent="0.25">
      <c r="B9" t="s">
        <v>22</v>
      </c>
      <c r="C9" t="s">
        <v>13</v>
      </c>
      <c r="D9" t="s">
        <v>39</v>
      </c>
      <c r="E9" t="s">
        <v>53</v>
      </c>
      <c r="F9" t="s">
        <v>54</v>
      </c>
      <c r="G9" t="s">
        <v>55</v>
      </c>
      <c r="H9" t="s">
        <v>18</v>
      </c>
      <c r="I9" t="s">
        <v>19</v>
      </c>
      <c r="J9" t="s">
        <v>56</v>
      </c>
      <c r="K9" t="s">
        <v>21</v>
      </c>
      <c r="L9" t="s">
        <v>56</v>
      </c>
    </row>
    <row r="10" spans="1:12" x14ac:dyDescent="0.25">
      <c r="B10" t="s">
        <v>22</v>
      </c>
      <c r="C10" t="s">
        <v>13</v>
      </c>
      <c r="D10" t="s">
        <v>39</v>
      </c>
      <c r="E10" t="s">
        <v>57</v>
      </c>
      <c r="F10" t="s">
        <v>58</v>
      </c>
      <c r="G10" t="s">
        <v>59</v>
      </c>
      <c r="H10" t="s">
        <v>18</v>
      </c>
      <c r="I10" t="s">
        <v>19</v>
      </c>
      <c r="J10" t="s">
        <v>60</v>
      </c>
      <c r="K10" t="s">
        <v>21</v>
      </c>
      <c r="L10" t="s">
        <v>60</v>
      </c>
    </row>
    <row r="11" spans="1:12" x14ac:dyDescent="0.25">
      <c r="B11" t="s">
        <v>22</v>
      </c>
      <c r="C11" t="s">
        <v>13</v>
      </c>
      <c r="D11" t="s">
        <v>39</v>
      </c>
      <c r="E11" t="s">
        <v>61</v>
      </c>
      <c r="F11" t="s">
        <v>62</v>
      </c>
      <c r="G11" t="s">
        <v>63</v>
      </c>
      <c r="H11" t="s">
        <v>18</v>
      </c>
      <c r="I11" t="s">
        <v>19</v>
      </c>
      <c r="J11" t="s">
        <v>64</v>
      </c>
      <c r="K11" t="s">
        <v>21</v>
      </c>
      <c r="L11" t="s">
        <v>64</v>
      </c>
    </row>
    <row r="12" spans="1:12" x14ac:dyDescent="0.25">
      <c r="B12" t="s">
        <v>65</v>
      </c>
      <c r="C12" t="s">
        <v>13</v>
      </c>
      <c r="D12" t="s">
        <v>66</v>
      </c>
      <c r="E12" t="s">
        <v>67</v>
      </c>
      <c r="F12" t="s">
        <v>68</v>
      </c>
      <c r="G12" t="s">
        <v>69</v>
      </c>
      <c r="H12" t="s">
        <v>18</v>
      </c>
      <c r="I12" t="s">
        <v>19</v>
      </c>
      <c r="J12" t="s">
        <v>47</v>
      </c>
      <c r="K12" t="s">
        <v>21</v>
      </c>
      <c r="L12" t="s">
        <v>47</v>
      </c>
    </row>
    <row r="13" spans="1:12" x14ac:dyDescent="0.25">
      <c r="B13" t="s">
        <v>38</v>
      </c>
      <c r="C13" t="s">
        <v>13</v>
      </c>
      <c r="D13" t="s">
        <v>66</v>
      </c>
      <c r="E13" t="s">
        <v>70</v>
      </c>
      <c r="F13" t="s">
        <v>71</v>
      </c>
      <c r="G13" t="s">
        <v>72</v>
      </c>
      <c r="H13" t="s">
        <v>18</v>
      </c>
      <c r="I13" t="s">
        <v>19</v>
      </c>
      <c r="J13" t="s">
        <v>73</v>
      </c>
      <c r="K13" t="s">
        <v>21</v>
      </c>
      <c r="L13" t="s">
        <v>73</v>
      </c>
    </row>
    <row r="14" spans="1:12" x14ac:dyDescent="0.25">
      <c r="B14" t="s">
        <v>22</v>
      </c>
      <c r="C14" t="s">
        <v>13</v>
      </c>
      <c r="D14" t="s">
        <v>66</v>
      </c>
      <c r="E14" t="s">
        <v>74</v>
      </c>
      <c r="F14" t="s">
        <v>75</v>
      </c>
      <c r="G14" t="s">
        <v>76</v>
      </c>
      <c r="H14" t="s">
        <v>18</v>
      </c>
      <c r="I14" t="s">
        <v>19</v>
      </c>
      <c r="J14" t="s">
        <v>77</v>
      </c>
      <c r="K14" t="s">
        <v>21</v>
      </c>
      <c r="L14" t="s">
        <v>77</v>
      </c>
    </row>
    <row r="15" spans="1:12" x14ac:dyDescent="0.25">
      <c r="B15" t="s">
        <v>27</v>
      </c>
      <c r="C15" t="s">
        <v>13</v>
      </c>
      <c r="D15" t="s">
        <v>78</v>
      </c>
      <c r="E15" t="s">
        <v>79</v>
      </c>
      <c r="F15" t="s">
        <v>80</v>
      </c>
      <c r="G15" t="s">
        <v>81</v>
      </c>
      <c r="H15" t="s">
        <v>18</v>
      </c>
      <c r="I15" t="s">
        <v>19</v>
      </c>
      <c r="J15" t="s">
        <v>82</v>
      </c>
      <c r="K15" t="s">
        <v>21</v>
      </c>
      <c r="L15" t="s">
        <v>82</v>
      </c>
    </row>
    <row r="16" spans="1:12" x14ac:dyDescent="0.25">
      <c r="B16" t="s">
        <v>22</v>
      </c>
      <c r="C16" t="s">
        <v>13</v>
      </c>
      <c r="D16" t="s">
        <v>83</v>
      </c>
      <c r="E16" t="s">
        <v>84</v>
      </c>
      <c r="F16" t="s">
        <v>85</v>
      </c>
      <c r="G16" t="s">
        <v>86</v>
      </c>
      <c r="H16" t="s">
        <v>18</v>
      </c>
      <c r="I16" t="s">
        <v>19</v>
      </c>
      <c r="J16" t="s">
        <v>73</v>
      </c>
      <c r="K16" t="s">
        <v>21</v>
      </c>
      <c r="L16" t="s">
        <v>73</v>
      </c>
    </row>
    <row r="17" spans="2:12" x14ac:dyDescent="0.25">
      <c r="B17" t="s">
        <v>22</v>
      </c>
      <c r="C17" t="s">
        <v>13</v>
      </c>
      <c r="D17" t="s">
        <v>83</v>
      </c>
      <c r="E17" t="s">
        <v>87</v>
      </c>
      <c r="F17" t="s">
        <v>88</v>
      </c>
      <c r="G17" t="s">
        <v>89</v>
      </c>
      <c r="H17" t="s">
        <v>18</v>
      </c>
      <c r="I17" t="s">
        <v>19</v>
      </c>
      <c r="J17" t="s">
        <v>73</v>
      </c>
      <c r="K17" t="s">
        <v>21</v>
      </c>
      <c r="L17" t="s">
        <v>73</v>
      </c>
    </row>
    <row r="18" spans="2:12" x14ac:dyDescent="0.25">
      <c r="B18" t="s">
        <v>27</v>
      </c>
      <c r="C18" t="s">
        <v>13</v>
      </c>
      <c r="D18" t="s">
        <v>83</v>
      </c>
      <c r="E18" t="s">
        <v>90</v>
      </c>
      <c r="F18" t="s">
        <v>91</v>
      </c>
      <c r="G18" t="s">
        <v>92</v>
      </c>
      <c r="H18" t="s">
        <v>18</v>
      </c>
      <c r="I18" t="s">
        <v>19</v>
      </c>
      <c r="J18" t="s">
        <v>93</v>
      </c>
      <c r="K18" t="s">
        <v>21</v>
      </c>
      <c r="L18" t="s">
        <v>93</v>
      </c>
    </row>
    <row r="19" spans="2:12" x14ac:dyDescent="0.25">
      <c r="B19" t="s">
        <v>22</v>
      </c>
      <c r="C19" t="s">
        <v>13</v>
      </c>
      <c r="D19" t="s">
        <v>83</v>
      </c>
      <c r="E19" t="s">
        <v>94</v>
      </c>
      <c r="F19" t="s">
        <v>95</v>
      </c>
      <c r="G19" t="s">
        <v>96</v>
      </c>
      <c r="H19" t="s">
        <v>18</v>
      </c>
      <c r="I19" t="s">
        <v>19</v>
      </c>
      <c r="J19" t="s">
        <v>97</v>
      </c>
      <c r="K19" t="s">
        <v>21</v>
      </c>
      <c r="L19" t="s">
        <v>97</v>
      </c>
    </row>
    <row r="20" spans="2:12" x14ac:dyDescent="0.25">
      <c r="B20" t="s">
        <v>38</v>
      </c>
      <c r="C20" t="s">
        <v>13</v>
      </c>
      <c r="D20" t="s">
        <v>98</v>
      </c>
      <c r="E20" t="s">
        <v>99</v>
      </c>
      <c r="F20" t="s">
        <v>100</v>
      </c>
      <c r="G20" t="s">
        <v>101</v>
      </c>
      <c r="H20" t="s">
        <v>18</v>
      </c>
      <c r="I20" t="s">
        <v>19</v>
      </c>
      <c r="J20" t="s">
        <v>47</v>
      </c>
      <c r="K20" t="s">
        <v>21</v>
      </c>
      <c r="L20" t="s">
        <v>47</v>
      </c>
    </row>
    <row r="21" spans="2:12" x14ac:dyDescent="0.25">
      <c r="B21" t="s">
        <v>22</v>
      </c>
      <c r="C21" t="s">
        <v>13</v>
      </c>
      <c r="D21" t="s">
        <v>98</v>
      </c>
      <c r="E21" t="s">
        <v>102</v>
      </c>
      <c r="F21" t="s">
        <v>103</v>
      </c>
      <c r="G21" t="s">
        <v>104</v>
      </c>
      <c r="H21" t="s">
        <v>18</v>
      </c>
      <c r="I21" t="s">
        <v>19</v>
      </c>
      <c r="J21" t="s">
        <v>105</v>
      </c>
      <c r="K21" t="s">
        <v>21</v>
      </c>
      <c r="L21" t="s">
        <v>105</v>
      </c>
    </row>
    <row r="22" spans="2:12" x14ac:dyDescent="0.25">
      <c r="B22" t="s">
        <v>106</v>
      </c>
      <c r="C22" t="s">
        <v>13</v>
      </c>
      <c r="D22" t="s">
        <v>98</v>
      </c>
      <c r="E22" t="s">
        <v>107</v>
      </c>
      <c r="F22" t="s">
        <v>108</v>
      </c>
      <c r="G22" t="s">
        <v>109</v>
      </c>
      <c r="H22" t="s">
        <v>18</v>
      </c>
      <c r="I22" t="s">
        <v>19</v>
      </c>
      <c r="J22" t="s">
        <v>52</v>
      </c>
      <c r="K22" t="s">
        <v>21</v>
      </c>
      <c r="L22" t="s">
        <v>52</v>
      </c>
    </row>
    <row r="23" spans="2:12" x14ac:dyDescent="0.25">
      <c r="B23" t="s">
        <v>110</v>
      </c>
      <c r="C23" t="s">
        <v>13</v>
      </c>
      <c r="D23" t="s">
        <v>98</v>
      </c>
      <c r="E23" t="s">
        <v>111</v>
      </c>
      <c r="F23" t="s">
        <v>112</v>
      </c>
      <c r="G23" t="s">
        <v>113</v>
      </c>
      <c r="H23" t="s">
        <v>18</v>
      </c>
      <c r="I23" t="s">
        <v>19</v>
      </c>
      <c r="J23" t="s">
        <v>97</v>
      </c>
      <c r="K23" t="s">
        <v>21</v>
      </c>
      <c r="L23" t="s">
        <v>97</v>
      </c>
    </row>
    <row r="24" spans="2:12" x14ac:dyDescent="0.25">
      <c r="B24" t="s">
        <v>27</v>
      </c>
      <c r="C24" t="s">
        <v>13</v>
      </c>
      <c r="D24" t="s">
        <v>98</v>
      </c>
      <c r="E24" t="s">
        <v>114</v>
      </c>
      <c r="F24" t="s">
        <v>115</v>
      </c>
      <c r="G24" t="s">
        <v>116</v>
      </c>
      <c r="H24" t="s">
        <v>18</v>
      </c>
      <c r="I24" t="s">
        <v>19</v>
      </c>
      <c r="J24" t="s">
        <v>73</v>
      </c>
      <c r="K24" t="s">
        <v>21</v>
      </c>
      <c r="L24" t="s">
        <v>73</v>
      </c>
    </row>
    <row r="25" spans="2:12" x14ac:dyDescent="0.25">
      <c r="B25" t="s">
        <v>117</v>
      </c>
      <c r="C25" t="s">
        <v>13</v>
      </c>
      <c r="D25" t="s">
        <v>98</v>
      </c>
      <c r="E25" t="s">
        <v>118</v>
      </c>
      <c r="F25" t="s">
        <v>119</v>
      </c>
      <c r="G25" t="s">
        <v>120</v>
      </c>
      <c r="H25" t="s">
        <v>18</v>
      </c>
      <c r="I25" t="s">
        <v>19</v>
      </c>
      <c r="J25" t="s">
        <v>121</v>
      </c>
      <c r="K25" t="s">
        <v>21</v>
      </c>
      <c r="L25" t="s">
        <v>121</v>
      </c>
    </row>
    <row r="26" spans="2:12" x14ac:dyDescent="0.25">
      <c r="B26" t="s">
        <v>106</v>
      </c>
      <c r="C26" t="s">
        <v>13</v>
      </c>
      <c r="D26" t="s">
        <v>98</v>
      </c>
      <c r="E26" t="s">
        <v>122</v>
      </c>
      <c r="F26" t="s">
        <v>123</v>
      </c>
      <c r="G26" t="s">
        <v>124</v>
      </c>
      <c r="H26" t="s">
        <v>18</v>
      </c>
      <c r="I26" t="s">
        <v>19</v>
      </c>
      <c r="J26" t="s">
        <v>125</v>
      </c>
      <c r="K26" t="s">
        <v>21</v>
      </c>
      <c r="L26" t="s">
        <v>125</v>
      </c>
    </row>
    <row r="27" spans="2:12" x14ac:dyDescent="0.25">
      <c r="B27" t="s">
        <v>22</v>
      </c>
      <c r="C27" t="s">
        <v>13</v>
      </c>
      <c r="D27" t="s">
        <v>126</v>
      </c>
      <c r="E27" t="s">
        <v>127</v>
      </c>
      <c r="F27" t="s">
        <v>128</v>
      </c>
      <c r="G27" t="s">
        <v>129</v>
      </c>
      <c r="H27" t="s">
        <v>32</v>
      </c>
      <c r="I27" t="s">
        <v>33</v>
      </c>
      <c r="J27" t="s">
        <v>130</v>
      </c>
      <c r="K27" t="s">
        <v>21</v>
      </c>
      <c r="L27" t="s">
        <v>130</v>
      </c>
    </row>
    <row r="28" spans="2:12" x14ac:dyDescent="0.25">
      <c r="B28" t="s">
        <v>22</v>
      </c>
      <c r="C28" t="s">
        <v>13</v>
      </c>
      <c r="D28" t="s">
        <v>126</v>
      </c>
      <c r="E28" t="s">
        <v>131</v>
      </c>
      <c r="F28" t="s">
        <v>132</v>
      </c>
      <c r="G28" t="s">
        <v>133</v>
      </c>
      <c r="H28" t="s">
        <v>32</v>
      </c>
      <c r="I28" t="s">
        <v>33</v>
      </c>
      <c r="J28" t="s">
        <v>134</v>
      </c>
      <c r="K28" t="s">
        <v>21</v>
      </c>
      <c r="L28" t="s">
        <v>134</v>
      </c>
    </row>
    <row r="29" spans="2:12" x14ac:dyDescent="0.25">
      <c r="B29" t="s">
        <v>22</v>
      </c>
      <c r="C29" t="s">
        <v>13</v>
      </c>
      <c r="D29" t="s">
        <v>126</v>
      </c>
      <c r="E29" t="s">
        <v>135</v>
      </c>
      <c r="F29" t="s">
        <v>136</v>
      </c>
      <c r="G29" t="s">
        <v>137</v>
      </c>
      <c r="H29" t="s">
        <v>32</v>
      </c>
      <c r="I29" t="s">
        <v>33</v>
      </c>
      <c r="J29" t="s">
        <v>134</v>
      </c>
      <c r="K29" t="s">
        <v>21</v>
      </c>
      <c r="L29" t="s">
        <v>134</v>
      </c>
    </row>
    <row r="30" spans="2:12" x14ac:dyDescent="0.25">
      <c r="B30" t="s">
        <v>27</v>
      </c>
      <c r="C30" t="s">
        <v>13</v>
      </c>
      <c r="D30" t="s">
        <v>126</v>
      </c>
      <c r="E30" t="s">
        <v>138</v>
      </c>
      <c r="F30" t="s">
        <v>139</v>
      </c>
      <c r="G30" t="s">
        <v>140</v>
      </c>
      <c r="H30" t="s">
        <v>32</v>
      </c>
      <c r="I30" t="s">
        <v>33</v>
      </c>
      <c r="J30" t="s">
        <v>141</v>
      </c>
      <c r="K30" t="s">
        <v>21</v>
      </c>
      <c r="L30" t="s">
        <v>141</v>
      </c>
    </row>
    <row r="31" spans="2:12" x14ac:dyDescent="0.25">
      <c r="B31" t="s">
        <v>27</v>
      </c>
      <c r="C31" t="s">
        <v>13</v>
      </c>
      <c r="D31" t="s">
        <v>126</v>
      </c>
      <c r="E31" t="s">
        <v>142</v>
      </c>
      <c r="F31" t="s">
        <v>143</v>
      </c>
      <c r="G31" t="s">
        <v>144</v>
      </c>
      <c r="H31" t="s">
        <v>32</v>
      </c>
      <c r="I31" t="s">
        <v>33</v>
      </c>
      <c r="J31" t="s">
        <v>145</v>
      </c>
      <c r="K31" t="s">
        <v>21</v>
      </c>
      <c r="L31" t="s">
        <v>145</v>
      </c>
    </row>
    <row r="32" spans="2:12" x14ac:dyDescent="0.25">
      <c r="B32" t="s">
        <v>27</v>
      </c>
      <c r="C32" t="s">
        <v>13</v>
      </c>
      <c r="D32" t="s">
        <v>126</v>
      </c>
      <c r="E32" t="s">
        <v>146</v>
      </c>
      <c r="F32" t="s">
        <v>147</v>
      </c>
      <c r="G32" t="str">
        <f>"0000000223119"</f>
        <v>0000000223119</v>
      </c>
      <c r="H32" t="s">
        <v>32</v>
      </c>
      <c r="I32" t="s">
        <v>33</v>
      </c>
      <c r="J32" t="s">
        <v>148</v>
      </c>
      <c r="K32" t="s">
        <v>21</v>
      </c>
      <c r="L32" t="s">
        <v>148</v>
      </c>
    </row>
    <row r="33" spans="1:12" x14ac:dyDescent="0.25">
      <c r="B33" t="s">
        <v>38</v>
      </c>
      <c r="C33" t="s">
        <v>13</v>
      </c>
      <c r="D33" t="s">
        <v>126</v>
      </c>
      <c r="E33" t="s">
        <v>149</v>
      </c>
      <c r="F33" t="s">
        <v>150</v>
      </c>
      <c r="G33" t="str">
        <f>"0000000223126"</f>
        <v>0000000223126</v>
      </c>
      <c r="H33" t="s">
        <v>32</v>
      </c>
      <c r="I33" t="s">
        <v>33</v>
      </c>
      <c r="J33" t="s">
        <v>151</v>
      </c>
      <c r="K33" t="s">
        <v>21</v>
      </c>
      <c r="L33" t="s">
        <v>151</v>
      </c>
    </row>
    <row r="34" spans="1:12" x14ac:dyDescent="0.25">
      <c r="B34" t="s">
        <v>27</v>
      </c>
      <c r="C34" t="s">
        <v>13</v>
      </c>
      <c r="D34" t="s">
        <v>126</v>
      </c>
      <c r="E34" t="s">
        <v>152</v>
      </c>
      <c r="F34" t="s">
        <v>153</v>
      </c>
      <c r="G34" t="str">
        <f>"0000000243643"</f>
        <v>0000000243643</v>
      </c>
      <c r="H34" t="s">
        <v>32</v>
      </c>
      <c r="I34" t="s">
        <v>33</v>
      </c>
      <c r="J34" t="s">
        <v>154</v>
      </c>
      <c r="K34" t="s">
        <v>21</v>
      </c>
      <c r="L34" t="s">
        <v>154</v>
      </c>
    </row>
    <row r="35" spans="1:12" x14ac:dyDescent="0.25">
      <c r="B35" t="s">
        <v>38</v>
      </c>
      <c r="C35" t="s">
        <v>13</v>
      </c>
      <c r="D35" t="s">
        <v>126</v>
      </c>
      <c r="E35" t="s">
        <v>155</v>
      </c>
      <c r="F35" t="s">
        <v>156</v>
      </c>
      <c r="G35" t="str">
        <f>"0000000278836"</f>
        <v>0000000278836</v>
      </c>
      <c r="H35" t="s">
        <v>32</v>
      </c>
      <c r="I35" t="s">
        <v>33</v>
      </c>
      <c r="J35" t="s">
        <v>157</v>
      </c>
      <c r="K35" t="s">
        <v>21</v>
      </c>
      <c r="L35" t="s">
        <v>157</v>
      </c>
    </row>
    <row r="36" spans="1:12" x14ac:dyDescent="0.25">
      <c r="A36" t="s">
        <v>1</v>
      </c>
      <c r="B36" t="s">
        <v>27</v>
      </c>
      <c r="C36" t="s">
        <v>13</v>
      </c>
      <c r="D36" t="s">
        <v>158</v>
      </c>
      <c r="E36" t="s">
        <v>159</v>
      </c>
      <c r="F36" t="s">
        <v>160</v>
      </c>
      <c r="G36" t="s">
        <v>161</v>
      </c>
      <c r="H36" t="s">
        <v>32</v>
      </c>
      <c r="I36" t="s">
        <v>162</v>
      </c>
      <c r="J36" t="s">
        <v>163</v>
      </c>
      <c r="K36" t="s">
        <v>21</v>
      </c>
      <c r="L36" t="s">
        <v>163</v>
      </c>
    </row>
    <row r="37" spans="1:12" x14ac:dyDescent="0.25">
      <c r="A37" t="s">
        <v>1</v>
      </c>
      <c r="B37" t="s">
        <v>27</v>
      </c>
      <c r="C37" t="s">
        <v>13</v>
      </c>
      <c r="D37" t="s">
        <v>164</v>
      </c>
      <c r="E37" t="s">
        <v>165</v>
      </c>
      <c r="F37" t="s">
        <v>166</v>
      </c>
      <c r="G37" t="s">
        <v>167</v>
      </c>
      <c r="H37" t="s">
        <v>32</v>
      </c>
      <c r="I37" t="s">
        <v>168</v>
      </c>
      <c r="J37" t="s">
        <v>169</v>
      </c>
      <c r="K37" t="s">
        <v>21</v>
      </c>
      <c r="L37" t="s">
        <v>169</v>
      </c>
    </row>
    <row r="38" spans="1:12" x14ac:dyDescent="0.25">
      <c r="A38" t="s">
        <v>1</v>
      </c>
      <c r="B38" t="s">
        <v>27</v>
      </c>
      <c r="C38" t="s">
        <v>13</v>
      </c>
      <c r="D38" t="s">
        <v>164</v>
      </c>
      <c r="E38" t="s">
        <v>170</v>
      </c>
      <c r="F38" t="s">
        <v>171</v>
      </c>
      <c r="G38" t="str">
        <f>"0000000129190"</f>
        <v>0000000129190</v>
      </c>
      <c r="H38" t="s">
        <v>32</v>
      </c>
      <c r="I38" t="s">
        <v>33</v>
      </c>
      <c r="J38" t="s">
        <v>172</v>
      </c>
      <c r="K38" t="s">
        <v>21</v>
      </c>
      <c r="L38" t="s">
        <v>172</v>
      </c>
    </row>
    <row r="39" spans="1:12" x14ac:dyDescent="0.25">
      <c r="A39" t="s">
        <v>1</v>
      </c>
      <c r="B39" t="s">
        <v>27</v>
      </c>
      <c r="C39" t="s">
        <v>13</v>
      </c>
      <c r="D39" t="s">
        <v>164</v>
      </c>
      <c r="E39" t="s">
        <v>173</v>
      </c>
      <c r="F39" t="s">
        <v>174</v>
      </c>
      <c r="G39" t="str">
        <f>"0000000416627"</f>
        <v>0000000416627</v>
      </c>
      <c r="H39" t="s">
        <v>32</v>
      </c>
      <c r="I39" t="s">
        <v>33</v>
      </c>
      <c r="J39" t="s">
        <v>175</v>
      </c>
      <c r="K39" t="s">
        <v>21</v>
      </c>
      <c r="L39" t="s">
        <v>175</v>
      </c>
    </row>
    <row r="40" spans="1:12" x14ac:dyDescent="0.25">
      <c r="B40" t="s">
        <v>27</v>
      </c>
      <c r="C40" t="s">
        <v>13</v>
      </c>
      <c r="D40" t="s">
        <v>164</v>
      </c>
      <c r="E40" t="s">
        <v>176</v>
      </c>
      <c r="F40" t="s">
        <v>177</v>
      </c>
      <c r="G40" t="str">
        <f>"0000000170956"</f>
        <v>0000000170956</v>
      </c>
      <c r="H40" t="s">
        <v>32</v>
      </c>
      <c r="I40" t="s">
        <v>33</v>
      </c>
      <c r="J40" t="s">
        <v>178</v>
      </c>
      <c r="K40" t="s">
        <v>21</v>
      </c>
      <c r="L40" t="s">
        <v>178</v>
      </c>
    </row>
    <row r="41" spans="1:12" x14ac:dyDescent="0.25">
      <c r="A41" t="s">
        <v>1</v>
      </c>
      <c r="B41" t="s">
        <v>27</v>
      </c>
      <c r="C41" t="s">
        <v>13</v>
      </c>
      <c r="D41" t="s">
        <v>164</v>
      </c>
      <c r="E41" t="s">
        <v>179</v>
      </c>
      <c r="F41" t="s">
        <v>180</v>
      </c>
      <c r="G41" t="str">
        <f>"0000000263573"</f>
        <v>0000000263573</v>
      </c>
      <c r="H41" t="s">
        <v>32</v>
      </c>
      <c r="I41" t="s">
        <v>33</v>
      </c>
      <c r="J41" t="s">
        <v>181</v>
      </c>
      <c r="K41" t="s">
        <v>21</v>
      </c>
      <c r="L41" t="s">
        <v>181</v>
      </c>
    </row>
    <row r="42" spans="1:12" x14ac:dyDescent="0.25">
      <c r="A42" t="s">
        <v>1</v>
      </c>
      <c r="B42" t="s">
        <v>27</v>
      </c>
      <c r="C42" t="s">
        <v>13</v>
      </c>
      <c r="D42" t="s">
        <v>164</v>
      </c>
      <c r="E42" t="s">
        <v>182</v>
      </c>
      <c r="F42" t="s">
        <v>183</v>
      </c>
      <c r="G42" t="str">
        <f>"0000000352031"</f>
        <v>0000000352031</v>
      </c>
      <c r="H42" t="s">
        <v>32</v>
      </c>
      <c r="I42" t="s">
        <v>33</v>
      </c>
      <c r="J42" t="s">
        <v>184</v>
      </c>
      <c r="K42" t="s">
        <v>21</v>
      </c>
      <c r="L42" t="s">
        <v>184</v>
      </c>
    </row>
    <row r="43" spans="1:12" x14ac:dyDescent="0.25">
      <c r="A43" t="s">
        <v>1</v>
      </c>
      <c r="B43" t="s">
        <v>27</v>
      </c>
      <c r="C43" t="s">
        <v>13</v>
      </c>
      <c r="D43" t="s">
        <v>185</v>
      </c>
      <c r="E43" t="s">
        <v>186</v>
      </c>
      <c r="F43" t="s">
        <v>187</v>
      </c>
      <c r="G43" t="s">
        <v>188</v>
      </c>
      <c r="H43" t="s">
        <v>32</v>
      </c>
      <c r="I43" t="s">
        <v>33</v>
      </c>
      <c r="J43" t="s">
        <v>189</v>
      </c>
      <c r="K43" t="s">
        <v>21</v>
      </c>
      <c r="L43" t="s">
        <v>189</v>
      </c>
    </row>
    <row r="44" spans="1:12" x14ac:dyDescent="0.25">
      <c r="A44" t="s">
        <v>1</v>
      </c>
      <c r="B44" t="s">
        <v>27</v>
      </c>
      <c r="C44" t="s">
        <v>13</v>
      </c>
      <c r="D44" t="s">
        <v>185</v>
      </c>
      <c r="E44" t="s">
        <v>190</v>
      </c>
      <c r="F44" t="s">
        <v>191</v>
      </c>
      <c r="G44" t="s">
        <v>192</v>
      </c>
      <c r="H44" t="s">
        <v>32</v>
      </c>
      <c r="I44" t="s">
        <v>193</v>
      </c>
      <c r="J44" t="s">
        <v>194</v>
      </c>
      <c r="K44" t="s">
        <v>21</v>
      </c>
      <c r="L44" t="s">
        <v>194</v>
      </c>
    </row>
    <row r="45" spans="1:12" x14ac:dyDescent="0.25">
      <c r="A45" t="s">
        <v>1</v>
      </c>
      <c r="B45" t="s">
        <v>27</v>
      </c>
      <c r="C45" t="s">
        <v>13</v>
      </c>
      <c r="D45" t="s">
        <v>185</v>
      </c>
      <c r="E45" t="s">
        <v>195</v>
      </c>
      <c r="F45" t="s">
        <v>196</v>
      </c>
      <c r="G45" t="str">
        <f>"0000000075022"</f>
        <v>0000000075022</v>
      </c>
      <c r="H45" t="s">
        <v>32</v>
      </c>
      <c r="I45" t="s">
        <v>33</v>
      </c>
      <c r="J45" t="s">
        <v>197</v>
      </c>
      <c r="K45" t="s">
        <v>21</v>
      </c>
      <c r="L45" t="s">
        <v>197</v>
      </c>
    </row>
    <row r="46" spans="1:12" x14ac:dyDescent="0.25">
      <c r="A46" t="s">
        <v>1</v>
      </c>
      <c r="B46" t="s">
        <v>27</v>
      </c>
      <c r="C46" t="s">
        <v>13</v>
      </c>
      <c r="D46" t="s">
        <v>185</v>
      </c>
      <c r="E46" t="s">
        <v>198</v>
      </c>
      <c r="F46" t="s">
        <v>199</v>
      </c>
      <c r="G46" t="str">
        <f>"0000000163026"</f>
        <v>0000000163026</v>
      </c>
      <c r="H46" t="s">
        <v>32</v>
      </c>
      <c r="I46" t="s">
        <v>33</v>
      </c>
      <c r="J46" t="s">
        <v>200</v>
      </c>
      <c r="K46" t="s">
        <v>21</v>
      </c>
      <c r="L46" t="s">
        <v>200</v>
      </c>
    </row>
    <row r="47" spans="1:12" x14ac:dyDescent="0.25">
      <c r="A47" t="s">
        <v>1</v>
      </c>
      <c r="B47" t="s">
        <v>27</v>
      </c>
      <c r="C47" t="s">
        <v>13</v>
      </c>
      <c r="D47" t="s">
        <v>185</v>
      </c>
      <c r="E47" t="s">
        <v>201</v>
      </c>
      <c r="F47" t="s">
        <v>202</v>
      </c>
      <c r="G47" t="str">
        <f>"0000000163033"</f>
        <v>0000000163033</v>
      </c>
      <c r="H47" t="s">
        <v>32</v>
      </c>
      <c r="I47" t="s">
        <v>33</v>
      </c>
      <c r="J47" t="s">
        <v>203</v>
      </c>
      <c r="K47" t="s">
        <v>21</v>
      </c>
      <c r="L47" t="s">
        <v>203</v>
      </c>
    </row>
    <row r="48" spans="1:12" x14ac:dyDescent="0.25">
      <c r="A48" t="s">
        <v>1</v>
      </c>
      <c r="B48" t="s">
        <v>27</v>
      </c>
      <c r="C48" t="s">
        <v>13</v>
      </c>
      <c r="D48" t="s">
        <v>204</v>
      </c>
      <c r="E48" t="s">
        <v>205</v>
      </c>
      <c r="F48" t="s">
        <v>206</v>
      </c>
      <c r="G48" t="str">
        <f>"0000000106320"</f>
        <v>0000000106320</v>
      </c>
      <c r="H48" t="s">
        <v>32</v>
      </c>
      <c r="I48" t="s">
        <v>33</v>
      </c>
      <c r="J48" t="s">
        <v>207</v>
      </c>
      <c r="K48" t="s">
        <v>21</v>
      </c>
      <c r="L48" t="s">
        <v>207</v>
      </c>
    </row>
    <row r="49" spans="1:12" x14ac:dyDescent="0.25">
      <c r="A49" t="s">
        <v>1</v>
      </c>
      <c r="B49" t="s">
        <v>27</v>
      </c>
      <c r="C49" t="s">
        <v>13</v>
      </c>
      <c r="D49" t="s">
        <v>204</v>
      </c>
      <c r="E49" t="s">
        <v>208</v>
      </c>
      <c r="F49" t="s">
        <v>209</v>
      </c>
      <c r="G49" t="str">
        <f>"0000000374811"</f>
        <v>0000000374811</v>
      </c>
      <c r="H49" t="s">
        <v>32</v>
      </c>
      <c r="I49" t="s">
        <v>33</v>
      </c>
      <c r="J49" t="s">
        <v>210</v>
      </c>
      <c r="K49" t="s">
        <v>21</v>
      </c>
      <c r="L49" t="s">
        <v>210</v>
      </c>
    </row>
    <row r="50" spans="1:12" x14ac:dyDescent="0.25">
      <c r="A50" t="s">
        <v>1</v>
      </c>
      <c r="B50" t="s">
        <v>27</v>
      </c>
      <c r="C50" t="s">
        <v>13</v>
      </c>
      <c r="D50" t="s">
        <v>204</v>
      </c>
      <c r="E50" t="s">
        <v>211</v>
      </c>
      <c r="F50" t="s">
        <v>212</v>
      </c>
      <c r="G50" t="str">
        <f>"0000000319447"</f>
        <v>0000000319447</v>
      </c>
      <c r="H50" t="s">
        <v>32</v>
      </c>
      <c r="I50" t="s">
        <v>33</v>
      </c>
      <c r="J50" t="s">
        <v>213</v>
      </c>
      <c r="K50" t="s">
        <v>21</v>
      </c>
      <c r="L50" t="s">
        <v>213</v>
      </c>
    </row>
    <row r="51" spans="1:12" x14ac:dyDescent="0.25">
      <c r="B51" t="s">
        <v>27</v>
      </c>
      <c r="C51" t="s">
        <v>13</v>
      </c>
      <c r="D51" t="s">
        <v>214</v>
      </c>
      <c r="E51" t="s">
        <v>215</v>
      </c>
      <c r="F51" t="s">
        <v>216</v>
      </c>
      <c r="G51" t="str">
        <f>"0000000094634"</f>
        <v>0000000094634</v>
      </c>
      <c r="H51" t="s">
        <v>217</v>
      </c>
      <c r="I51" t="s">
        <v>218</v>
      </c>
      <c r="J51" t="s">
        <v>219</v>
      </c>
      <c r="K51" t="s">
        <v>21</v>
      </c>
      <c r="L51" t="s">
        <v>219</v>
      </c>
    </row>
    <row r="52" spans="1:12" x14ac:dyDescent="0.25">
      <c r="B52" t="s">
        <v>220</v>
      </c>
      <c r="C52" t="s">
        <v>13</v>
      </c>
      <c r="D52" t="s">
        <v>221</v>
      </c>
      <c r="E52" t="s">
        <v>222</v>
      </c>
      <c r="F52" t="s">
        <v>223</v>
      </c>
      <c r="G52" t="s">
        <v>224</v>
      </c>
      <c r="H52" t="s">
        <v>217</v>
      </c>
      <c r="I52" t="s">
        <v>218</v>
      </c>
      <c r="J52" t="s">
        <v>225</v>
      </c>
      <c r="K52" t="s">
        <v>21</v>
      </c>
      <c r="L52" t="s">
        <v>225</v>
      </c>
    </row>
    <row r="53" spans="1:12" x14ac:dyDescent="0.25">
      <c r="B53" t="s">
        <v>22</v>
      </c>
      <c r="C53" t="s">
        <v>13</v>
      </c>
      <c r="D53" t="s">
        <v>226</v>
      </c>
      <c r="E53" t="s">
        <v>227</v>
      </c>
      <c r="F53" t="s">
        <v>228</v>
      </c>
      <c r="G53" t="s">
        <v>229</v>
      </c>
      <c r="H53" t="s">
        <v>18</v>
      </c>
      <c r="I53" t="s">
        <v>230</v>
      </c>
      <c r="J53" t="s">
        <v>231</v>
      </c>
      <c r="K53" t="s">
        <v>21</v>
      </c>
      <c r="L53" t="s">
        <v>231</v>
      </c>
    </row>
    <row r="54" spans="1:12" x14ac:dyDescent="0.25">
      <c r="B54" t="s">
        <v>38</v>
      </c>
      <c r="C54" t="s">
        <v>13</v>
      </c>
      <c r="D54" t="s">
        <v>226</v>
      </c>
      <c r="E54" t="s">
        <v>232</v>
      </c>
      <c r="F54" t="s">
        <v>233</v>
      </c>
      <c r="G54" t="s">
        <v>234</v>
      </c>
      <c r="H54" t="s">
        <v>18</v>
      </c>
      <c r="I54" t="s">
        <v>230</v>
      </c>
      <c r="J54" t="s">
        <v>235</v>
      </c>
      <c r="K54" t="s">
        <v>21</v>
      </c>
      <c r="L54" t="s">
        <v>235</v>
      </c>
    </row>
    <row r="55" spans="1:12" x14ac:dyDescent="0.25">
      <c r="B55" t="s">
        <v>27</v>
      </c>
      <c r="C55" t="s">
        <v>13</v>
      </c>
      <c r="D55" t="s">
        <v>236</v>
      </c>
      <c r="E55" t="s">
        <v>237</v>
      </c>
      <c r="F55" t="s">
        <v>238</v>
      </c>
      <c r="G55" t="str">
        <f>"0000000135436"</f>
        <v>0000000135436</v>
      </c>
      <c r="H55" t="s">
        <v>32</v>
      </c>
      <c r="I55" t="s">
        <v>33</v>
      </c>
      <c r="J55" t="s">
        <v>239</v>
      </c>
      <c r="K55" t="s">
        <v>21</v>
      </c>
      <c r="L55" t="s">
        <v>239</v>
      </c>
    </row>
    <row r="56" spans="1:12" x14ac:dyDescent="0.25">
      <c r="B56" t="s">
        <v>27</v>
      </c>
      <c r="C56" t="s">
        <v>13</v>
      </c>
      <c r="D56" t="s">
        <v>236</v>
      </c>
      <c r="E56" t="s">
        <v>240</v>
      </c>
      <c r="F56" t="s">
        <v>241</v>
      </c>
      <c r="G56" t="s">
        <v>242</v>
      </c>
      <c r="H56" t="s">
        <v>32</v>
      </c>
      <c r="I56" t="s">
        <v>33</v>
      </c>
      <c r="J56" t="s">
        <v>243</v>
      </c>
      <c r="K56" t="s">
        <v>21</v>
      </c>
      <c r="L56" t="s">
        <v>243</v>
      </c>
    </row>
    <row r="57" spans="1:12" x14ac:dyDescent="0.25">
      <c r="B57" t="s">
        <v>27</v>
      </c>
      <c r="C57" t="s">
        <v>13</v>
      </c>
      <c r="D57" t="s">
        <v>236</v>
      </c>
      <c r="E57" t="s">
        <v>244</v>
      </c>
      <c r="F57" t="s">
        <v>245</v>
      </c>
      <c r="G57" t="s">
        <v>246</v>
      </c>
      <c r="H57" t="s">
        <v>32</v>
      </c>
      <c r="I57" t="s">
        <v>33</v>
      </c>
      <c r="J57" t="s">
        <v>247</v>
      </c>
      <c r="K57" t="s">
        <v>21</v>
      </c>
      <c r="L57" t="s">
        <v>247</v>
      </c>
    </row>
    <row r="58" spans="1:12" x14ac:dyDescent="0.25">
      <c r="B58" t="s">
        <v>27</v>
      </c>
      <c r="C58" t="s">
        <v>13</v>
      </c>
      <c r="D58" t="s">
        <v>236</v>
      </c>
      <c r="E58" t="s">
        <v>248</v>
      </c>
      <c r="F58" t="s">
        <v>249</v>
      </c>
      <c r="G58" t="str">
        <f>"0000000135443"</f>
        <v>0000000135443</v>
      </c>
      <c r="H58" t="s">
        <v>32</v>
      </c>
      <c r="I58" t="s">
        <v>33</v>
      </c>
      <c r="J58" t="s">
        <v>250</v>
      </c>
      <c r="K58" t="s">
        <v>21</v>
      </c>
      <c r="L58" t="s">
        <v>250</v>
      </c>
    </row>
    <row r="59" spans="1:12" x14ac:dyDescent="0.25">
      <c r="B59" t="s">
        <v>27</v>
      </c>
      <c r="C59" t="s">
        <v>13</v>
      </c>
      <c r="D59" t="s">
        <v>236</v>
      </c>
      <c r="E59" t="s">
        <v>251</v>
      </c>
      <c r="F59" t="s">
        <v>252</v>
      </c>
      <c r="G59" t="str">
        <f>"0000000134262"</f>
        <v>0000000134262</v>
      </c>
      <c r="H59" t="s">
        <v>32</v>
      </c>
      <c r="I59" t="s">
        <v>33</v>
      </c>
      <c r="J59" t="s">
        <v>253</v>
      </c>
      <c r="K59" t="s">
        <v>21</v>
      </c>
      <c r="L59" t="s">
        <v>253</v>
      </c>
    </row>
    <row r="60" spans="1:12" x14ac:dyDescent="0.25">
      <c r="B60" t="s">
        <v>27</v>
      </c>
      <c r="C60" t="s">
        <v>13</v>
      </c>
      <c r="D60" t="s">
        <v>236</v>
      </c>
      <c r="E60" t="s">
        <v>254</v>
      </c>
      <c r="F60" t="s">
        <v>255</v>
      </c>
      <c r="G60" t="str">
        <f>"0000000134279"</f>
        <v>0000000134279</v>
      </c>
      <c r="H60" t="s">
        <v>32</v>
      </c>
      <c r="I60" t="s">
        <v>33</v>
      </c>
      <c r="J60" t="s">
        <v>256</v>
      </c>
      <c r="K60" t="s">
        <v>21</v>
      </c>
      <c r="L60" t="s">
        <v>256</v>
      </c>
    </row>
    <row r="61" spans="1:12" x14ac:dyDescent="0.25">
      <c r="B61" t="s">
        <v>27</v>
      </c>
      <c r="C61" t="s">
        <v>13</v>
      </c>
      <c r="D61" t="s">
        <v>257</v>
      </c>
      <c r="E61" t="s">
        <v>258</v>
      </c>
      <c r="F61" t="s">
        <v>259</v>
      </c>
      <c r="G61" t="s">
        <v>260</v>
      </c>
      <c r="H61" t="s">
        <v>32</v>
      </c>
      <c r="I61" t="s">
        <v>261</v>
      </c>
      <c r="J61" t="s">
        <v>262</v>
      </c>
      <c r="K61" t="s">
        <v>21</v>
      </c>
      <c r="L61" t="s">
        <v>262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0000"/>
  </sheetPr>
  <dimension ref="A1:Z14"/>
  <sheetViews>
    <sheetView tabSelected="1" zoomScaleNormal="100" workbookViewId="0">
      <selection activeCell="B1" sqref="B1"/>
    </sheetView>
  </sheetViews>
  <sheetFormatPr defaultRowHeight="15" x14ac:dyDescent="0.25"/>
  <cols>
    <col min="1" max="1" width="6.85546875" style="1" customWidth="1"/>
    <col min="2" max="2" width="6.7109375" style="1" bestFit="1" customWidth="1"/>
    <col min="3" max="3" width="4.28515625" style="1" bestFit="1" customWidth="1"/>
    <col min="4" max="4" width="9.42578125" style="1" bestFit="1" customWidth="1"/>
    <col min="5" max="5" width="30.140625" style="1" bestFit="1" customWidth="1"/>
    <col min="6" max="6" width="56" style="1" bestFit="1" customWidth="1"/>
    <col min="7" max="7" width="21.7109375" style="1" bestFit="1" customWidth="1"/>
    <col min="8" max="12" width="9.28515625" style="1" customWidth="1"/>
    <col min="13" max="13" width="9.28515625" style="2" customWidth="1"/>
    <col min="14" max="14" width="6.85546875" style="3" customWidth="1"/>
    <col min="15" max="15" width="6.7109375" style="3" bestFit="1" customWidth="1"/>
    <col min="16" max="16" width="4.28515625" style="3" bestFit="1" customWidth="1"/>
    <col min="17" max="17" width="9.42578125" style="3" bestFit="1" customWidth="1"/>
    <col min="18" max="18" width="30.140625" style="3" bestFit="1" customWidth="1"/>
    <col min="19" max="19" width="56" style="3" bestFit="1" customWidth="1"/>
    <col min="20" max="20" width="21.7109375" style="3" bestFit="1" customWidth="1"/>
    <col min="21" max="25" width="7.7109375" style="3" customWidth="1"/>
    <col min="26" max="26" width="7.7109375" style="4" customWidth="1"/>
  </cols>
  <sheetData>
    <row r="1" spans="1:25" x14ac:dyDescent="0.25">
      <c r="A1" s="1" t="s">
        <v>322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N1" s="3" t="s">
        <v>323</v>
      </c>
      <c r="O1" s="3" t="s">
        <v>2</v>
      </c>
      <c r="P1" s="3" t="s">
        <v>3</v>
      </c>
      <c r="Q1" s="3" t="s">
        <v>4</v>
      </c>
      <c r="R1" s="3" t="s">
        <v>5</v>
      </c>
      <c r="S1" s="3" t="s">
        <v>6</v>
      </c>
      <c r="T1" s="3" t="s">
        <v>7</v>
      </c>
      <c r="U1" s="3" t="s">
        <v>8</v>
      </c>
      <c r="V1" s="3" t="s">
        <v>9</v>
      </c>
      <c r="W1" s="3" t="s">
        <v>10</v>
      </c>
      <c r="X1" s="3" t="s">
        <v>11</v>
      </c>
    </row>
    <row r="2" spans="1:25" x14ac:dyDescent="0.25">
      <c r="A2" s="1" t="s">
        <v>1</v>
      </c>
      <c r="B2" s="1" t="s">
        <v>22</v>
      </c>
      <c r="C2" s="1" t="s">
        <v>13</v>
      </c>
      <c r="D2" s="1" t="s">
        <v>278</v>
      </c>
      <c r="E2" s="1" t="s">
        <v>279</v>
      </c>
      <c r="F2" s="1" t="s">
        <v>280</v>
      </c>
      <c r="G2" s="1" t="str">
        <f>"0000000093583"</f>
        <v>0000000093583</v>
      </c>
      <c r="H2" s="1" t="s">
        <v>32</v>
      </c>
      <c r="I2" s="1" t="s">
        <v>168</v>
      </c>
      <c r="J2" s="1" t="s">
        <v>281</v>
      </c>
      <c r="K2" s="1" t="s">
        <v>21</v>
      </c>
      <c r="L2" s="1" t="s">
        <v>281</v>
      </c>
      <c r="N2" s="3" t="s">
        <v>1</v>
      </c>
      <c r="O2" s="3" t="s">
        <v>22</v>
      </c>
      <c r="P2" s="3" t="s">
        <v>13</v>
      </c>
      <c r="Q2" s="3" t="s">
        <v>278</v>
      </c>
      <c r="R2" s="3" t="s">
        <v>279</v>
      </c>
      <c r="S2" s="3" t="s">
        <v>280</v>
      </c>
      <c r="T2" s="3" t="str">
        <f>"0000000093583"</f>
        <v>0000000093583</v>
      </c>
      <c r="U2" s="3" t="s">
        <v>32</v>
      </c>
      <c r="V2" s="3" t="s">
        <v>168</v>
      </c>
      <c r="W2" s="3" t="s">
        <v>281</v>
      </c>
      <c r="X2" s="3" t="s">
        <v>21</v>
      </c>
      <c r="Y2" s="3" t="s">
        <v>281</v>
      </c>
    </row>
    <row r="3" spans="1:25" x14ac:dyDescent="0.25">
      <c r="B3" s="1" t="s">
        <v>22</v>
      </c>
      <c r="C3" s="1" t="s">
        <v>13</v>
      </c>
      <c r="D3" s="1" t="s">
        <v>39</v>
      </c>
      <c r="E3" s="1" t="s">
        <v>282</v>
      </c>
      <c r="F3" s="1" t="s">
        <v>283</v>
      </c>
      <c r="G3" s="1" t="s">
        <v>284</v>
      </c>
      <c r="H3" s="1" t="s">
        <v>18</v>
      </c>
      <c r="I3" s="1" t="s">
        <v>19</v>
      </c>
      <c r="J3" s="1" t="s">
        <v>47</v>
      </c>
      <c r="K3" s="1" t="s">
        <v>21</v>
      </c>
      <c r="L3" s="1" t="s">
        <v>47</v>
      </c>
      <c r="O3" s="3" t="s">
        <v>22</v>
      </c>
      <c r="P3" s="3" t="s">
        <v>13</v>
      </c>
      <c r="Q3" s="3" t="s">
        <v>39</v>
      </c>
      <c r="R3" s="3" t="s">
        <v>282</v>
      </c>
      <c r="S3" s="3" t="s">
        <v>283</v>
      </c>
      <c r="T3" s="3" t="s">
        <v>284</v>
      </c>
      <c r="U3" s="3" t="s">
        <v>18</v>
      </c>
      <c r="V3" s="3" t="s">
        <v>19</v>
      </c>
      <c r="W3" s="3" t="s">
        <v>47</v>
      </c>
      <c r="X3" s="3" t="s">
        <v>21</v>
      </c>
      <c r="Y3" s="3" t="s">
        <v>47</v>
      </c>
    </row>
    <row r="4" spans="1:25" x14ac:dyDescent="0.25">
      <c r="B4" s="1" t="s">
        <v>22</v>
      </c>
      <c r="C4" s="1" t="s">
        <v>13</v>
      </c>
      <c r="D4" s="1" t="s">
        <v>66</v>
      </c>
      <c r="E4" s="1" t="s">
        <v>285</v>
      </c>
      <c r="F4" s="1" t="s">
        <v>286</v>
      </c>
      <c r="G4" s="1" t="str">
        <f>"0000000093637"</f>
        <v>0000000093637</v>
      </c>
      <c r="H4" s="1" t="s">
        <v>18</v>
      </c>
      <c r="I4" s="1" t="s">
        <v>19</v>
      </c>
      <c r="J4" s="1" t="s">
        <v>263</v>
      </c>
      <c r="K4" s="1" t="s">
        <v>21</v>
      </c>
      <c r="L4" s="1" t="s">
        <v>263</v>
      </c>
      <c r="O4" s="3" t="s">
        <v>22</v>
      </c>
      <c r="P4" s="3" t="s">
        <v>13</v>
      </c>
      <c r="Q4" s="3" t="s">
        <v>66</v>
      </c>
      <c r="R4" s="3" t="s">
        <v>285</v>
      </c>
      <c r="S4" s="3" t="s">
        <v>286</v>
      </c>
      <c r="T4" s="3" t="str">
        <f>"0000000093637"</f>
        <v>0000000093637</v>
      </c>
      <c r="U4" s="3" t="s">
        <v>18</v>
      </c>
      <c r="V4" s="3" t="s">
        <v>19</v>
      </c>
      <c r="W4" s="3" t="s">
        <v>263</v>
      </c>
      <c r="X4" s="3" t="s">
        <v>21</v>
      </c>
      <c r="Y4" s="3" t="s">
        <v>263</v>
      </c>
    </row>
    <row r="5" spans="1:25" x14ac:dyDescent="0.25">
      <c r="B5" s="1" t="s">
        <v>27</v>
      </c>
      <c r="C5" s="1" t="s">
        <v>13</v>
      </c>
      <c r="D5" s="1" t="s">
        <v>66</v>
      </c>
      <c r="E5" s="1" t="s">
        <v>70</v>
      </c>
      <c r="F5" s="1" t="s">
        <v>71</v>
      </c>
      <c r="G5" s="1" t="s">
        <v>72</v>
      </c>
      <c r="H5" s="1" t="s">
        <v>18</v>
      </c>
      <c r="I5" s="1" t="s">
        <v>19</v>
      </c>
      <c r="J5" s="1" t="s">
        <v>93</v>
      </c>
      <c r="K5" s="1" t="s">
        <v>21</v>
      </c>
      <c r="L5" s="1" t="s">
        <v>93</v>
      </c>
      <c r="O5" s="3" t="s">
        <v>27</v>
      </c>
      <c r="P5" s="3" t="s">
        <v>13</v>
      </c>
      <c r="Q5" s="3" t="s">
        <v>66</v>
      </c>
      <c r="R5" s="3" t="s">
        <v>70</v>
      </c>
      <c r="S5" s="3" t="s">
        <v>71</v>
      </c>
      <c r="T5" s="3" t="s">
        <v>72</v>
      </c>
      <c r="U5" s="3" t="s">
        <v>18</v>
      </c>
      <c r="V5" s="3" t="s">
        <v>19</v>
      </c>
      <c r="W5" s="3" t="s">
        <v>93</v>
      </c>
      <c r="X5" s="3" t="s">
        <v>21</v>
      </c>
      <c r="Y5" s="3" t="s">
        <v>93</v>
      </c>
    </row>
    <row r="6" spans="1:25" x14ac:dyDescent="0.25">
      <c r="B6" s="1" t="s">
        <v>27</v>
      </c>
      <c r="C6" s="1" t="s">
        <v>13</v>
      </c>
      <c r="D6" s="1" t="s">
        <v>126</v>
      </c>
      <c r="E6" s="1" t="s">
        <v>287</v>
      </c>
      <c r="F6" s="1" t="s">
        <v>288</v>
      </c>
      <c r="G6" s="1" t="str">
        <f>"0000000093569"</f>
        <v>0000000093569</v>
      </c>
      <c r="H6" s="1" t="s">
        <v>32</v>
      </c>
      <c r="I6" s="1" t="s">
        <v>168</v>
      </c>
      <c r="J6" s="1" t="s">
        <v>289</v>
      </c>
      <c r="K6" s="1" t="s">
        <v>21</v>
      </c>
      <c r="L6" s="1" t="s">
        <v>289</v>
      </c>
      <c r="O6" s="3" t="s">
        <v>27</v>
      </c>
      <c r="P6" s="3" t="s">
        <v>13</v>
      </c>
      <c r="Q6" s="3" t="s">
        <v>126</v>
      </c>
      <c r="R6" s="3" t="s">
        <v>287</v>
      </c>
      <c r="S6" s="3" t="s">
        <v>288</v>
      </c>
      <c r="T6" s="3" t="str">
        <f>"0000000093569"</f>
        <v>0000000093569</v>
      </c>
      <c r="U6" s="3" t="s">
        <v>32</v>
      </c>
      <c r="V6" s="3" t="s">
        <v>168</v>
      </c>
      <c r="W6" s="3" t="s">
        <v>289</v>
      </c>
      <c r="X6" s="3" t="s">
        <v>21</v>
      </c>
      <c r="Y6" s="3" t="s">
        <v>289</v>
      </c>
    </row>
    <row r="7" spans="1:25" x14ac:dyDescent="0.25">
      <c r="B7" s="1" t="s">
        <v>27</v>
      </c>
      <c r="C7" s="1" t="s">
        <v>13</v>
      </c>
      <c r="D7" s="1" t="s">
        <v>126</v>
      </c>
      <c r="E7" s="1" t="s">
        <v>290</v>
      </c>
      <c r="F7" s="1" t="s">
        <v>291</v>
      </c>
      <c r="G7" s="1" t="str">
        <f>"0000000093576"</f>
        <v>0000000093576</v>
      </c>
      <c r="H7" s="1" t="s">
        <v>32</v>
      </c>
      <c r="I7" s="1" t="s">
        <v>168</v>
      </c>
      <c r="J7" s="1" t="s">
        <v>292</v>
      </c>
      <c r="K7" s="1" t="s">
        <v>21</v>
      </c>
      <c r="L7" s="1" t="s">
        <v>292</v>
      </c>
      <c r="O7" s="3" t="s">
        <v>27</v>
      </c>
      <c r="P7" s="3" t="s">
        <v>13</v>
      </c>
      <c r="Q7" s="3" t="s">
        <v>126</v>
      </c>
      <c r="R7" s="3" t="s">
        <v>290</v>
      </c>
      <c r="S7" s="3" t="s">
        <v>291</v>
      </c>
      <c r="T7" s="3" t="str">
        <f>"0000000093576"</f>
        <v>0000000093576</v>
      </c>
      <c r="U7" s="3" t="s">
        <v>32</v>
      </c>
      <c r="V7" s="3" t="s">
        <v>168</v>
      </c>
      <c r="W7" s="3" t="s">
        <v>292</v>
      </c>
      <c r="X7" s="3" t="s">
        <v>21</v>
      </c>
      <c r="Y7" s="3" t="s">
        <v>292</v>
      </c>
    </row>
    <row r="8" spans="1:25" x14ac:dyDescent="0.25">
      <c r="B8" s="1" t="s">
        <v>38</v>
      </c>
      <c r="C8" s="1" t="s">
        <v>13</v>
      </c>
      <c r="D8" s="1" t="s">
        <v>126</v>
      </c>
      <c r="E8" s="1" t="s">
        <v>293</v>
      </c>
      <c r="F8" s="1" t="s">
        <v>294</v>
      </c>
      <c r="G8" s="1" t="str">
        <f>"0000000328784"</f>
        <v>0000000328784</v>
      </c>
      <c r="H8" s="1" t="s">
        <v>32</v>
      </c>
      <c r="I8" s="1" t="s">
        <v>295</v>
      </c>
      <c r="J8" s="1" t="s">
        <v>296</v>
      </c>
      <c r="K8" s="1" t="s">
        <v>21</v>
      </c>
      <c r="L8" s="1" t="s">
        <v>296</v>
      </c>
      <c r="O8" s="3" t="s">
        <v>27</v>
      </c>
      <c r="P8" s="3" t="s">
        <v>13</v>
      </c>
      <c r="Q8" s="3" t="s">
        <v>126</v>
      </c>
      <c r="R8" s="3" t="s">
        <v>297</v>
      </c>
      <c r="S8" s="3" t="s">
        <v>298</v>
      </c>
      <c r="T8" s="3" t="str">
        <f>"0000000328791"</f>
        <v>0000000328791</v>
      </c>
      <c r="U8" s="3" t="s">
        <v>32</v>
      </c>
      <c r="V8" s="3" t="s">
        <v>295</v>
      </c>
      <c r="W8" s="3" t="s">
        <v>299</v>
      </c>
      <c r="X8" s="3" t="s">
        <v>21</v>
      </c>
      <c r="Y8" s="3" t="s">
        <v>299</v>
      </c>
    </row>
    <row r="9" spans="1:25" x14ac:dyDescent="0.25">
      <c r="B9" s="1" t="s">
        <v>27</v>
      </c>
      <c r="C9" s="1" t="s">
        <v>13</v>
      </c>
      <c r="D9" s="1" t="s">
        <v>126</v>
      </c>
      <c r="E9" s="1" t="s">
        <v>297</v>
      </c>
      <c r="F9" s="1" t="s">
        <v>298</v>
      </c>
      <c r="G9" s="1" t="str">
        <f>"0000000328791"</f>
        <v>0000000328791</v>
      </c>
      <c r="H9" s="1" t="s">
        <v>32</v>
      </c>
      <c r="I9" s="1" t="s">
        <v>295</v>
      </c>
      <c r="J9" s="1" t="s">
        <v>299</v>
      </c>
      <c r="K9" s="1" t="s">
        <v>21</v>
      </c>
      <c r="L9" s="1" t="s">
        <v>299</v>
      </c>
      <c r="O9" s="3" t="s">
        <v>27</v>
      </c>
      <c r="P9" s="3" t="s">
        <v>13</v>
      </c>
      <c r="Q9" s="3" t="s">
        <v>126</v>
      </c>
      <c r="R9" s="3" t="s">
        <v>300</v>
      </c>
      <c r="S9" s="3" t="s">
        <v>301</v>
      </c>
      <c r="T9" s="3" t="str">
        <f>"0000000328807"</f>
        <v>0000000328807</v>
      </c>
      <c r="U9" s="3" t="s">
        <v>32</v>
      </c>
      <c r="V9" s="3" t="s">
        <v>295</v>
      </c>
      <c r="W9" s="3" t="s">
        <v>302</v>
      </c>
      <c r="X9" s="3" t="s">
        <v>21</v>
      </c>
      <c r="Y9" s="3" t="s">
        <v>302</v>
      </c>
    </row>
    <row r="10" spans="1:25" x14ac:dyDescent="0.25">
      <c r="B10" s="1" t="s">
        <v>27</v>
      </c>
      <c r="C10" s="1" t="s">
        <v>13</v>
      </c>
      <c r="D10" s="1" t="s">
        <v>126</v>
      </c>
      <c r="E10" s="1" t="s">
        <v>300</v>
      </c>
      <c r="F10" s="1" t="s">
        <v>301</v>
      </c>
      <c r="G10" s="1" t="str">
        <f>"0000000328807"</f>
        <v>0000000328807</v>
      </c>
      <c r="H10" s="1" t="s">
        <v>32</v>
      </c>
      <c r="I10" s="1" t="s">
        <v>295</v>
      </c>
      <c r="J10" s="1" t="s">
        <v>302</v>
      </c>
      <c r="K10" s="1" t="s">
        <v>21</v>
      </c>
      <c r="L10" s="1" t="s">
        <v>302</v>
      </c>
      <c r="O10" s="3" t="s">
        <v>27</v>
      </c>
      <c r="P10" s="3" t="s">
        <v>13</v>
      </c>
      <c r="Q10" s="3" t="s">
        <v>126</v>
      </c>
      <c r="R10" s="3" t="s">
        <v>303</v>
      </c>
      <c r="S10" s="3" t="s">
        <v>304</v>
      </c>
      <c r="T10" s="3" t="str">
        <f>"0000000328814"</f>
        <v>0000000328814</v>
      </c>
      <c r="U10" s="3" t="s">
        <v>32</v>
      </c>
      <c r="V10" s="3" t="s">
        <v>295</v>
      </c>
      <c r="W10" s="3" t="s">
        <v>305</v>
      </c>
      <c r="X10" s="3" t="s">
        <v>21</v>
      </c>
      <c r="Y10" s="3" t="s">
        <v>305</v>
      </c>
    </row>
    <row r="11" spans="1:25" x14ac:dyDescent="0.25">
      <c r="B11" s="1" t="s">
        <v>27</v>
      </c>
      <c r="C11" s="1" t="s">
        <v>13</v>
      </c>
      <c r="D11" s="1" t="s">
        <v>126</v>
      </c>
      <c r="E11" s="1" t="s">
        <v>303</v>
      </c>
      <c r="F11" s="1" t="s">
        <v>304</v>
      </c>
      <c r="G11" s="1" t="str">
        <f>"0000000328814"</f>
        <v>0000000328814</v>
      </c>
      <c r="H11" s="1" t="s">
        <v>32</v>
      </c>
      <c r="I11" s="1" t="s">
        <v>295</v>
      </c>
      <c r="J11" s="1" t="s">
        <v>305</v>
      </c>
      <c r="K11" s="1" t="s">
        <v>21</v>
      </c>
      <c r="L11" s="1" t="s">
        <v>305</v>
      </c>
      <c r="O11" s="3" t="s">
        <v>27</v>
      </c>
      <c r="P11" s="3" t="s">
        <v>13</v>
      </c>
      <c r="Q11" s="3" t="s">
        <v>126</v>
      </c>
      <c r="R11" s="3" t="s">
        <v>318</v>
      </c>
      <c r="S11" s="3" t="s">
        <v>319</v>
      </c>
      <c r="T11" s="3" t="str">
        <f>"0000000418218"</f>
        <v>0000000418218</v>
      </c>
      <c r="U11" s="3" t="s">
        <v>32</v>
      </c>
      <c r="V11" s="3" t="s">
        <v>168</v>
      </c>
      <c r="W11" s="3" t="s">
        <v>21</v>
      </c>
      <c r="X11" s="3" t="s">
        <v>21</v>
      </c>
      <c r="Y11" s="3" t="s">
        <v>21</v>
      </c>
    </row>
    <row r="12" spans="1:25" x14ac:dyDescent="0.25">
      <c r="B12" s="1" t="s">
        <v>27</v>
      </c>
      <c r="C12" s="1" t="s">
        <v>13</v>
      </c>
      <c r="D12" s="1" t="s">
        <v>306</v>
      </c>
      <c r="E12" s="1" t="s">
        <v>307</v>
      </c>
      <c r="F12" s="1" t="s">
        <v>308</v>
      </c>
      <c r="G12" s="1" t="str">
        <f>"0000000328777"</f>
        <v>0000000328777</v>
      </c>
      <c r="H12" s="1" t="s">
        <v>18</v>
      </c>
      <c r="I12" s="1" t="s">
        <v>230</v>
      </c>
      <c r="J12" s="1" t="s">
        <v>309</v>
      </c>
      <c r="K12" s="1" t="s">
        <v>21</v>
      </c>
      <c r="L12" s="1" t="s">
        <v>309</v>
      </c>
      <c r="O12" s="3" t="s">
        <v>27</v>
      </c>
      <c r="P12" s="3" t="s">
        <v>13</v>
      </c>
      <c r="Q12" s="3" t="s">
        <v>306</v>
      </c>
      <c r="R12" s="3" t="s">
        <v>307</v>
      </c>
      <c r="S12" s="3" t="s">
        <v>308</v>
      </c>
      <c r="T12" s="3" t="str">
        <f>"0000000328777"</f>
        <v>0000000328777</v>
      </c>
      <c r="U12" s="3" t="s">
        <v>18</v>
      </c>
      <c r="V12" s="3" t="s">
        <v>230</v>
      </c>
      <c r="W12" s="3" t="s">
        <v>309</v>
      </c>
      <c r="X12" s="3" t="s">
        <v>21</v>
      </c>
      <c r="Y12" s="3" t="s">
        <v>309</v>
      </c>
    </row>
    <row r="13" spans="1:25" x14ac:dyDescent="0.25">
      <c r="A13" s="1" t="s">
        <v>1</v>
      </c>
      <c r="B13" s="1" t="s">
        <v>27</v>
      </c>
      <c r="C13" s="1" t="s">
        <v>13</v>
      </c>
      <c r="D13" s="1" t="s">
        <v>164</v>
      </c>
      <c r="E13" s="1" t="s">
        <v>310</v>
      </c>
      <c r="F13" s="1" t="s">
        <v>311</v>
      </c>
      <c r="G13" s="1" t="str">
        <f>"0000000328760"</f>
        <v>0000000328760</v>
      </c>
      <c r="H13" s="1" t="s">
        <v>32</v>
      </c>
      <c r="I13" s="1" t="s">
        <v>295</v>
      </c>
      <c r="J13" s="1" t="s">
        <v>312</v>
      </c>
      <c r="K13" s="1" t="s">
        <v>21</v>
      </c>
      <c r="L13" s="1" t="s">
        <v>312</v>
      </c>
      <c r="N13" s="3" t="s">
        <v>1</v>
      </c>
      <c r="O13" s="3" t="s">
        <v>27</v>
      </c>
      <c r="P13" s="3" t="s">
        <v>13</v>
      </c>
      <c r="Q13" s="3" t="s">
        <v>164</v>
      </c>
      <c r="R13" s="3" t="s">
        <v>320</v>
      </c>
      <c r="S13" s="3" t="s">
        <v>321</v>
      </c>
      <c r="T13" s="3" t="str">
        <f>"0000000418256"</f>
        <v>0000000418256</v>
      </c>
      <c r="U13" s="3" t="s">
        <v>32</v>
      </c>
      <c r="V13" s="3" t="s">
        <v>295</v>
      </c>
      <c r="W13" s="3" t="s">
        <v>296</v>
      </c>
      <c r="X13" s="3" t="s">
        <v>21</v>
      </c>
      <c r="Y13" s="3" t="s">
        <v>296</v>
      </c>
    </row>
    <row r="14" spans="1:25" x14ac:dyDescent="0.25">
      <c r="B14" s="1" t="s">
        <v>27</v>
      </c>
      <c r="C14" s="1" t="s">
        <v>13</v>
      </c>
      <c r="D14" s="1" t="s">
        <v>313</v>
      </c>
      <c r="E14" s="1" t="s">
        <v>314</v>
      </c>
      <c r="F14" s="1" t="s">
        <v>315</v>
      </c>
      <c r="G14" s="1" t="str">
        <f>"0000000094597"</f>
        <v>0000000094597</v>
      </c>
      <c r="H14" s="1" t="s">
        <v>18</v>
      </c>
      <c r="I14" s="1" t="s">
        <v>316</v>
      </c>
      <c r="J14" s="1" t="s">
        <v>317</v>
      </c>
      <c r="K14" s="1" t="s">
        <v>21</v>
      </c>
      <c r="L14" s="1" t="s">
        <v>317</v>
      </c>
      <c r="O14" s="3" t="s">
        <v>27</v>
      </c>
      <c r="P14" s="3" t="s">
        <v>13</v>
      </c>
      <c r="Q14" s="3" t="s">
        <v>313</v>
      </c>
      <c r="R14" s="3" t="s">
        <v>314</v>
      </c>
      <c r="S14" s="3" t="s">
        <v>315</v>
      </c>
      <c r="T14" s="3" t="str">
        <f>"0000000094597"</f>
        <v>0000000094597</v>
      </c>
      <c r="U14" s="3" t="s">
        <v>18</v>
      </c>
      <c r="V14" s="3" t="s">
        <v>316</v>
      </c>
      <c r="W14" s="3" t="s">
        <v>317</v>
      </c>
      <c r="X14" s="3" t="s">
        <v>21</v>
      </c>
      <c r="Y14" s="3" t="s">
        <v>317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verschilZoeken">
          <controlPr autoLine="0" autoPict="0" r:id="rId5">
            <anchor moveWithCells="1">
              <from>
                <xdr:col>2</xdr:col>
                <xdr:colOff>390525</xdr:colOff>
                <xdr:row>0</xdr:row>
                <xdr:rowOff>114300</xdr:rowOff>
              </from>
              <to>
                <xdr:col>4</xdr:col>
                <xdr:colOff>762000</xdr:colOff>
                <xdr:row>2</xdr:row>
                <xdr:rowOff>171450</xdr:rowOff>
              </to>
            </anchor>
          </controlPr>
        </control>
      </mc:Choice>
      <mc:Fallback>
        <control shapeId="3073" r:id="rId4" name="verschilZoeken"/>
      </mc:Fallback>
    </mc:AlternateContent>
    <mc:AlternateContent xmlns:mc="http://schemas.openxmlformats.org/markup-compatibility/2006">
      <mc:Choice Requires="x14">
        <control shapeId="3074" r:id="rId6" name="CommandButton1">
          <controlPr autoLine="0" autoPict="0" r:id="rId7">
            <anchor moveWithCells="1">
              <from>
                <xdr:col>2</xdr:col>
                <xdr:colOff>514350</xdr:colOff>
                <xdr:row>5</xdr:row>
                <xdr:rowOff>171450</xdr:rowOff>
              </from>
              <to>
                <xdr:col>4</xdr:col>
                <xdr:colOff>1514475</xdr:colOff>
                <xdr:row>8</xdr:row>
                <xdr:rowOff>9525</xdr:rowOff>
              </to>
            </anchor>
          </controlPr>
        </control>
      </mc:Choice>
      <mc:Fallback>
        <control shapeId="3074" r:id="rId6" name="CommandButton1"/>
      </mc:Fallback>
    </mc:AlternateContent>
    <mc:AlternateContent xmlns:mc="http://schemas.openxmlformats.org/markup-compatibility/2006">
      <mc:Choice Requires="x14">
        <control shapeId="3075" r:id="rId8" name="CommandButton2">
          <controlPr autoLine="0" r:id="rId9">
            <anchor moveWithCells="1">
              <from>
                <xdr:col>5</xdr:col>
                <xdr:colOff>247650</xdr:colOff>
                <xdr:row>6</xdr:row>
                <xdr:rowOff>57150</xdr:rowOff>
              </from>
              <to>
                <xdr:col>5</xdr:col>
                <xdr:colOff>1162050</xdr:colOff>
                <xdr:row>7</xdr:row>
                <xdr:rowOff>171450</xdr:rowOff>
              </to>
            </anchor>
          </controlPr>
        </control>
      </mc:Choice>
      <mc:Fallback>
        <control shapeId="3075" r:id="rId8" name="CommandButton2"/>
      </mc:Fallback>
    </mc:AlternateContent>
    <mc:AlternateContent xmlns:mc="http://schemas.openxmlformats.org/markup-compatibility/2006">
      <mc:Choice Requires="x14">
        <control shapeId="3076" r:id="rId10" name="CommandButton3">
          <controlPr autoLine="0" autoPict="0" r:id="rId11">
            <anchor moveWithCells="1">
              <from>
                <xdr:col>4</xdr:col>
                <xdr:colOff>1466850</xdr:colOff>
                <xdr:row>1</xdr:row>
                <xdr:rowOff>57150</xdr:rowOff>
              </from>
              <to>
                <xdr:col>5</xdr:col>
                <xdr:colOff>771525</xdr:colOff>
                <xdr:row>2</xdr:row>
                <xdr:rowOff>171450</xdr:rowOff>
              </to>
            </anchor>
          </controlPr>
        </control>
      </mc:Choice>
      <mc:Fallback>
        <control shapeId="3076" r:id="rId10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Z61"/>
  <sheetViews>
    <sheetView workbookViewId="0">
      <selection activeCell="I73" sqref="A1:XFD1048576"/>
    </sheetView>
  </sheetViews>
  <sheetFormatPr defaultRowHeight="15" x14ac:dyDescent="0.25"/>
  <cols>
    <col min="1" max="12" width="9.140625" style="1"/>
    <col min="13" max="13" width="9.140625" style="2"/>
    <col min="14" max="25" width="9.140625" style="3"/>
    <col min="26" max="26" width="9.140625" style="4"/>
  </cols>
  <sheetData>
    <row r="1" spans="1:25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N1" s="3" t="s">
        <v>277</v>
      </c>
      <c r="O1" s="3" t="s">
        <v>2</v>
      </c>
      <c r="P1" s="3" t="s">
        <v>3</v>
      </c>
      <c r="Q1" s="3" t="s">
        <v>4</v>
      </c>
      <c r="R1" s="3" t="s">
        <v>5</v>
      </c>
      <c r="S1" s="3" t="s">
        <v>6</v>
      </c>
      <c r="T1" s="3" t="s">
        <v>7</v>
      </c>
      <c r="U1" s="3" t="s">
        <v>8</v>
      </c>
      <c r="V1" s="3" t="s">
        <v>9</v>
      </c>
      <c r="W1" s="3" t="s">
        <v>10</v>
      </c>
      <c r="X1" s="3" t="s">
        <v>11</v>
      </c>
    </row>
    <row r="2" spans="1:25" x14ac:dyDescent="0.25">
      <c r="B2" s="1" t="s">
        <v>12</v>
      </c>
      <c r="C2" s="1" t="s">
        <v>13</v>
      </c>
      <c r="D2" s="1" t="s">
        <v>14</v>
      </c>
      <c r="E2" s="1" t="s">
        <v>15</v>
      </c>
      <c r="F2" s="1" t="s">
        <v>16</v>
      </c>
      <c r="G2" s="1" t="s">
        <v>17</v>
      </c>
      <c r="H2" s="1" t="s">
        <v>18</v>
      </c>
      <c r="I2" s="1" t="s">
        <v>19</v>
      </c>
      <c r="J2" s="1" t="s">
        <v>20</v>
      </c>
      <c r="K2" s="1" t="s">
        <v>21</v>
      </c>
      <c r="L2" s="1" t="s">
        <v>20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3" t="s">
        <v>20</v>
      </c>
    </row>
    <row r="3" spans="1:25" x14ac:dyDescent="0.25">
      <c r="B3" s="1" t="s">
        <v>22</v>
      </c>
      <c r="C3" s="1" t="s">
        <v>13</v>
      </c>
      <c r="D3" s="1" t="s">
        <v>14</v>
      </c>
      <c r="E3" s="1" t="s">
        <v>23</v>
      </c>
      <c r="F3" s="1" t="s">
        <v>24</v>
      </c>
      <c r="G3" s="1" t="s">
        <v>25</v>
      </c>
      <c r="H3" s="1" t="s">
        <v>18</v>
      </c>
      <c r="I3" s="1" t="s">
        <v>19</v>
      </c>
      <c r="J3" s="1" t="s">
        <v>26</v>
      </c>
      <c r="K3" s="1" t="s">
        <v>21</v>
      </c>
      <c r="L3" s="1" t="s">
        <v>26</v>
      </c>
      <c r="O3" s="3" t="s">
        <v>22</v>
      </c>
      <c r="P3" s="3" t="s">
        <v>13</v>
      </c>
      <c r="Q3" s="3" t="s">
        <v>14</v>
      </c>
      <c r="R3" s="3" t="s">
        <v>23</v>
      </c>
      <c r="S3" s="3" t="s">
        <v>24</v>
      </c>
      <c r="T3" s="3" t="s">
        <v>25</v>
      </c>
      <c r="U3" s="3" t="s">
        <v>18</v>
      </c>
      <c r="V3" s="3" t="s">
        <v>19</v>
      </c>
      <c r="W3" s="3" t="s">
        <v>26</v>
      </c>
      <c r="X3" s="3" t="s">
        <v>21</v>
      </c>
      <c r="Y3" s="3" t="s">
        <v>26</v>
      </c>
    </row>
    <row r="4" spans="1:25" x14ac:dyDescent="0.25">
      <c r="B4" s="1" t="s">
        <v>27</v>
      </c>
      <c r="C4" s="1" t="s">
        <v>13</v>
      </c>
      <c r="D4" s="1" t="s">
        <v>28</v>
      </c>
      <c r="E4" s="1" t="s">
        <v>29</v>
      </c>
      <c r="F4" s="1" t="s">
        <v>30</v>
      </c>
      <c r="G4" s="1" t="s">
        <v>31</v>
      </c>
      <c r="H4" s="1" t="s">
        <v>32</v>
      </c>
      <c r="I4" s="1" t="s">
        <v>33</v>
      </c>
      <c r="J4" s="1" t="s">
        <v>34</v>
      </c>
      <c r="K4" s="1" t="s">
        <v>21</v>
      </c>
      <c r="L4" s="1" t="s">
        <v>34</v>
      </c>
      <c r="O4" s="3" t="s">
        <v>27</v>
      </c>
      <c r="P4" s="3" t="s">
        <v>13</v>
      </c>
      <c r="Q4" s="3" t="s">
        <v>28</v>
      </c>
      <c r="R4" s="3" t="s">
        <v>29</v>
      </c>
      <c r="S4" s="3" t="s">
        <v>30</v>
      </c>
      <c r="T4" s="3" t="s">
        <v>31</v>
      </c>
      <c r="U4" s="3" t="s">
        <v>32</v>
      </c>
      <c r="V4" s="3" t="s">
        <v>33</v>
      </c>
      <c r="W4" s="3" t="s">
        <v>34</v>
      </c>
      <c r="X4" s="3" t="s">
        <v>21</v>
      </c>
      <c r="Y4" s="3" t="s">
        <v>34</v>
      </c>
    </row>
    <row r="5" spans="1:25" x14ac:dyDescent="0.25">
      <c r="B5" s="1" t="s">
        <v>27</v>
      </c>
      <c r="C5" s="1" t="s">
        <v>13</v>
      </c>
      <c r="D5" s="1" t="s">
        <v>28</v>
      </c>
      <c r="E5" s="1" t="s">
        <v>35</v>
      </c>
      <c r="F5" s="1" t="s">
        <v>36</v>
      </c>
      <c r="G5" s="1" t="str">
        <f>"0000000132787"</f>
        <v>0000000132787</v>
      </c>
      <c r="H5" s="1" t="s">
        <v>32</v>
      </c>
      <c r="I5" s="1" t="s">
        <v>33</v>
      </c>
      <c r="J5" s="1" t="s">
        <v>37</v>
      </c>
      <c r="K5" s="1" t="s">
        <v>21</v>
      </c>
      <c r="L5" s="1" t="s">
        <v>37</v>
      </c>
      <c r="O5" s="3" t="s">
        <v>27</v>
      </c>
      <c r="P5" s="3" t="s">
        <v>13</v>
      </c>
      <c r="Q5" s="3" t="s">
        <v>28</v>
      </c>
      <c r="R5" s="3" t="s">
        <v>35</v>
      </c>
      <c r="S5" s="3" t="s">
        <v>36</v>
      </c>
      <c r="T5" s="3" t="str">
        <f>"0000000132787"</f>
        <v>0000000132787</v>
      </c>
      <c r="U5" s="3" t="s">
        <v>32</v>
      </c>
      <c r="V5" s="3" t="s">
        <v>33</v>
      </c>
      <c r="W5" s="3" t="s">
        <v>37</v>
      </c>
      <c r="X5" s="3" t="s">
        <v>21</v>
      </c>
      <c r="Y5" s="3" t="s">
        <v>37</v>
      </c>
    </row>
    <row r="6" spans="1:25" x14ac:dyDescent="0.25">
      <c r="B6" s="1" t="s">
        <v>38</v>
      </c>
      <c r="C6" s="1" t="s">
        <v>13</v>
      </c>
      <c r="D6" s="1" t="s">
        <v>39</v>
      </c>
      <c r="E6" s="1" t="s">
        <v>40</v>
      </c>
      <c r="F6" s="1" t="s">
        <v>41</v>
      </c>
      <c r="G6" s="1" t="s">
        <v>42</v>
      </c>
      <c r="H6" s="1" t="s">
        <v>18</v>
      </c>
      <c r="I6" s="1" t="s">
        <v>19</v>
      </c>
      <c r="J6" s="1" t="s">
        <v>43</v>
      </c>
      <c r="K6" s="1" t="s">
        <v>21</v>
      </c>
      <c r="L6" s="1" t="s">
        <v>43</v>
      </c>
      <c r="O6" s="3" t="s">
        <v>38</v>
      </c>
      <c r="P6" s="3" t="s">
        <v>13</v>
      </c>
      <c r="Q6" s="3" t="s">
        <v>39</v>
      </c>
      <c r="R6" s="3" t="s">
        <v>40</v>
      </c>
      <c r="S6" s="3" t="s">
        <v>41</v>
      </c>
      <c r="T6" s="3" t="s">
        <v>42</v>
      </c>
      <c r="U6" s="3" t="s">
        <v>18</v>
      </c>
      <c r="V6" s="3" t="s">
        <v>19</v>
      </c>
      <c r="W6" s="3" t="s">
        <v>43</v>
      </c>
      <c r="X6" s="3" t="s">
        <v>21</v>
      </c>
      <c r="Y6" s="3" t="s">
        <v>43</v>
      </c>
    </row>
    <row r="7" spans="1:25" x14ac:dyDescent="0.25">
      <c r="B7" s="1" t="s">
        <v>12</v>
      </c>
      <c r="C7" s="1" t="s">
        <v>13</v>
      </c>
      <c r="D7" s="1" t="s">
        <v>39</v>
      </c>
      <c r="E7" s="1" t="s">
        <v>44</v>
      </c>
      <c r="F7" s="1" t="s">
        <v>45</v>
      </c>
      <c r="G7" s="1" t="s">
        <v>46</v>
      </c>
      <c r="H7" s="1" t="s">
        <v>18</v>
      </c>
      <c r="I7" s="1" t="s">
        <v>19</v>
      </c>
      <c r="J7" s="1" t="s">
        <v>47</v>
      </c>
      <c r="K7" s="1" t="s">
        <v>21</v>
      </c>
      <c r="L7" s="1" t="s">
        <v>47</v>
      </c>
      <c r="O7" s="3" t="s">
        <v>12</v>
      </c>
      <c r="P7" s="3" t="s">
        <v>13</v>
      </c>
      <c r="Q7" s="3" t="s">
        <v>39</v>
      </c>
      <c r="R7" s="3" t="s">
        <v>44</v>
      </c>
      <c r="S7" s="3" t="s">
        <v>45</v>
      </c>
      <c r="T7" s="3" t="s">
        <v>46</v>
      </c>
      <c r="U7" s="3" t="s">
        <v>18</v>
      </c>
      <c r="V7" s="3" t="s">
        <v>19</v>
      </c>
      <c r="W7" s="3" t="s">
        <v>47</v>
      </c>
      <c r="X7" s="3" t="s">
        <v>21</v>
      </c>
      <c r="Y7" s="3" t="s">
        <v>47</v>
      </c>
    </row>
    <row r="8" spans="1:25" x14ac:dyDescent="0.25">
      <c r="B8" s="1" t="s">
        <v>48</v>
      </c>
      <c r="C8" s="1" t="s">
        <v>13</v>
      </c>
      <c r="D8" s="1" t="s">
        <v>39</v>
      </c>
      <c r="E8" s="1" t="s">
        <v>49</v>
      </c>
      <c r="F8" s="1" t="s">
        <v>50</v>
      </c>
      <c r="G8" s="1" t="s">
        <v>51</v>
      </c>
      <c r="H8" s="1" t="s">
        <v>18</v>
      </c>
      <c r="I8" s="1" t="s">
        <v>19</v>
      </c>
      <c r="J8" s="1" t="s">
        <v>52</v>
      </c>
      <c r="K8" s="1" t="s">
        <v>21</v>
      </c>
      <c r="L8" s="1" t="s">
        <v>52</v>
      </c>
      <c r="O8" s="3" t="s">
        <v>48</v>
      </c>
      <c r="P8" s="3" t="s">
        <v>13</v>
      </c>
      <c r="Q8" s="3" t="s">
        <v>39</v>
      </c>
      <c r="R8" s="3" t="s">
        <v>49</v>
      </c>
      <c r="S8" s="3" t="s">
        <v>50</v>
      </c>
      <c r="T8" s="3" t="s">
        <v>51</v>
      </c>
      <c r="U8" s="3" t="s">
        <v>18</v>
      </c>
      <c r="V8" s="3" t="s">
        <v>19</v>
      </c>
      <c r="W8" s="3" t="s">
        <v>52</v>
      </c>
      <c r="X8" s="3" t="s">
        <v>21</v>
      </c>
      <c r="Y8" s="3" t="s">
        <v>52</v>
      </c>
    </row>
    <row r="9" spans="1:25" x14ac:dyDescent="0.25">
      <c r="B9" s="1" t="s">
        <v>22</v>
      </c>
      <c r="C9" s="1" t="s">
        <v>13</v>
      </c>
      <c r="D9" s="1" t="s">
        <v>39</v>
      </c>
      <c r="E9" s="1" t="s">
        <v>53</v>
      </c>
      <c r="F9" s="1" t="s">
        <v>54</v>
      </c>
      <c r="G9" s="1" t="s">
        <v>55</v>
      </c>
      <c r="H9" s="1" t="s">
        <v>18</v>
      </c>
      <c r="I9" s="1" t="s">
        <v>19</v>
      </c>
      <c r="J9" s="1" t="s">
        <v>56</v>
      </c>
      <c r="K9" s="1" t="s">
        <v>21</v>
      </c>
      <c r="L9" s="1" t="s">
        <v>56</v>
      </c>
      <c r="O9" s="3" t="s">
        <v>22</v>
      </c>
      <c r="P9" s="3" t="s">
        <v>13</v>
      </c>
      <c r="Q9" s="3" t="s">
        <v>39</v>
      </c>
      <c r="R9" s="3" t="s">
        <v>53</v>
      </c>
      <c r="S9" s="3" t="s">
        <v>54</v>
      </c>
      <c r="T9" s="3" t="s">
        <v>55</v>
      </c>
      <c r="U9" s="3" t="s">
        <v>18</v>
      </c>
      <c r="V9" s="3" t="s">
        <v>19</v>
      </c>
      <c r="W9" s="3" t="s">
        <v>56</v>
      </c>
      <c r="X9" s="3" t="s">
        <v>21</v>
      </c>
      <c r="Y9" s="3" t="s">
        <v>56</v>
      </c>
    </row>
    <row r="10" spans="1:25" x14ac:dyDescent="0.25">
      <c r="B10" s="1" t="s">
        <v>22</v>
      </c>
      <c r="C10" s="1" t="s">
        <v>13</v>
      </c>
      <c r="D10" s="1" t="s">
        <v>39</v>
      </c>
      <c r="E10" s="1" t="s">
        <v>57</v>
      </c>
      <c r="F10" s="1" t="s">
        <v>58</v>
      </c>
      <c r="G10" s="1" t="s">
        <v>59</v>
      </c>
      <c r="H10" s="1" t="s">
        <v>18</v>
      </c>
      <c r="I10" s="1" t="s">
        <v>19</v>
      </c>
      <c r="J10" s="1" t="s">
        <v>60</v>
      </c>
      <c r="K10" s="1" t="s">
        <v>21</v>
      </c>
      <c r="L10" s="1" t="s">
        <v>60</v>
      </c>
      <c r="O10" s="3" t="s">
        <v>22</v>
      </c>
      <c r="P10" s="3" t="s">
        <v>13</v>
      </c>
      <c r="Q10" s="3" t="s">
        <v>39</v>
      </c>
      <c r="R10" s="3" t="s">
        <v>57</v>
      </c>
      <c r="S10" s="3" t="s">
        <v>58</v>
      </c>
      <c r="T10" s="3" t="s">
        <v>59</v>
      </c>
      <c r="U10" s="3" t="s">
        <v>18</v>
      </c>
      <c r="V10" s="3" t="s">
        <v>19</v>
      </c>
      <c r="W10" s="3" t="s">
        <v>60</v>
      </c>
      <c r="X10" s="3" t="s">
        <v>21</v>
      </c>
      <c r="Y10" s="3" t="s">
        <v>60</v>
      </c>
    </row>
    <row r="11" spans="1:25" x14ac:dyDescent="0.25">
      <c r="B11" s="1" t="s">
        <v>22</v>
      </c>
      <c r="C11" s="1" t="s">
        <v>13</v>
      </c>
      <c r="D11" s="1" t="s">
        <v>39</v>
      </c>
      <c r="E11" s="1" t="s">
        <v>61</v>
      </c>
      <c r="F11" s="1" t="s">
        <v>62</v>
      </c>
      <c r="G11" s="1" t="s">
        <v>63</v>
      </c>
      <c r="H11" s="1" t="s">
        <v>18</v>
      </c>
      <c r="I11" s="1" t="s">
        <v>19</v>
      </c>
      <c r="J11" s="1" t="s">
        <v>64</v>
      </c>
      <c r="K11" s="1" t="s">
        <v>21</v>
      </c>
      <c r="L11" s="1" t="s">
        <v>64</v>
      </c>
      <c r="O11" s="3" t="s">
        <v>22</v>
      </c>
      <c r="P11" s="3" t="s">
        <v>13</v>
      </c>
      <c r="Q11" s="3" t="s">
        <v>39</v>
      </c>
      <c r="R11" s="3" t="s">
        <v>61</v>
      </c>
      <c r="S11" s="3" t="s">
        <v>62</v>
      </c>
      <c r="T11" s="3" t="s">
        <v>63</v>
      </c>
      <c r="U11" s="3" t="s">
        <v>18</v>
      </c>
      <c r="V11" s="3" t="s">
        <v>19</v>
      </c>
      <c r="W11" s="3" t="s">
        <v>64</v>
      </c>
      <c r="X11" s="3" t="s">
        <v>21</v>
      </c>
      <c r="Y11" s="3" t="s">
        <v>64</v>
      </c>
    </row>
    <row r="12" spans="1:25" x14ac:dyDescent="0.25">
      <c r="B12" s="1" t="s">
        <v>65</v>
      </c>
      <c r="C12" s="1" t="s">
        <v>13</v>
      </c>
      <c r="D12" s="1" t="s">
        <v>66</v>
      </c>
      <c r="E12" s="1" t="s">
        <v>67</v>
      </c>
      <c r="F12" s="1" t="s">
        <v>68</v>
      </c>
      <c r="G12" s="1" t="s">
        <v>69</v>
      </c>
      <c r="H12" s="1" t="s">
        <v>18</v>
      </c>
      <c r="I12" s="1" t="s">
        <v>19</v>
      </c>
      <c r="J12" s="1" t="s">
        <v>47</v>
      </c>
      <c r="K12" s="1" t="s">
        <v>21</v>
      </c>
      <c r="L12" s="1" t="s">
        <v>47</v>
      </c>
      <c r="O12" s="3" t="s">
        <v>65</v>
      </c>
      <c r="P12" s="3" t="s">
        <v>13</v>
      </c>
      <c r="Q12" s="3" t="s">
        <v>66</v>
      </c>
      <c r="R12" s="3" t="s">
        <v>67</v>
      </c>
      <c r="S12" s="3" t="s">
        <v>68</v>
      </c>
      <c r="T12" s="3" t="s">
        <v>69</v>
      </c>
      <c r="U12" s="3" t="s">
        <v>18</v>
      </c>
      <c r="V12" s="3" t="s">
        <v>19</v>
      </c>
      <c r="W12" s="3" t="s">
        <v>47</v>
      </c>
      <c r="X12" s="3" t="s">
        <v>21</v>
      </c>
      <c r="Y12" s="3" t="s">
        <v>47</v>
      </c>
    </row>
    <row r="13" spans="1:25" x14ac:dyDescent="0.25">
      <c r="B13" s="1" t="s">
        <v>38</v>
      </c>
      <c r="C13" s="1" t="s">
        <v>13</v>
      </c>
      <c r="D13" s="1" t="s">
        <v>66</v>
      </c>
      <c r="E13" s="1" t="s">
        <v>70</v>
      </c>
      <c r="F13" s="1" t="s">
        <v>71</v>
      </c>
      <c r="G13" s="1" t="s">
        <v>72</v>
      </c>
      <c r="H13" s="1" t="s">
        <v>18</v>
      </c>
      <c r="I13" s="1" t="s">
        <v>19</v>
      </c>
      <c r="J13" s="1" t="s">
        <v>73</v>
      </c>
      <c r="K13" s="1" t="s">
        <v>21</v>
      </c>
      <c r="L13" s="1" t="s">
        <v>73</v>
      </c>
      <c r="O13" s="3" t="s">
        <v>38</v>
      </c>
      <c r="P13" s="3" t="s">
        <v>13</v>
      </c>
      <c r="Q13" s="3" t="s">
        <v>66</v>
      </c>
      <c r="R13" s="3" t="s">
        <v>70</v>
      </c>
      <c r="S13" s="3" t="s">
        <v>71</v>
      </c>
      <c r="T13" s="3" t="s">
        <v>72</v>
      </c>
      <c r="U13" s="3" t="s">
        <v>18</v>
      </c>
      <c r="V13" s="3" t="s">
        <v>19</v>
      </c>
      <c r="W13" s="3" t="s">
        <v>73</v>
      </c>
      <c r="X13" s="3" t="s">
        <v>21</v>
      </c>
      <c r="Y13" s="3" t="s">
        <v>73</v>
      </c>
    </row>
    <row r="14" spans="1:25" x14ac:dyDescent="0.25">
      <c r="B14" s="1" t="s">
        <v>22</v>
      </c>
      <c r="C14" s="1" t="s">
        <v>13</v>
      </c>
      <c r="D14" s="1" t="s">
        <v>66</v>
      </c>
      <c r="E14" s="1" t="s">
        <v>74</v>
      </c>
      <c r="F14" s="1" t="s">
        <v>75</v>
      </c>
      <c r="G14" s="1" t="s">
        <v>76</v>
      </c>
      <c r="H14" s="1" t="s">
        <v>18</v>
      </c>
      <c r="I14" s="1" t="s">
        <v>19</v>
      </c>
      <c r="J14" s="1" t="s">
        <v>77</v>
      </c>
      <c r="K14" s="1" t="s">
        <v>21</v>
      </c>
      <c r="L14" s="1" t="s">
        <v>77</v>
      </c>
      <c r="O14" s="3" t="s">
        <v>22</v>
      </c>
      <c r="P14" s="3" t="s">
        <v>13</v>
      </c>
      <c r="Q14" s="3" t="s">
        <v>66</v>
      </c>
      <c r="R14" s="3" t="s">
        <v>74</v>
      </c>
      <c r="S14" s="3" t="s">
        <v>75</v>
      </c>
      <c r="T14" s="3" t="s">
        <v>76</v>
      </c>
      <c r="U14" s="3" t="s">
        <v>18</v>
      </c>
      <c r="V14" s="3" t="s">
        <v>19</v>
      </c>
      <c r="W14" s="3" t="s">
        <v>77</v>
      </c>
      <c r="X14" s="3" t="s">
        <v>21</v>
      </c>
      <c r="Y14" s="3" t="s">
        <v>77</v>
      </c>
    </row>
    <row r="15" spans="1:25" x14ac:dyDescent="0.25">
      <c r="B15" s="1" t="s">
        <v>27</v>
      </c>
      <c r="C15" s="1" t="s">
        <v>13</v>
      </c>
      <c r="D15" s="1" t="s">
        <v>78</v>
      </c>
      <c r="E15" s="1" t="s">
        <v>79</v>
      </c>
      <c r="F15" s="1" t="s">
        <v>80</v>
      </c>
      <c r="G15" s="1" t="s">
        <v>81</v>
      </c>
      <c r="H15" s="1" t="s">
        <v>18</v>
      </c>
      <c r="I15" s="1" t="s">
        <v>19</v>
      </c>
      <c r="J15" s="1" t="s">
        <v>82</v>
      </c>
      <c r="K15" s="1" t="s">
        <v>21</v>
      </c>
      <c r="L15" s="1" t="s">
        <v>82</v>
      </c>
      <c r="O15" s="3" t="s">
        <v>27</v>
      </c>
      <c r="P15" s="3" t="s">
        <v>13</v>
      </c>
      <c r="Q15" s="3" t="s">
        <v>78</v>
      </c>
      <c r="R15" s="3" t="s">
        <v>79</v>
      </c>
      <c r="S15" s="3" t="s">
        <v>80</v>
      </c>
      <c r="T15" s="3" t="s">
        <v>81</v>
      </c>
      <c r="U15" s="3" t="s">
        <v>18</v>
      </c>
      <c r="V15" s="3" t="s">
        <v>19</v>
      </c>
      <c r="W15" s="3" t="s">
        <v>82</v>
      </c>
      <c r="X15" s="3" t="s">
        <v>21</v>
      </c>
      <c r="Y15" s="3" t="s">
        <v>82</v>
      </c>
    </row>
    <row r="16" spans="1:25" x14ac:dyDescent="0.25">
      <c r="B16" s="1" t="s">
        <v>22</v>
      </c>
      <c r="C16" s="1" t="s">
        <v>13</v>
      </c>
      <c r="D16" s="1" t="s">
        <v>83</v>
      </c>
      <c r="E16" s="1" t="s">
        <v>84</v>
      </c>
      <c r="F16" s="1" t="s">
        <v>85</v>
      </c>
      <c r="G16" s="1" t="s">
        <v>86</v>
      </c>
      <c r="H16" s="1" t="s">
        <v>18</v>
      </c>
      <c r="I16" s="1" t="s">
        <v>19</v>
      </c>
      <c r="J16" s="1" t="s">
        <v>73</v>
      </c>
      <c r="K16" s="1" t="s">
        <v>21</v>
      </c>
      <c r="L16" s="1" t="s">
        <v>73</v>
      </c>
      <c r="O16" s="3" t="s">
        <v>22</v>
      </c>
      <c r="P16" s="3" t="s">
        <v>13</v>
      </c>
      <c r="Q16" s="3" t="s">
        <v>83</v>
      </c>
      <c r="R16" s="3" t="s">
        <v>84</v>
      </c>
      <c r="S16" s="3" t="s">
        <v>85</v>
      </c>
      <c r="T16" s="3" t="s">
        <v>86</v>
      </c>
      <c r="U16" s="3" t="s">
        <v>18</v>
      </c>
      <c r="V16" s="3" t="s">
        <v>19</v>
      </c>
      <c r="W16" s="3" t="s">
        <v>73</v>
      </c>
      <c r="X16" s="3" t="s">
        <v>21</v>
      </c>
      <c r="Y16" s="3" t="s">
        <v>73</v>
      </c>
    </row>
    <row r="17" spans="2:25" x14ac:dyDescent="0.25">
      <c r="B17" s="1" t="s">
        <v>22</v>
      </c>
      <c r="C17" s="1" t="s">
        <v>13</v>
      </c>
      <c r="D17" s="1" t="s">
        <v>83</v>
      </c>
      <c r="E17" s="1" t="s">
        <v>87</v>
      </c>
      <c r="F17" s="1" t="s">
        <v>88</v>
      </c>
      <c r="G17" s="1" t="s">
        <v>89</v>
      </c>
      <c r="H17" s="1" t="s">
        <v>18</v>
      </c>
      <c r="I17" s="1" t="s">
        <v>19</v>
      </c>
      <c r="J17" s="1" t="s">
        <v>73</v>
      </c>
      <c r="K17" s="1" t="s">
        <v>21</v>
      </c>
      <c r="L17" s="1" t="s">
        <v>73</v>
      </c>
      <c r="O17" s="3" t="s">
        <v>22</v>
      </c>
      <c r="P17" s="3" t="s">
        <v>13</v>
      </c>
      <c r="Q17" s="3" t="s">
        <v>83</v>
      </c>
      <c r="R17" s="3" t="s">
        <v>87</v>
      </c>
      <c r="S17" s="3" t="s">
        <v>88</v>
      </c>
      <c r="T17" s="3" t="s">
        <v>89</v>
      </c>
      <c r="U17" s="3" t="s">
        <v>18</v>
      </c>
      <c r="V17" s="3" t="s">
        <v>19</v>
      </c>
      <c r="W17" s="3" t="s">
        <v>73</v>
      </c>
      <c r="X17" s="3" t="s">
        <v>21</v>
      </c>
      <c r="Y17" s="3" t="s">
        <v>73</v>
      </c>
    </row>
    <row r="18" spans="2:25" x14ac:dyDescent="0.25">
      <c r="B18" s="1" t="s">
        <v>27</v>
      </c>
      <c r="C18" s="1" t="s">
        <v>13</v>
      </c>
      <c r="D18" s="1" t="s">
        <v>83</v>
      </c>
      <c r="E18" s="1" t="s">
        <v>90</v>
      </c>
      <c r="F18" s="1" t="s">
        <v>91</v>
      </c>
      <c r="G18" s="1" t="s">
        <v>92</v>
      </c>
      <c r="H18" s="1" t="s">
        <v>18</v>
      </c>
      <c r="I18" s="1" t="s">
        <v>19</v>
      </c>
      <c r="J18" s="1" t="s">
        <v>93</v>
      </c>
      <c r="K18" s="1" t="s">
        <v>21</v>
      </c>
      <c r="L18" s="1" t="s">
        <v>93</v>
      </c>
      <c r="O18" s="3" t="s">
        <v>27</v>
      </c>
      <c r="P18" s="3" t="s">
        <v>13</v>
      </c>
      <c r="Q18" s="3" t="s">
        <v>83</v>
      </c>
      <c r="R18" s="3" t="s">
        <v>90</v>
      </c>
      <c r="S18" s="3" t="s">
        <v>91</v>
      </c>
      <c r="T18" s="3" t="s">
        <v>92</v>
      </c>
      <c r="U18" s="3" t="s">
        <v>18</v>
      </c>
      <c r="V18" s="3" t="s">
        <v>19</v>
      </c>
      <c r="W18" s="3" t="s">
        <v>93</v>
      </c>
      <c r="X18" s="3" t="s">
        <v>21</v>
      </c>
      <c r="Y18" s="3" t="s">
        <v>93</v>
      </c>
    </row>
    <row r="19" spans="2:25" x14ac:dyDescent="0.25">
      <c r="B19" s="1" t="s">
        <v>22</v>
      </c>
      <c r="C19" s="1" t="s">
        <v>13</v>
      </c>
      <c r="D19" s="1" t="s">
        <v>83</v>
      </c>
      <c r="E19" s="1" t="s">
        <v>94</v>
      </c>
      <c r="F19" s="1" t="s">
        <v>95</v>
      </c>
      <c r="G19" s="1" t="s">
        <v>96</v>
      </c>
      <c r="H19" s="1" t="s">
        <v>18</v>
      </c>
      <c r="I19" s="1" t="s">
        <v>19</v>
      </c>
      <c r="J19" s="1" t="s">
        <v>97</v>
      </c>
      <c r="K19" s="1" t="s">
        <v>21</v>
      </c>
      <c r="L19" s="1" t="s">
        <v>97</v>
      </c>
      <c r="O19" s="3" t="s">
        <v>22</v>
      </c>
      <c r="P19" s="3" t="s">
        <v>13</v>
      </c>
      <c r="Q19" s="3" t="s">
        <v>83</v>
      </c>
      <c r="R19" s="3" t="s">
        <v>94</v>
      </c>
      <c r="S19" s="3" t="s">
        <v>95</v>
      </c>
      <c r="T19" s="3" t="s">
        <v>96</v>
      </c>
      <c r="U19" s="3" t="s">
        <v>18</v>
      </c>
      <c r="V19" s="3" t="s">
        <v>19</v>
      </c>
      <c r="W19" s="3" t="s">
        <v>97</v>
      </c>
      <c r="X19" s="3" t="s">
        <v>21</v>
      </c>
      <c r="Y19" s="3" t="s">
        <v>97</v>
      </c>
    </row>
    <row r="20" spans="2:25" x14ac:dyDescent="0.25">
      <c r="B20" s="1" t="s">
        <v>38</v>
      </c>
      <c r="C20" s="1" t="s">
        <v>13</v>
      </c>
      <c r="D20" s="1" t="s">
        <v>98</v>
      </c>
      <c r="E20" s="1" t="s">
        <v>99</v>
      </c>
      <c r="F20" s="1" t="s">
        <v>100</v>
      </c>
      <c r="G20" s="1" t="s">
        <v>101</v>
      </c>
      <c r="H20" s="1" t="s">
        <v>18</v>
      </c>
      <c r="I20" s="1" t="s">
        <v>19</v>
      </c>
      <c r="J20" s="1" t="s">
        <v>47</v>
      </c>
      <c r="K20" s="1" t="s">
        <v>21</v>
      </c>
      <c r="L20" s="1" t="s">
        <v>47</v>
      </c>
      <c r="O20" s="3" t="s">
        <v>38</v>
      </c>
      <c r="P20" s="3" t="s">
        <v>13</v>
      </c>
      <c r="Q20" s="3" t="s">
        <v>98</v>
      </c>
      <c r="R20" s="3" t="s">
        <v>99</v>
      </c>
      <c r="S20" s="3" t="s">
        <v>100</v>
      </c>
      <c r="T20" s="3" t="s">
        <v>101</v>
      </c>
      <c r="U20" s="3" t="s">
        <v>18</v>
      </c>
      <c r="V20" s="3" t="s">
        <v>19</v>
      </c>
      <c r="W20" s="3" t="s">
        <v>47</v>
      </c>
      <c r="X20" s="3" t="s">
        <v>21</v>
      </c>
      <c r="Y20" s="3" t="s">
        <v>47</v>
      </c>
    </row>
    <row r="21" spans="2:25" x14ac:dyDescent="0.25">
      <c r="B21" s="1" t="s">
        <v>22</v>
      </c>
      <c r="C21" s="1" t="s">
        <v>13</v>
      </c>
      <c r="D21" s="1" t="s">
        <v>98</v>
      </c>
      <c r="E21" s="1" t="s">
        <v>102</v>
      </c>
      <c r="F21" s="1" t="s">
        <v>103</v>
      </c>
      <c r="G21" s="1" t="s">
        <v>104</v>
      </c>
      <c r="H21" s="1" t="s">
        <v>18</v>
      </c>
      <c r="I21" s="1" t="s">
        <v>19</v>
      </c>
      <c r="J21" s="1" t="s">
        <v>105</v>
      </c>
      <c r="K21" s="1" t="s">
        <v>21</v>
      </c>
      <c r="L21" s="1" t="s">
        <v>105</v>
      </c>
      <c r="O21" s="3" t="s">
        <v>22</v>
      </c>
      <c r="P21" s="3" t="s">
        <v>13</v>
      </c>
      <c r="Q21" s="3" t="s">
        <v>98</v>
      </c>
      <c r="R21" s="3" t="s">
        <v>102</v>
      </c>
      <c r="S21" s="3" t="s">
        <v>103</v>
      </c>
      <c r="T21" s="3" t="s">
        <v>104</v>
      </c>
      <c r="U21" s="3" t="s">
        <v>18</v>
      </c>
      <c r="V21" s="3" t="s">
        <v>19</v>
      </c>
      <c r="W21" s="3" t="s">
        <v>105</v>
      </c>
      <c r="X21" s="3" t="s">
        <v>21</v>
      </c>
      <c r="Y21" s="3" t="s">
        <v>105</v>
      </c>
    </row>
    <row r="22" spans="2:25" x14ac:dyDescent="0.25">
      <c r="B22" s="1" t="s">
        <v>106</v>
      </c>
      <c r="C22" s="1" t="s">
        <v>13</v>
      </c>
      <c r="D22" s="1" t="s">
        <v>98</v>
      </c>
      <c r="E22" s="1" t="s">
        <v>107</v>
      </c>
      <c r="F22" s="1" t="s">
        <v>108</v>
      </c>
      <c r="G22" s="1" t="s">
        <v>109</v>
      </c>
      <c r="H22" s="1" t="s">
        <v>18</v>
      </c>
      <c r="I22" s="1" t="s">
        <v>19</v>
      </c>
      <c r="J22" s="1" t="s">
        <v>263</v>
      </c>
      <c r="K22" s="1" t="s">
        <v>21</v>
      </c>
      <c r="L22" s="1" t="s">
        <v>263</v>
      </c>
      <c r="O22" s="3" t="s">
        <v>106</v>
      </c>
      <c r="P22" s="3" t="s">
        <v>13</v>
      </c>
      <c r="Q22" s="3" t="s">
        <v>98</v>
      </c>
      <c r="R22" s="3" t="s">
        <v>107</v>
      </c>
      <c r="S22" s="3" t="s">
        <v>108</v>
      </c>
      <c r="T22" s="3" t="s">
        <v>109</v>
      </c>
      <c r="U22" s="3" t="s">
        <v>18</v>
      </c>
      <c r="V22" s="3" t="s">
        <v>19</v>
      </c>
      <c r="W22" s="3" t="s">
        <v>52</v>
      </c>
      <c r="X22" s="3" t="s">
        <v>21</v>
      </c>
      <c r="Y22" s="3" t="s">
        <v>52</v>
      </c>
    </row>
    <row r="23" spans="2:25" x14ac:dyDescent="0.25">
      <c r="B23" s="1" t="s">
        <v>110</v>
      </c>
      <c r="C23" s="1" t="s">
        <v>13</v>
      </c>
      <c r="D23" s="1" t="s">
        <v>98</v>
      </c>
      <c r="E23" s="1" t="s">
        <v>111</v>
      </c>
      <c r="F23" s="1" t="s">
        <v>112</v>
      </c>
      <c r="G23" s="1" t="s">
        <v>113</v>
      </c>
      <c r="H23" s="1" t="s">
        <v>18</v>
      </c>
      <c r="I23" s="1" t="s">
        <v>19</v>
      </c>
      <c r="J23" s="1" t="s">
        <v>97</v>
      </c>
      <c r="K23" s="1" t="s">
        <v>21</v>
      </c>
      <c r="L23" s="1" t="s">
        <v>97</v>
      </c>
      <c r="O23" s="3" t="s">
        <v>110</v>
      </c>
      <c r="P23" s="3" t="s">
        <v>13</v>
      </c>
      <c r="Q23" s="3" t="s">
        <v>98</v>
      </c>
      <c r="R23" s="3" t="s">
        <v>111</v>
      </c>
      <c r="S23" s="3" t="s">
        <v>112</v>
      </c>
      <c r="T23" s="3" t="s">
        <v>113</v>
      </c>
      <c r="U23" s="3" t="s">
        <v>18</v>
      </c>
      <c r="V23" s="3" t="s">
        <v>19</v>
      </c>
      <c r="W23" s="3" t="s">
        <v>97</v>
      </c>
      <c r="X23" s="3" t="s">
        <v>21</v>
      </c>
      <c r="Y23" s="3" t="s">
        <v>97</v>
      </c>
    </row>
    <row r="24" spans="2:25" x14ac:dyDescent="0.25">
      <c r="B24" s="1" t="s">
        <v>27</v>
      </c>
      <c r="C24" s="1" t="s">
        <v>13</v>
      </c>
      <c r="D24" s="1" t="s">
        <v>98</v>
      </c>
      <c r="E24" s="1" t="s">
        <v>114</v>
      </c>
      <c r="F24" s="1" t="s">
        <v>115</v>
      </c>
      <c r="G24" s="1" t="s">
        <v>116</v>
      </c>
      <c r="H24" s="1" t="s">
        <v>18</v>
      </c>
      <c r="I24" s="1" t="s">
        <v>19</v>
      </c>
      <c r="J24" s="1" t="s">
        <v>73</v>
      </c>
      <c r="K24" s="1" t="s">
        <v>21</v>
      </c>
      <c r="L24" s="1" t="s">
        <v>73</v>
      </c>
      <c r="O24" s="3" t="s">
        <v>27</v>
      </c>
      <c r="P24" s="3" t="s">
        <v>13</v>
      </c>
      <c r="Q24" s="3" t="s">
        <v>98</v>
      </c>
      <c r="R24" s="3" t="s">
        <v>114</v>
      </c>
      <c r="S24" s="3" t="s">
        <v>115</v>
      </c>
      <c r="T24" s="3" t="s">
        <v>116</v>
      </c>
      <c r="U24" s="3" t="s">
        <v>18</v>
      </c>
      <c r="V24" s="3" t="s">
        <v>19</v>
      </c>
      <c r="W24" s="3" t="s">
        <v>73</v>
      </c>
      <c r="X24" s="3" t="s">
        <v>21</v>
      </c>
      <c r="Y24" s="3" t="s">
        <v>73</v>
      </c>
    </row>
    <row r="25" spans="2:25" x14ac:dyDescent="0.25">
      <c r="B25" s="1" t="s">
        <v>117</v>
      </c>
      <c r="C25" s="1" t="s">
        <v>13</v>
      </c>
      <c r="D25" s="1" t="s">
        <v>98</v>
      </c>
      <c r="E25" s="1" t="s">
        <v>118</v>
      </c>
      <c r="F25" s="1" t="s">
        <v>119</v>
      </c>
      <c r="G25" s="1" t="s">
        <v>120</v>
      </c>
      <c r="H25" s="1" t="s">
        <v>18</v>
      </c>
      <c r="I25" s="1" t="s">
        <v>19</v>
      </c>
      <c r="J25" s="1" t="s">
        <v>121</v>
      </c>
      <c r="K25" s="1" t="s">
        <v>21</v>
      </c>
      <c r="L25" s="1" t="s">
        <v>121</v>
      </c>
      <c r="O25" s="3" t="s">
        <v>117</v>
      </c>
      <c r="P25" s="3" t="s">
        <v>13</v>
      </c>
      <c r="Q25" s="3" t="s">
        <v>98</v>
      </c>
      <c r="R25" s="3" t="s">
        <v>118</v>
      </c>
      <c r="S25" s="3" t="s">
        <v>119</v>
      </c>
      <c r="T25" s="3" t="s">
        <v>120</v>
      </c>
      <c r="U25" s="3" t="s">
        <v>18</v>
      </c>
      <c r="V25" s="3" t="s">
        <v>19</v>
      </c>
      <c r="W25" s="3" t="s">
        <v>121</v>
      </c>
      <c r="X25" s="3" t="s">
        <v>21</v>
      </c>
      <c r="Y25" s="3" t="s">
        <v>121</v>
      </c>
    </row>
    <row r="26" spans="2:25" x14ac:dyDescent="0.25">
      <c r="B26" s="1" t="s">
        <v>106</v>
      </c>
      <c r="C26" s="1" t="s">
        <v>13</v>
      </c>
      <c r="D26" s="1" t="s">
        <v>98</v>
      </c>
      <c r="E26" s="1" t="s">
        <v>122</v>
      </c>
      <c r="F26" s="1" t="s">
        <v>123</v>
      </c>
      <c r="G26" s="1" t="s">
        <v>124</v>
      </c>
      <c r="H26" s="1" t="s">
        <v>18</v>
      </c>
      <c r="I26" s="1" t="s">
        <v>19</v>
      </c>
      <c r="J26" s="1" t="s">
        <v>125</v>
      </c>
      <c r="K26" s="1" t="s">
        <v>21</v>
      </c>
      <c r="L26" s="1" t="s">
        <v>125</v>
      </c>
      <c r="O26" s="3" t="s">
        <v>106</v>
      </c>
      <c r="P26" s="3" t="s">
        <v>13</v>
      </c>
      <c r="Q26" s="3" t="s">
        <v>98</v>
      </c>
      <c r="R26" s="3" t="s">
        <v>122</v>
      </c>
      <c r="S26" s="3" t="s">
        <v>123</v>
      </c>
      <c r="T26" s="3" t="s">
        <v>124</v>
      </c>
      <c r="U26" s="3" t="s">
        <v>18</v>
      </c>
      <c r="V26" s="3" t="s">
        <v>19</v>
      </c>
      <c r="W26" s="3" t="s">
        <v>125</v>
      </c>
      <c r="X26" s="3" t="s">
        <v>21</v>
      </c>
      <c r="Y26" s="3" t="s">
        <v>125</v>
      </c>
    </row>
    <row r="27" spans="2:25" x14ac:dyDescent="0.25">
      <c r="B27" s="1" t="s">
        <v>22</v>
      </c>
      <c r="C27" s="1" t="s">
        <v>13</v>
      </c>
      <c r="D27" s="1" t="s">
        <v>126</v>
      </c>
      <c r="E27" s="1" t="s">
        <v>127</v>
      </c>
      <c r="F27" s="1" t="s">
        <v>128</v>
      </c>
      <c r="G27" s="1" t="s">
        <v>129</v>
      </c>
      <c r="H27" s="1" t="s">
        <v>32</v>
      </c>
      <c r="I27" s="1" t="s">
        <v>33</v>
      </c>
      <c r="J27" s="1" t="s">
        <v>130</v>
      </c>
      <c r="K27" s="1" t="s">
        <v>21</v>
      </c>
      <c r="L27" s="1" t="s">
        <v>130</v>
      </c>
      <c r="O27" s="3" t="s">
        <v>22</v>
      </c>
      <c r="P27" s="3" t="s">
        <v>13</v>
      </c>
      <c r="Q27" s="3" t="s">
        <v>126</v>
      </c>
      <c r="R27" s="3" t="s">
        <v>127</v>
      </c>
      <c r="S27" s="3" t="s">
        <v>128</v>
      </c>
      <c r="T27" s="3" t="s">
        <v>129</v>
      </c>
      <c r="U27" s="3" t="s">
        <v>32</v>
      </c>
      <c r="V27" s="3" t="s">
        <v>33</v>
      </c>
      <c r="W27" s="3" t="s">
        <v>130</v>
      </c>
      <c r="X27" s="3" t="s">
        <v>21</v>
      </c>
      <c r="Y27" s="3" t="s">
        <v>130</v>
      </c>
    </row>
    <row r="28" spans="2:25" x14ac:dyDescent="0.25">
      <c r="B28" s="1" t="s">
        <v>22</v>
      </c>
      <c r="C28" s="1" t="s">
        <v>13</v>
      </c>
      <c r="D28" s="1" t="s">
        <v>126</v>
      </c>
      <c r="E28" s="1" t="s">
        <v>131</v>
      </c>
      <c r="F28" s="1" t="s">
        <v>132</v>
      </c>
      <c r="G28" s="1" t="s">
        <v>133</v>
      </c>
      <c r="H28" s="1" t="s">
        <v>32</v>
      </c>
      <c r="I28" s="1" t="s">
        <v>33</v>
      </c>
      <c r="J28" s="1" t="s">
        <v>134</v>
      </c>
      <c r="K28" s="1" t="s">
        <v>21</v>
      </c>
      <c r="L28" s="1" t="s">
        <v>134</v>
      </c>
      <c r="O28" s="3" t="s">
        <v>22</v>
      </c>
      <c r="P28" s="3" t="s">
        <v>13</v>
      </c>
      <c r="Q28" s="3" t="s">
        <v>126</v>
      </c>
      <c r="R28" s="3" t="s">
        <v>131</v>
      </c>
      <c r="S28" s="3" t="s">
        <v>132</v>
      </c>
      <c r="T28" s="3" t="s">
        <v>133</v>
      </c>
      <c r="U28" s="3" t="s">
        <v>32</v>
      </c>
      <c r="V28" s="3" t="s">
        <v>33</v>
      </c>
      <c r="W28" s="3" t="s">
        <v>134</v>
      </c>
      <c r="X28" s="3" t="s">
        <v>21</v>
      </c>
      <c r="Y28" s="3" t="s">
        <v>134</v>
      </c>
    </row>
    <row r="29" spans="2:25" x14ac:dyDescent="0.25">
      <c r="B29" s="1" t="s">
        <v>22</v>
      </c>
      <c r="C29" s="1" t="s">
        <v>13</v>
      </c>
      <c r="D29" s="1" t="s">
        <v>126</v>
      </c>
      <c r="E29" s="1" t="s">
        <v>135</v>
      </c>
      <c r="F29" s="1" t="s">
        <v>136</v>
      </c>
      <c r="G29" s="1" t="s">
        <v>137</v>
      </c>
      <c r="H29" s="1" t="s">
        <v>32</v>
      </c>
      <c r="I29" s="1" t="s">
        <v>33</v>
      </c>
      <c r="J29" s="1" t="s">
        <v>134</v>
      </c>
      <c r="K29" s="1" t="s">
        <v>21</v>
      </c>
      <c r="L29" s="1" t="s">
        <v>134</v>
      </c>
      <c r="O29" s="3" t="s">
        <v>22</v>
      </c>
      <c r="P29" s="3" t="s">
        <v>13</v>
      </c>
      <c r="Q29" s="3" t="s">
        <v>126</v>
      </c>
      <c r="R29" s="3" t="s">
        <v>135</v>
      </c>
      <c r="S29" s="3" t="s">
        <v>136</v>
      </c>
      <c r="T29" s="3" t="s">
        <v>137</v>
      </c>
      <c r="U29" s="3" t="s">
        <v>32</v>
      </c>
      <c r="V29" s="3" t="s">
        <v>33</v>
      </c>
      <c r="W29" s="3" t="s">
        <v>134</v>
      </c>
      <c r="X29" s="3" t="s">
        <v>21</v>
      </c>
      <c r="Y29" s="3" t="s">
        <v>134</v>
      </c>
    </row>
    <row r="30" spans="2:25" x14ac:dyDescent="0.25">
      <c r="B30" s="1" t="s">
        <v>27</v>
      </c>
      <c r="C30" s="1" t="s">
        <v>13</v>
      </c>
      <c r="D30" s="1" t="s">
        <v>126</v>
      </c>
      <c r="E30" s="1" t="s">
        <v>138</v>
      </c>
      <c r="F30" s="1" t="s">
        <v>139</v>
      </c>
      <c r="G30" s="1" t="s">
        <v>140</v>
      </c>
      <c r="H30" s="1" t="s">
        <v>32</v>
      </c>
      <c r="I30" s="1" t="s">
        <v>33</v>
      </c>
      <c r="J30" s="1" t="s">
        <v>141</v>
      </c>
      <c r="K30" s="1" t="s">
        <v>21</v>
      </c>
      <c r="L30" s="1" t="s">
        <v>141</v>
      </c>
      <c r="O30" s="3" t="s">
        <v>27</v>
      </c>
      <c r="P30" s="3" t="s">
        <v>13</v>
      </c>
      <c r="Q30" s="3" t="s">
        <v>126</v>
      </c>
      <c r="R30" s="3" t="s">
        <v>138</v>
      </c>
      <c r="S30" s="3" t="s">
        <v>139</v>
      </c>
      <c r="T30" s="3" t="s">
        <v>140</v>
      </c>
      <c r="U30" s="3" t="s">
        <v>32</v>
      </c>
      <c r="V30" s="3" t="s">
        <v>33</v>
      </c>
      <c r="W30" s="3" t="s">
        <v>141</v>
      </c>
      <c r="X30" s="3" t="s">
        <v>21</v>
      </c>
      <c r="Y30" s="3" t="s">
        <v>141</v>
      </c>
    </row>
    <row r="31" spans="2:25" x14ac:dyDescent="0.25">
      <c r="B31" s="1" t="s">
        <v>27</v>
      </c>
      <c r="C31" s="1" t="s">
        <v>13</v>
      </c>
      <c r="D31" s="1" t="s">
        <v>126</v>
      </c>
      <c r="E31" s="1" t="s">
        <v>142</v>
      </c>
      <c r="F31" s="1" t="s">
        <v>143</v>
      </c>
      <c r="G31" s="1" t="s">
        <v>144</v>
      </c>
      <c r="H31" s="1" t="s">
        <v>32</v>
      </c>
      <c r="I31" s="1" t="s">
        <v>33</v>
      </c>
      <c r="J31" s="1" t="s">
        <v>145</v>
      </c>
      <c r="K31" s="1" t="s">
        <v>21</v>
      </c>
      <c r="L31" s="1" t="s">
        <v>145</v>
      </c>
      <c r="O31" s="3" t="s">
        <v>27</v>
      </c>
      <c r="P31" s="3" t="s">
        <v>13</v>
      </c>
      <c r="Q31" s="3" t="s">
        <v>126</v>
      </c>
      <c r="R31" s="3" t="s">
        <v>142</v>
      </c>
      <c r="S31" s="3" t="s">
        <v>143</v>
      </c>
      <c r="T31" s="3" t="s">
        <v>144</v>
      </c>
      <c r="U31" s="3" t="s">
        <v>32</v>
      </c>
      <c r="V31" s="3" t="s">
        <v>33</v>
      </c>
      <c r="W31" s="3" t="s">
        <v>145</v>
      </c>
      <c r="X31" s="3" t="s">
        <v>21</v>
      </c>
      <c r="Y31" s="3" t="s">
        <v>145</v>
      </c>
    </row>
    <row r="32" spans="2:25" x14ac:dyDescent="0.25">
      <c r="B32" s="1" t="s">
        <v>27</v>
      </c>
      <c r="C32" s="1" t="s">
        <v>13</v>
      </c>
      <c r="D32" s="1" t="s">
        <v>126</v>
      </c>
      <c r="E32" s="1" t="s">
        <v>146</v>
      </c>
      <c r="F32" s="1" t="s">
        <v>147</v>
      </c>
      <c r="G32" s="1" t="str">
        <f>"0000000223119"</f>
        <v>0000000223119</v>
      </c>
      <c r="H32" s="1" t="s">
        <v>32</v>
      </c>
      <c r="I32" s="1" t="s">
        <v>33</v>
      </c>
      <c r="J32" s="1" t="s">
        <v>148</v>
      </c>
      <c r="K32" s="1" t="s">
        <v>21</v>
      </c>
      <c r="L32" s="1" t="s">
        <v>148</v>
      </c>
      <c r="O32" s="3" t="s">
        <v>27</v>
      </c>
      <c r="P32" s="3" t="s">
        <v>13</v>
      </c>
      <c r="Q32" s="3" t="s">
        <v>126</v>
      </c>
      <c r="R32" s="3" t="s">
        <v>146</v>
      </c>
      <c r="S32" s="3" t="s">
        <v>147</v>
      </c>
      <c r="T32" s="3" t="str">
        <f>"0000000223119"</f>
        <v>0000000223119</v>
      </c>
      <c r="U32" s="3" t="s">
        <v>32</v>
      </c>
      <c r="V32" s="3" t="s">
        <v>33</v>
      </c>
      <c r="W32" s="3" t="s">
        <v>148</v>
      </c>
      <c r="X32" s="3" t="s">
        <v>21</v>
      </c>
      <c r="Y32" s="3" t="s">
        <v>148</v>
      </c>
    </row>
    <row r="33" spans="1:25" x14ac:dyDescent="0.25">
      <c r="B33" s="1" t="s">
        <v>38</v>
      </c>
      <c r="C33" s="1" t="s">
        <v>13</v>
      </c>
      <c r="D33" s="1" t="s">
        <v>126</v>
      </c>
      <c r="E33" s="1" t="s">
        <v>149</v>
      </c>
      <c r="F33" s="1" t="s">
        <v>150</v>
      </c>
      <c r="G33" s="1" t="str">
        <f>"0000000223126"</f>
        <v>0000000223126</v>
      </c>
      <c r="H33" s="1" t="s">
        <v>32</v>
      </c>
      <c r="I33" s="1" t="s">
        <v>33</v>
      </c>
      <c r="J33" s="1" t="s">
        <v>151</v>
      </c>
      <c r="K33" s="1" t="s">
        <v>21</v>
      </c>
      <c r="L33" s="1" t="s">
        <v>151</v>
      </c>
      <c r="O33" s="3" t="s">
        <v>38</v>
      </c>
      <c r="P33" s="3" t="s">
        <v>13</v>
      </c>
      <c r="Q33" s="3" t="s">
        <v>126</v>
      </c>
      <c r="R33" s="3" t="s">
        <v>149</v>
      </c>
      <c r="S33" s="3" t="s">
        <v>150</v>
      </c>
      <c r="T33" s="3" t="str">
        <f>"0000000223126"</f>
        <v>0000000223126</v>
      </c>
      <c r="U33" s="3" t="s">
        <v>32</v>
      </c>
      <c r="V33" s="3" t="s">
        <v>33</v>
      </c>
      <c r="W33" s="3" t="s">
        <v>151</v>
      </c>
      <c r="X33" s="3" t="s">
        <v>21</v>
      </c>
      <c r="Y33" s="3" t="s">
        <v>151</v>
      </c>
    </row>
    <row r="34" spans="1:25" x14ac:dyDescent="0.25">
      <c r="B34" s="1" t="s">
        <v>27</v>
      </c>
      <c r="C34" s="1" t="s">
        <v>13</v>
      </c>
      <c r="D34" s="1" t="s">
        <v>126</v>
      </c>
      <c r="E34" s="1" t="s">
        <v>152</v>
      </c>
      <c r="F34" s="1" t="s">
        <v>153</v>
      </c>
      <c r="G34" s="1" t="str">
        <f>"0000000243643"</f>
        <v>0000000243643</v>
      </c>
      <c r="H34" s="1" t="s">
        <v>32</v>
      </c>
      <c r="I34" s="1" t="s">
        <v>33</v>
      </c>
      <c r="J34" s="1" t="s">
        <v>154</v>
      </c>
      <c r="K34" s="1" t="s">
        <v>21</v>
      </c>
      <c r="L34" s="1" t="s">
        <v>154</v>
      </c>
      <c r="O34" s="3" t="s">
        <v>27</v>
      </c>
      <c r="P34" s="3" t="s">
        <v>13</v>
      </c>
      <c r="Q34" s="3" t="s">
        <v>126</v>
      </c>
      <c r="R34" s="3" t="s">
        <v>152</v>
      </c>
      <c r="S34" s="3" t="s">
        <v>153</v>
      </c>
      <c r="T34" s="3" t="str">
        <f>"0000000243643"</f>
        <v>0000000243643</v>
      </c>
      <c r="U34" s="3" t="s">
        <v>32</v>
      </c>
      <c r="V34" s="3" t="s">
        <v>33</v>
      </c>
      <c r="W34" s="3" t="s">
        <v>154</v>
      </c>
      <c r="X34" s="3" t="s">
        <v>21</v>
      </c>
      <c r="Y34" s="3" t="s">
        <v>154</v>
      </c>
    </row>
    <row r="35" spans="1:25" x14ac:dyDescent="0.25">
      <c r="B35" s="1" t="s">
        <v>38</v>
      </c>
      <c r="C35" s="1" t="s">
        <v>13</v>
      </c>
      <c r="D35" s="1" t="s">
        <v>126</v>
      </c>
      <c r="E35" s="1" t="s">
        <v>155</v>
      </c>
      <c r="F35" s="1" t="s">
        <v>156</v>
      </c>
      <c r="G35" s="1" t="str">
        <f>"0000000278836"</f>
        <v>0000000278836</v>
      </c>
      <c r="H35" s="1" t="s">
        <v>32</v>
      </c>
      <c r="I35" s="1" t="s">
        <v>33</v>
      </c>
      <c r="J35" s="1" t="s">
        <v>157</v>
      </c>
      <c r="K35" s="1" t="s">
        <v>21</v>
      </c>
      <c r="L35" s="1" t="s">
        <v>157</v>
      </c>
      <c r="O35" s="3" t="s">
        <v>38</v>
      </c>
      <c r="P35" s="3" t="s">
        <v>13</v>
      </c>
      <c r="Q35" s="3" t="s">
        <v>126</v>
      </c>
      <c r="R35" s="3" t="s">
        <v>155</v>
      </c>
      <c r="S35" s="3" t="s">
        <v>156</v>
      </c>
      <c r="T35" s="3" t="str">
        <f>"0000000278836"</f>
        <v>0000000278836</v>
      </c>
      <c r="U35" s="3" t="s">
        <v>32</v>
      </c>
      <c r="V35" s="3" t="s">
        <v>33</v>
      </c>
      <c r="W35" s="3" t="s">
        <v>157</v>
      </c>
      <c r="X35" s="3" t="s">
        <v>21</v>
      </c>
      <c r="Y35" s="3" t="s">
        <v>157</v>
      </c>
    </row>
    <row r="36" spans="1:25" x14ac:dyDescent="0.25">
      <c r="A36" s="1" t="s">
        <v>1</v>
      </c>
      <c r="B36" s="1" t="s">
        <v>27</v>
      </c>
      <c r="C36" s="1" t="s">
        <v>13</v>
      </c>
      <c r="D36" s="1" t="s">
        <v>158</v>
      </c>
      <c r="E36" s="1" t="s">
        <v>159</v>
      </c>
      <c r="F36" s="1" t="s">
        <v>160</v>
      </c>
      <c r="G36" s="1" t="s">
        <v>161</v>
      </c>
      <c r="H36" s="1" t="s">
        <v>32</v>
      </c>
      <c r="I36" s="1" t="s">
        <v>162</v>
      </c>
      <c r="J36" s="1" t="s">
        <v>163</v>
      </c>
      <c r="K36" s="1" t="s">
        <v>21</v>
      </c>
      <c r="L36" s="1" t="s">
        <v>163</v>
      </c>
      <c r="N36" s="3" t="s">
        <v>1</v>
      </c>
      <c r="O36" s="3" t="s">
        <v>27</v>
      </c>
      <c r="P36" s="3" t="s">
        <v>13</v>
      </c>
      <c r="Q36" s="3" t="s">
        <v>158</v>
      </c>
      <c r="R36" s="3" t="s">
        <v>159</v>
      </c>
      <c r="S36" s="3" t="s">
        <v>160</v>
      </c>
      <c r="T36" s="3" t="s">
        <v>161</v>
      </c>
      <c r="U36" s="3" t="s">
        <v>32</v>
      </c>
      <c r="V36" s="3" t="s">
        <v>162</v>
      </c>
      <c r="W36" s="3" t="s">
        <v>163</v>
      </c>
      <c r="X36" s="3" t="s">
        <v>21</v>
      </c>
      <c r="Y36" s="3" t="s">
        <v>163</v>
      </c>
    </row>
    <row r="37" spans="1:25" x14ac:dyDescent="0.25">
      <c r="A37" s="1" t="s">
        <v>1</v>
      </c>
      <c r="B37" s="1" t="s">
        <v>27</v>
      </c>
      <c r="C37" s="1" t="s">
        <v>13</v>
      </c>
      <c r="D37" s="1" t="s">
        <v>164</v>
      </c>
      <c r="E37" s="1" t="s">
        <v>165</v>
      </c>
      <c r="F37" s="1" t="s">
        <v>166</v>
      </c>
      <c r="G37" s="1" t="s">
        <v>167</v>
      </c>
      <c r="H37" s="1" t="s">
        <v>32</v>
      </c>
      <c r="I37" s="1" t="s">
        <v>168</v>
      </c>
      <c r="J37" s="1" t="s">
        <v>169</v>
      </c>
      <c r="K37" s="1" t="s">
        <v>21</v>
      </c>
      <c r="L37" s="1" t="s">
        <v>169</v>
      </c>
      <c r="N37" s="3" t="s">
        <v>1</v>
      </c>
      <c r="O37" s="3" t="s">
        <v>27</v>
      </c>
      <c r="P37" s="3" t="s">
        <v>13</v>
      </c>
      <c r="Q37" s="3" t="s">
        <v>164</v>
      </c>
      <c r="R37" s="3" t="s">
        <v>165</v>
      </c>
      <c r="S37" s="3" t="s">
        <v>166</v>
      </c>
      <c r="T37" s="3" t="s">
        <v>167</v>
      </c>
      <c r="U37" s="3" t="s">
        <v>32</v>
      </c>
      <c r="V37" s="3" t="s">
        <v>168</v>
      </c>
      <c r="W37" s="3" t="s">
        <v>169</v>
      </c>
      <c r="X37" s="3" t="s">
        <v>21</v>
      </c>
      <c r="Y37" s="3" t="s">
        <v>169</v>
      </c>
    </row>
    <row r="38" spans="1:25" x14ac:dyDescent="0.25">
      <c r="A38" s="1" t="s">
        <v>1</v>
      </c>
      <c r="B38" s="1" t="s">
        <v>27</v>
      </c>
      <c r="C38" s="1" t="s">
        <v>13</v>
      </c>
      <c r="D38" s="1" t="s">
        <v>164</v>
      </c>
      <c r="E38" s="1" t="s">
        <v>170</v>
      </c>
      <c r="F38" s="1" t="s">
        <v>171</v>
      </c>
      <c r="G38" s="1" t="str">
        <f>"0000000129190"</f>
        <v>0000000129190</v>
      </c>
      <c r="H38" s="1" t="s">
        <v>32</v>
      </c>
      <c r="I38" s="1" t="s">
        <v>33</v>
      </c>
      <c r="J38" s="1" t="s">
        <v>264</v>
      </c>
      <c r="K38" s="1" t="s">
        <v>21</v>
      </c>
      <c r="L38" s="1" t="s">
        <v>264</v>
      </c>
      <c r="N38" s="3" t="s">
        <v>1</v>
      </c>
      <c r="O38" s="3" t="s">
        <v>27</v>
      </c>
      <c r="P38" s="3" t="s">
        <v>13</v>
      </c>
      <c r="Q38" s="3" t="s">
        <v>164</v>
      </c>
      <c r="R38" s="3" t="s">
        <v>170</v>
      </c>
      <c r="S38" s="3" t="s">
        <v>171</v>
      </c>
      <c r="T38" s="3" t="str">
        <f>"0000000129190"</f>
        <v>0000000129190</v>
      </c>
      <c r="U38" s="3" t="s">
        <v>32</v>
      </c>
      <c r="V38" s="3" t="s">
        <v>33</v>
      </c>
      <c r="W38" s="3" t="s">
        <v>172</v>
      </c>
      <c r="X38" s="3" t="s">
        <v>21</v>
      </c>
      <c r="Y38" s="3" t="s">
        <v>172</v>
      </c>
    </row>
    <row r="39" spans="1:25" x14ac:dyDescent="0.25">
      <c r="A39" s="1" t="s">
        <v>1</v>
      </c>
      <c r="B39" s="1" t="s">
        <v>27</v>
      </c>
      <c r="C39" s="1" t="s">
        <v>13</v>
      </c>
      <c r="D39" s="1" t="s">
        <v>164</v>
      </c>
      <c r="E39" s="1" t="s">
        <v>265</v>
      </c>
      <c r="F39" s="1" t="s">
        <v>266</v>
      </c>
      <c r="G39" s="1" t="str">
        <f>"0000000151634"</f>
        <v>0000000151634</v>
      </c>
      <c r="H39" s="1" t="s">
        <v>32</v>
      </c>
      <c r="I39" s="1" t="s">
        <v>33</v>
      </c>
      <c r="J39" s="1" t="s">
        <v>267</v>
      </c>
      <c r="K39" s="1" t="s">
        <v>21</v>
      </c>
      <c r="L39" s="1" t="s">
        <v>267</v>
      </c>
      <c r="N39" s="3" t="s">
        <v>1</v>
      </c>
      <c r="O39" s="3" t="s">
        <v>27</v>
      </c>
      <c r="P39" s="3" t="s">
        <v>13</v>
      </c>
      <c r="Q39" s="3" t="s">
        <v>164</v>
      </c>
      <c r="R39" s="3" t="s">
        <v>173</v>
      </c>
      <c r="S39" s="3" t="s">
        <v>174</v>
      </c>
      <c r="T39" s="3" t="str">
        <f>"0000000416627"</f>
        <v>0000000416627</v>
      </c>
      <c r="U39" s="3" t="s">
        <v>32</v>
      </c>
      <c r="V39" s="3" t="s">
        <v>33</v>
      </c>
      <c r="W39" s="3" t="s">
        <v>175</v>
      </c>
      <c r="X39" s="3" t="s">
        <v>21</v>
      </c>
      <c r="Y39" s="3" t="s">
        <v>175</v>
      </c>
    </row>
    <row r="40" spans="1:25" x14ac:dyDescent="0.25">
      <c r="B40" s="1" t="s">
        <v>27</v>
      </c>
      <c r="C40" s="1" t="s">
        <v>13</v>
      </c>
      <c r="D40" s="1" t="s">
        <v>164</v>
      </c>
      <c r="E40" s="1" t="s">
        <v>176</v>
      </c>
      <c r="F40" s="1" t="s">
        <v>177</v>
      </c>
      <c r="G40" s="1" t="str">
        <f>"0000000170956"</f>
        <v>0000000170956</v>
      </c>
      <c r="H40" s="1" t="s">
        <v>32</v>
      </c>
      <c r="I40" s="1" t="s">
        <v>33</v>
      </c>
      <c r="J40" s="1" t="s">
        <v>178</v>
      </c>
      <c r="K40" s="1" t="s">
        <v>21</v>
      </c>
      <c r="L40" s="1" t="s">
        <v>178</v>
      </c>
      <c r="O40" s="3" t="s">
        <v>27</v>
      </c>
      <c r="P40" s="3" t="s">
        <v>13</v>
      </c>
      <c r="Q40" s="3" t="s">
        <v>164</v>
      </c>
      <c r="R40" s="3" t="s">
        <v>176</v>
      </c>
      <c r="S40" s="3" t="s">
        <v>177</v>
      </c>
      <c r="T40" s="3" t="str">
        <f>"0000000170956"</f>
        <v>0000000170956</v>
      </c>
      <c r="U40" s="3" t="s">
        <v>32</v>
      </c>
      <c r="V40" s="3" t="s">
        <v>33</v>
      </c>
      <c r="W40" s="3" t="s">
        <v>178</v>
      </c>
      <c r="X40" s="3" t="s">
        <v>21</v>
      </c>
      <c r="Y40" s="3" t="s">
        <v>178</v>
      </c>
    </row>
    <row r="41" spans="1:25" x14ac:dyDescent="0.25">
      <c r="A41" s="1" t="s">
        <v>1</v>
      </c>
      <c r="B41" s="1" t="s">
        <v>27</v>
      </c>
      <c r="C41" s="1" t="s">
        <v>13</v>
      </c>
      <c r="D41" s="1" t="s">
        <v>164</v>
      </c>
      <c r="E41" s="1" t="s">
        <v>179</v>
      </c>
      <c r="F41" s="1" t="s">
        <v>180</v>
      </c>
      <c r="G41" s="1" t="str">
        <f>"0000000263573"</f>
        <v>0000000263573</v>
      </c>
      <c r="H41" s="1" t="s">
        <v>32</v>
      </c>
      <c r="I41" s="1" t="s">
        <v>33</v>
      </c>
      <c r="J41" s="1" t="s">
        <v>181</v>
      </c>
      <c r="K41" s="1" t="s">
        <v>21</v>
      </c>
      <c r="L41" s="1" t="s">
        <v>181</v>
      </c>
      <c r="N41" s="3" t="s">
        <v>1</v>
      </c>
      <c r="O41" s="3" t="s">
        <v>27</v>
      </c>
      <c r="P41" s="3" t="s">
        <v>13</v>
      </c>
      <c r="Q41" s="3" t="s">
        <v>164</v>
      </c>
      <c r="R41" s="3" t="s">
        <v>179</v>
      </c>
      <c r="S41" s="3" t="s">
        <v>180</v>
      </c>
      <c r="T41" s="3" t="str">
        <f>"0000000263573"</f>
        <v>0000000263573</v>
      </c>
      <c r="U41" s="3" t="s">
        <v>32</v>
      </c>
      <c r="V41" s="3" t="s">
        <v>33</v>
      </c>
      <c r="W41" s="3" t="s">
        <v>181</v>
      </c>
      <c r="X41" s="3" t="s">
        <v>21</v>
      </c>
      <c r="Y41" s="3" t="s">
        <v>181</v>
      </c>
    </row>
    <row r="42" spans="1:25" x14ac:dyDescent="0.25">
      <c r="A42" s="1" t="s">
        <v>1</v>
      </c>
      <c r="B42" s="1" t="s">
        <v>27</v>
      </c>
      <c r="C42" s="1" t="s">
        <v>13</v>
      </c>
      <c r="D42" s="1" t="s">
        <v>164</v>
      </c>
      <c r="E42" s="1" t="s">
        <v>182</v>
      </c>
      <c r="F42" s="1" t="s">
        <v>183</v>
      </c>
      <c r="G42" s="1" t="str">
        <f>"0000000352031"</f>
        <v>0000000352031</v>
      </c>
      <c r="H42" s="1" t="s">
        <v>32</v>
      </c>
      <c r="I42" s="1" t="s">
        <v>33</v>
      </c>
      <c r="J42" s="1" t="s">
        <v>268</v>
      </c>
      <c r="K42" s="1" t="s">
        <v>21</v>
      </c>
      <c r="L42" s="1" t="s">
        <v>268</v>
      </c>
      <c r="N42" s="3" t="s">
        <v>1</v>
      </c>
      <c r="O42" s="3" t="s">
        <v>27</v>
      </c>
      <c r="P42" s="3" t="s">
        <v>13</v>
      </c>
      <c r="Q42" s="3" t="s">
        <v>164</v>
      </c>
      <c r="R42" s="3" t="s">
        <v>182</v>
      </c>
      <c r="S42" s="3" t="s">
        <v>183</v>
      </c>
      <c r="T42" s="3" t="str">
        <f>"0000000352031"</f>
        <v>0000000352031</v>
      </c>
      <c r="U42" s="3" t="s">
        <v>32</v>
      </c>
      <c r="V42" s="3" t="s">
        <v>33</v>
      </c>
      <c r="W42" s="3" t="s">
        <v>184</v>
      </c>
      <c r="X42" s="3" t="s">
        <v>21</v>
      </c>
      <c r="Y42" s="3" t="s">
        <v>184</v>
      </c>
    </row>
    <row r="43" spans="1:25" x14ac:dyDescent="0.25">
      <c r="A43" s="1" t="s">
        <v>1</v>
      </c>
      <c r="B43" s="1" t="s">
        <v>27</v>
      </c>
      <c r="C43" s="1" t="s">
        <v>13</v>
      </c>
      <c r="D43" s="1" t="s">
        <v>185</v>
      </c>
      <c r="E43" s="1" t="s">
        <v>186</v>
      </c>
      <c r="F43" s="1" t="s">
        <v>187</v>
      </c>
      <c r="G43" s="1" t="s">
        <v>188</v>
      </c>
      <c r="H43" s="1" t="s">
        <v>32</v>
      </c>
      <c r="I43" s="1" t="s">
        <v>33</v>
      </c>
      <c r="J43" s="1" t="s">
        <v>269</v>
      </c>
      <c r="K43" s="1" t="s">
        <v>21</v>
      </c>
      <c r="L43" s="1" t="s">
        <v>269</v>
      </c>
      <c r="N43" s="3" t="s">
        <v>1</v>
      </c>
      <c r="O43" s="3" t="s">
        <v>27</v>
      </c>
      <c r="P43" s="3" t="s">
        <v>13</v>
      </c>
      <c r="Q43" s="3" t="s">
        <v>185</v>
      </c>
      <c r="R43" s="3" t="s">
        <v>186</v>
      </c>
      <c r="S43" s="3" t="s">
        <v>187</v>
      </c>
      <c r="T43" s="3" t="s">
        <v>188</v>
      </c>
      <c r="U43" s="3" t="s">
        <v>32</v>
      </c>
      <c r="V43" s="3" t="s">
        <v>33</v>
      </c>
      <c r="W43" s="3" t="s">
        <v>189</v>
      </c>
      <c r="X43" s="3" t="s">
        <v>21</v>
      </c>
      <c r="Y43" s="3" t="s">
        <v>189</v>
      </c>
    </row>
    <row r="44" spans="1:25" x14ac:dyDescent="0.25">
      <c r="A44" s="1" t="s">
        <v>1</v>
      </c>
      <c r="B44" s="1" t="s">
        <v>27</v>
      </c>
      <c r="C44" s="1" t="s">
        <v>13</v>
      </c>
      <c r="D44" s="1" t="s">
        <v>185</v>
      </c>
      <c r="E44" s="1" t="s">
        <v>190</v>
      </c>
      <c r="F44" s="1" t="s">
        <v>191</v>
      </c>
      <c r="G44" s="1" t="s">
        <v>192</v>
      </c>
      <c r="H44" s="1" t="s">
        <v>32</v>
      </c>
      <c r="I44" s="1" t="s">
        <v>193</v>
      </c>
      <c r="J44" s="1" t="s">
        <v>194</v>
      </c>
      <c r="K44" s="1" t="s">
        <v>21</v>
      </c>
      <c r="L44" s="1" t="s">
        <v>194</v>
      </c>
      <c r="N44" s="3" t="s">
        <v>1</v>
      </c>
      <c r="O44" s="3" t="s">
        <v>27</v>
      </c>
      <c r="P44" s="3" t="s">
        <v>13</v>
      </c>
      <c r="Q44" s="3" t="s">
        <v>185</v>
      </c>
      <c r="R44" s="3" t="s">
        <v>190</v>
      </c>
      <c r="S44" s="3" t="s">
        <v>191</v>
      </c>
      <c r="T44" s="3" t="s">
        <v>192</v>
      </c>
      <c r="U44" s="3" t="s">
        <v>32</v>
      </c>
      <c r="V44" s="3" t="s">
        <v>193</v>
      </c>
      <c r="W44" s="3" t="s">
        <v>194</v>
      </c>
      <c r="X44" s="3" t="s">
        <v>21</v>
      </c>
      <c r="Y44" s="3" t="s">
        <v>194</v>
      </c>
    </row>
    <row r="45" spans="1:25" x14ac:dyDescent="0.25">
      <c r="A45" s="1" t="s">
        <v>1</v>
      </c>
      <c r="B45" s="1" t="s">
        <v>27</v>
      </c>
      <c r="C45" s="1" t="s">
        <v>13</v>
      </c>
      <c r="D45" s="1" t="s">
        <v>185</v>
      </c>
      <c r="E45" s="1" t="s">
        <v>195</v>
      </c>
      <c r="F45" s="1" t="s">
        <v>196</v>
      </c>
      <c r="G45" s="1" t="str">
        <f>"0000000075022"</f>
        <v>0000000075022</v>
      </c>
      <c r="H45" s="1" t="s">
        <v>32</v>
      </c>
      <c r="I45" s="1" t="s">
        <v>33</v>
      </c>
      <c r="J45" s="1" t="s">
        <v>270</v>
      </c>
      <c r="K45" s="1" t="s">
        <v>21</v>
      </c>
      <c r="L45" s="1" t="s">
        <v>270</v>
      </c>
      <c r="N45" s="3" t="s">
        <v>1</v>
      </c>
      <c r="O45" s="3" t="s">
        <v>27</v>
      </c>
      <c r="P45" s="3" t="s">
        <v>13</v>
      </c>
      <c r="Q45" s="3" t="s">
        <v>185</v>
      </c>
      <c r="R45" s="3" t="s">
        <v>195</v>
      </c>
      <c r="S45" s="3" t="s">
        <v>196</v>
      </c>
      <c r="T45" s="3" t="str">
        <f>"0000000075022"</f>
        <v>0000000075022</v>
      </c>
      <c r="U45" s="3" t="s">
        <v>32</v>
      </c>
      <c r="V45" s="3" t="s">
        <v>33</v>
      </c>
      <c r="W45" s="3" t="s">
        <v>197</v>
      </c>
      <c r="X45" s="3" t="s">
        <v>21</v>
      </c>
      <c r="Y45" s="3" t="s">
        <v>197</v>
      </c>
    </row>
    <row r="46" spans="1:25" x14ac:dyDescent="0.25">
      <c r="A46" s="1" t="s">
        <v>1</v>
      </c>
      <c r="B46" s="1" t="s">
        <v>27</v>
      </c>
      <c r="C46" s="1" t="s">
        <v>13</v>
      </c>
      <c r="D46" s="1" t="s">
        <v>185</v>
      </c>
      <c r="E46" s="1" t="s">
        <v>198</v>
      </c>
      <c r="F46" s="1" t="s">
        <v>199</v>
      </c>
      <c r="G46" s="1" t="str">
        <f>"0000000163026"</f>
        <v>0000000163026</v>
      </c>
      <c r="H46" s="1" t="s">
        <v>32</v>
      </c>
      <c r="I46" s="1" t="s">
        <v>33</v>
      </c>
      <c r="J46" s="1" t="s">
        <v>200</v>
      </c>
      <c r="K46" s="1" t="s">
        <v>21</v>
      </c>
      <c r="L46" s="1" t="s">
        <v>200</v>
      </c>
      <c r="N46" s="3" t="s">
        <v>1</v>
      </c>
      <c r="O46" s="3" t="s">
        <v>27</v>
      </c>
      <c r="P46" s="3" t="s">
        <v>13</v>
      </c>
      <c r="Q46" s="3" t="s">
        <v>185</v>
      </c>
      <c r="R46" s="3" t="s">
        <v>198</v>
      </c>
      <c r="S46" s="3" t="s">
        <v>199</v>
      </c>
      <c r="T46" s="3" t="str">
        <f>"0000000163026"</f>
        <v>0000000163026</v>
      </c>
      <c r="U46" s="3" t="s">
        <v>32</v>
      </c>
      <c r="V46" s="3" t="s">
        <v>33</v>
      </c>
      <c r="W46" s="3" t="s">
        <v>200</v>
      </c>
      <c r="X46" s="3" t="s">
        <v>21</v>
      </c>
      <c r="Y46" s="3" t="s">
        <v>200</v>
      </c>
    </row>
    <row r="47" spans="1:25" x14ac:dyDescent="0.25">
      <c r="A47" s="1" t="s">
        <v>1</v>
      </c>
      <c r="B47" s="1" t="s">
        <v>27</v>
      </c>
      <c r="C47" s="1" t="s">
        <v>13</v>
      </c>
      <c r="D47" s="1" t="s">
        <v>185</v>
      </c>
      <c r="E47" s="1" t="s">
        <v>201</v>
      </c>
      <c r="F47" s="1" t="s">
        <v>202</v>
      </c>
      <c r="G47" s="1" t="str">
        <f>"0000000163033"</f>
        <v>0000000163033</v>
      </c>
      <c r="H47" s="1" t="s">
        <v>32</v>
      </c>
      <c r="I47" s="1" t="s">
        <v>33</v>
      </c>
      <c r="J47" s="1" t="s">
        <v>203</v>
      </c>
      <c r="K47" s="1" t="s">
        <v>21</v>
      </c>
      <c r="L47" s="1" t="s">
        <v>203</v>
      </c>
      <c r="N47" s="3" t="s">
        <v>1</v>
      </c>
      <c r="O47" s="3" t="s">
        <v>27</v>
      </c>
      <c r="P47" s="3" t="s">
        <v>13</v>
      </c>
      <c r="Q47" s="3" t="s">
        <v>185</v>
      </c>
      <c r="R47" s="3" t="s">
        <v>201</v>
      </c>
      <c r="S47" s="3" t="s">
        <v>202</v>
      </c>
      <c r="T47" s="3" t="str">
        <f>"0000000163033"</f>
        <v>0000000163033</v>
      </c>
      <c r="U47" s="3" t="s">
        <v>32</v>
      </c>
      <c r="V47" s="3" t="s">
        <v>33</v>
      </c>
      <c r="W47" s="3" t="s">
        <v>203</v>
      </c>
      <c r="X47" s="3" t="s">
        <v>21</v>
      </c>
      <c r="Y47" s="3" t="s">
        <v>203</v>
      </c>
    </row>
    <row r="48" spans="1:25" x14ac:dyDescent="0.25">
      <c r="A48" s="1" t="s">
        <v>1</v>
      </c>
      <c r="B48" s="1" t="s">
        <v>27</v>
      </c>
      <c r="C48" s="1" t="s">
        <v>13</v>
      </c>
      <c r="D48" s="1" t="s">
        <v>204</v>
      </c>
      <c r="E48" s="1" t="s">
        <v>205</v>
      </c>
      <c r="F48" s="1" t="s">
        <v>206</v>
      </c>
      <c r="G48" s="1" t="str">
        <f>"0000000106320"</f>
        <v>0000000106320</v>
      </c>
      <c r="H48" s="1" t="s">
        <v>32</v>
      </c>
      <c r="I48" s="1" t="s">
        <v>33</v>
      </c>
      <c r="J48" s="1" t="s">
        <v>271</v>
      </c>
      <c r="K48" s="1" t="s">
        <v>21</v>
      </c>
      <c r="L48" s="1" t="s">
        <v>271</v>
      </c>
      <c r="N48" s="3" t="s">
        <v>1</v>
      </c>
      <c r="O48" s="3" t="s">
        <v>27</v>
      </c>
      <c r="P48" s="3" t="s">
        <v>13</v>
      </c>
      <c r="Q48" s="3" t="s">
        <v>204</v>
      </c>
      <c r="R48" s="3" t="s">
        <v>205</v>
      </c>
      <c r="S48" s="3" t="s">
        <v>206</v>
      </c>
      <c r="T48" s="3" t="str">
        <f>"0000000106320"</f>
        <v>0000000106320</v>
      </c>
      <c r="U48" s="3" t="s">
        <v>32</v>
      </c>
      <c r="V48" s="3" t="s">
        <v>33</v>
      </c>
      <c r="W48" s="3" t="s">
        <v>207</v>
      </c>
      <c r="X48" s="3" t="s">
        <v>21</v>
      </c>
      <c r="Y48" s="3" t="s">
        <v>207</v>
      </c>
    </row>
    <row r="49" spans="1:25" x14ac:dyDescent="0.25">
      <c r="A49" s="1" t="s">
        <v>1</v>
      </c>
      <c r="B49" s="1" t="s">
        <v>27</v>
      </c>
      <c r="C49" s="1" t="s">
        <v>13</v>
      </c>
      <c r="D49" s="1" t="s">
        <v>204</v>
      </c>
      <c r="E49" s="1" t="s">
        <v>272</v>
      </c>
      <c r="F49" s="1" t="s">
        <v>273</v>
      </c>
      <c r="G49" s="1" t="str">
        <f>"0000000153553"</f>
        <v>0000000153553</v>
      </c>
      <c r="H49" s="1" t="s">
        <v>32</v>
      </c>
      <c r="I49" s="1" t="s">
        <v>33</v>
      </c>
      <c r="J49" s="1" t="s">
        <v>274</v>
      </c>
      <c r="K49" s="1" t="s">
        <v>21</v>
      </c>
      <c r="L49" s="1" t="s">
        <v>274</v>
      </c>
      <c r="N49" s="3" t="s">
        <v>1</v>
      </c>
      <c r="O49" s="3" t="s">
        <v>27</v>
      </c>
      <c r="P49" s="3" t="s">
        <v>13</v>
      </c>
      <c r="Q49" s="3" t="s">
        <v>204</v>
      </c>
      <c r="R49" s="3" t="s">
        <v>208</v>
      </c>
      <c r="S49" s="3" t="s">
        <v>209</v>
      </c>
      <c r="T49" s="3" t="str">
        <f>"0000000374811"</f>
        <v>0000000374811</v>
      </c>
      <c r="U49" s="3" t="s">
        <v>32</v>
      </c>
      <c r="V49" s="3" t="s">
        <v>33</v>
      </c>
      <c r="W49" s="3" t="s">
        <v>210</v>
      </c>
      <c r="X49" s="3" t="s">
        <v>21</v>
      </c>
      <c r="Y49" s="3" t="s">
        <v>210</v>
      </c>
    </row>
    <row r="50" spans="1:25" x14ac:dyDescent="0.25">
      <c r="A50" s="1" t="s">
        <v>1</v>
      </c>
      <c r="B50" s="1" t="s">
        <v>27</v>
      </c>
      <c r="C50" s="1" t="s">
        <v>13</v>
      </c>
      <c r="D50" s="1" t="s">
        <v>204</v>
      </c>
      <c r="E50" s="1" t="s">
        <v>211</v>
      </c>
      <c r="F50" s="1" t="s">
        <v>212</v>
      </c>
      <c r="G50" s="1" t="str">
        <f>"0000000319447"</f>
        <v>0000000319447</v>
      </c>
      <c r="H50" s="1" t="s">
        <v>32</v>
      </c>
      <c r="I50" s="1" t="s">
        <v>33</v>
      </c>
      <c r="J50" s="1" t="s">
        <v>275</v>
      </c>
      <c r="K50" s="1" t="s">
        <v>21</v>
      </c>
      <c r="L50" s="1" t="s">
        <v>275</v>
      </c>
      <c r="N50" s="3" t="s">
        <v>1</v>
      </c>
      <c r="O50" s="3" t="s">
        <v>27</v>
      </c>
      <c r="P50" s="3" t="s">
        <v>13</v>
      </c>
      <c r="Q50" s="3" t="s">
        <v>204</v>
      </c>
      <c r="R50" s="3" t="s">
        <v>211</v>
      </c>
      <c r="S50" s="3" t="s">
        <v>212</v>
      </c>
      <c r="T50" s="3" t="str">
        <f>"0000000319447"</f>
        <v>0000000319447</v>
      </c>
      <c r="U50" s="3" t="s">
        <v>32</v>
      </c>
      <c r="V50" s="3" t="s">
        <v>33</v>
      </c>
      <c r="W50" s="3" t="s">
        <v>213</v>
      </c>
      <c r="X50" s="3" t="s">
        <v>21</v>
      </c>
      <c r="Y50" s="3" t="s">
        <v>213</v>
      </c>
    </row>
    <row r="51" spans="1:25" x14ac:dyDescent="0.25">
      <c r="B51" s="1" t="s">
        <v>27</v>
      </c>
      <c r="C51" s="1" t="s">
        <v>13</v>
      </c>
      <c r="D51" s="1" t="s">
        <v>214</v>
      </c>
      <c r="E51" s="1" t="s">
        <v>215</v>
      </c>
      <c r="F51" s="1" t="s">
        <v>216</v>
      </c>
      <c r="G51" s="1" t="str">
        <f>"0000000094634"</f>
        <v>0000000094634</v>
      </c>
      <c r="H51" s="1" t="s">
        <v>217</v>
      </c>
      <c r="I51" s="1" t="s">
        <v>218</v>
      </c>
      <c r="J51" s="1" t="s">
        <v>276</v>
      </c>
      <c r="K51" s="1" t="s">
        <v>21</v>
      </c>
      <c r="L51" s="1" t="s">
        <v>276</v>
      </c>
      <c r="O51" s="3" t="s">
        <v>27</v>
      </c>
      <c r="P51" s="3" t="s">
        <v>13</v>
      </c>
      <c r="Q51" s="3" t="s">
        <v>214</v>
      </c>
      <c r="R51" s="3" t="s">
        <v>215</v>
      </c>
      <c r="S51" s="3" t="s">
        <v>216</v>
      </c>
      <c r="T51" s="3" t="str">
        <f>"0000000094634"</f>
        <v>0000000094634</v>
      </c>
      <c r="U51" s="3" t="s">
        <v>217</v>
      </c>
      <c r="V51" s="3" t="s">
        <v>218</v>
      </c>
      <c r="W51" s="3" t="s">
        <v>219</v>
      </c>
      <c r="X51" s="3" t="s">
        <v>21</v>
      </c>
      <c r="Y51" s="3" t="s">
        <v>219</v>
      </c>
    </row>
    <row r="52" spans="1:25" x14ac:dyDescent="0.25">
      <c r="B52" s="1" t="s">
        <v>220</v>
      </c>
      <c r="C52" s="1" t="s">
        <v>13</v>
      </c>
      <c r="D52" s="1" t="s">
        <v>221</v>
      </c>
      <c r="E52" s="1" t="s">
        <v>222</v>
      </c>
      <c r="F52" s="1" t="s">
        <v>223</v>
      </c>
      <c r="G52" s="1" t="s">
        <v>224</v>
      </c>
      <c r="H52" s="1" t="s">
        <v>217</v>
      </c>
      <c r="I52" s="1" t="s">
        <v>218</v>
      </c>
      <c r="J52" s="1" t="s">
        <v>225</v>
      </c>
      <c r="K52" s="1" t="s">
        <v>21</v>
      </c>
      <c r="L52" s="1" t="s">
        <v>225</v>
      </c>
      <c r="O52" s="3" t="s">
        <v>220</v>
      </c>
      <c r="P52" s="3" t="s">
        <v>13</v>
      </c>
      <c r="Q52" s="3" t="s">
        <v>221</v>
      </c>
      <c r="R52" s="3" t="s">
        <v>222</v>
      </c>
      <c r="S52" s="3" t="s">
        <v>223</v>
      </c>
      <c r="T52" s="3" t="s">
        <v>224</v>
      </c>
      <c r="U52" s="3" t="s">
        <v>217</v>
      </c>
      <c r="V52" s="3" t="s">
        <v>218</v>
      </c>
      <c r="W52" s="3" t="s">
        <v>225</v>
      </c>
      <c r="X52" s="3" t="s">
        <v>21</v>
      </c>
      <c r="Y52" s="3" t="s">
        <v>225</v>
      </c>
    </row>
    <row r="53" spans="1:25" x14ac:dyDescent="0.25">
      <c r="B53" s="1" t="s">
        <v>22</v>
      </c>
      <c r="C53" s="1" t="s">
        <v>13</v>
      </c>
      <c r="D53" s="1" t="s">
        <v>226</v>
      </c>
      <c r="E53" s="1" t="s">
        <v>227</v>
      </c>
      <c r="F53" s="1" t="s">
        <v>228</v>
      </c>
      <c r="G53" s="1" t="s">
        <v>229</v>
      </c>
      <c r="H53" s="1" t="s">
        <v>18</v>
      </c>
      <c r="I53" s="1" t="s">
        <v>230</v>
      </c>
      <c r="J53" s="1" t="s">
        <v>231</v>
      </c>
      <c r="K53" s="1" t="s">
        <v>21</v>
      </c>
      <c r="L53" s="1" t="s">
        <v>231</v>
      </c>
      <c r="O53" s="3" t="s">
        <v>22</v>
      </c>
      <c r="P53" s="3" t="s">
        <v>13</v>
      </c>
      <c r="Q53" s="3" t="s">
        <v>226</v>
      </c>
      <c r="R53" s="3" t="s">
        <v>227</v>
      </c>
      <c r="S53" s="3" t="s">
        <v>228</v>
      </c>
      <c r="T53" s="3" t="s">
        <v>229</v>
      </c>
      <c r="U53" s="3" t="s">
        <v>18</v>
      </c>
      <c r="V53" s="3" t="s">
        <v>230</v>
      </c>
      <c r="W53" s="3" t="s">
        <v>231</v>
      </c>
      <c r="X53" s="3" t="s">
        <v>21</v>
      </c>
      <c r="Y53" s="3" t="s">
        <v>231</v>
      </c>
    </row>
    <row r="54" spans="1:25" x14ac:dyDescent="0.25">
      <c r="B54" s="1" t="s">
        <v>38</v>
      </c>
      <c r="C54" s="1" t="s">
        <v>13</v>
      </c>
      <c r="D54" s="1" t="s">
        <v>226</v>
      </c>
      <c r="E54" s="1" t="s">
        <v>232</v>
      </c>
      <c r="F54" s="1" t="s">
        <v>233</v>
      </c>
      <c r="G54" s="1" t="s">
        <v>234</v>
      </c>
      <c r="H54" s="1" t="s">
        <v>18</v>
      </c>
      <c r="I54" s="1" t="s">
        <v>230</v>
      </c>
      <c r="J54" s="1" t="s">
        <v>235</v>
      </c>
      <c r="K54" s="1" t="s">
        <v>21</v>
      </c>
      <c r="L54" s="1" t="s">
        <v>235</v>
      </c>
      <c r="O54" s="3" t="s">
        <v>38</v>
      </c>
      <c r="P54" s="3" t="s">
        <v>13</v>
      </c>
      <c r="Q54" s="3" t="s">
        <v>226</v>
      </c>
      <c r="R54" s="3" t="s">
        <v>232</v>
      </c>
      <c r="S54" s="3" t="s">
        <v>233</v>
      </c>
      <c r="T54" s="3" t="s">
        <v>234</v>
      </c>
      <c r="U54" s="3" t="s">
        <v>18</v>
      </c>
      <c r="V54" s="3" t="s">
        <v>230</v>
      </c>
      <c r="W54" s="3" t="s">
        <v>235</v>
      </c>
      <c r="X54" s="3" t="s">
        <v>21</v>
      </c>
      <c r="Y54" s="3" t="s">
        <v>235</v>
      </c>
    </row>
    <row r="55" spans="1:25" x14ac:dyDescent="0.25">
      <c r="B55" s="1" t="s">
        <v>27</v>
      </c>
      <c r="C55" s="1" t="s">
        <v>13</v>
      </c>
      <c r="D55" s="1" t="s">
        <v>236</v>
      </c>
      <c r="E55" s="1" t="s">
        <v>237</v>
      </c>
      <c r="F55" s="1" t="s">
        <v>238</v>
      </c>
      <c r="G55" s="1" t="str">
        <f>"0000000135436"</f>
        <v>0000000135436</v>
      </c>
      <c r="H55" s="1" t="s">
        <v>32</v>
      </c>
      <c r="I55" s="1" t="s">
        <v>33</v>
      </c>
      <c r="J55" s="1" t="s">
        <v>239</v>
      </c>
      <c r="K55" s="1" t="s">
        <v>21</v>
      </c>
      <c r="L55" s="1" t="s">
        <v>239</v>
      </c>
      <c r="O55" s="3" t="s">
        <v>27</v>
      </c>
      <c r="P55" s="3" t="s">
        <v>13</v>
      </c>
      <c r="Q55" s="3" t="s">
        <v>236</v>
      </c>
      <c r="R55" s="3" t="s">
        <v>237</v>
      </c>
      <c r="S55" s="3" t="s">
        <v>238</v>
      </c>
      <c r="T55" s="3" t="str">
        <f>"0000000135436"</f>
        <v>0000000135436</v>
      </c>
      <c r="U55" s="3" t="s">
        <v>32</v>
      </c>
      <c r="V55" s="3" t="s">
        <v>33</v>
      </c>
      <c r="W55" s="3" t="s">
        <v>239</v>
      </c>
      <c r="X55" s="3" t="s">
        <v>21</v>
      </c>
      <c r="Y55" s="3" t="s">
        <v>239</v>
      </c>
    </row>
    <row r="56" spans="1:25" x14ac:dyDescent="0.25">
      <c r="B56" s="1" t="s">
        <v>27</v>
      </c>
      <c r="C56" s="1" t="s">
        <v>13</v>
      </c>
      <c r="D56" s="1" t="s">
        <v>236</v>
      </c>
      <c r="E56" s="1" t="s">
        <v>240</v>
      </c>
      <c r="F56" s="1" t="s">
        <v>241</v>
      </c>
      <c r="G56" s="1" t="s">
        <v>242</v>
      </c>
      <c r="H56" s="1" t="s">
        <v>32</v>
      </c>
      <c r="I56" s="1" t="s">
        <v>33</v>
      </c>
      <c r="J56" s="1" t="s">
        <v>243</v>
      </c>
      <c r="K56" s="1" t="s">
        <v>21</v>
      </c>
      <c r="L56" s="1" t="s">
        <v>243</v>
      </c>
      <c r="O56" s="3" t="s">
        <v>27</v>
      </c>
      <c r="P56" s="3" t="s">
        <v>13</v>
      </c>
      <c r="Q56" s="3" t="s">
        <v>236</v>
      </c>
      <c r="R56" s="3" t="s">
        <v>240</v>
      </c>
      <c r="S56" s="3" t="s">
        <v>241</v>
      </c>
      <c r="T56" s="3" t="s">
        <v>242</v>
      </c>
      <c r="U56" s="3" t="s">
        <v>32</v>
      </c>
      <c r="V56" s="3" t="s">
        <v>33</v>
      </c>
      <c r="W56" s="3" t="s">
        <v>243</v>
      </c>
      <c r="X56" s="3" t="s">
        <v>21</v>
      </c>
      <c r="Y56" s="3" t="s">
        <v>243</v>
      </c>
    </row>
    <row r="57" spans="1:25" x14ac:dyDescent="0.25">
      <c r="B57" s="1" t="s">
        <v>27</v>
      </c>
      <c r="C57" s="1" t="s">
        <v>13</v>
      </c>
      <c r="D57" s="1" t="s">
        <v>236</v>
      </c>
      <c r="E57" s="1" t="s">
        <v>244</v>
      </c>
      <c r="F57" s="1" t="s">
        <v>245</v>
      </c>
      <c r="G57" s="1" t="s">
        <v>246</v>
      </c>
      <c r="H57" s="1" t="s">
        <v>32</v>
      </c>
      <c r="I57" s="1" t="s">
        <v>33</v>
      </c>
      <c r="J57" s="1" t="s">
        <v>247</v>
      </c>
      <c r="K57" s="1" t="s">
        <v>21</v>
      </c>
      <c r="L57" s="1" t="s">
        <v>247</v>
      </c>
      <c r="O57" s="3" t="s">
        <v>27</v>
      </c>
      <c r="P57" s="3" t="s">
        <v>13</v>
      </c>
      <c r="Q57" s="3" t="s">
        <v>236</v>
      </c>
      <c r="R57" s="3" t="s">
        <v>244</v>
      </c>
      <c r="S57" s="3" t="s">
        <v>245</v>
      </c>
      <c r="T57" s="3" t="s">
        <v>246</v>
      </c>
      <c r="U57" s="3" t="s">
        <v>32</v>
      </c>
      <c r="V57" s="3" t="s">
        <v>33</v>
      </c>
      <c r="W57" s="3" t="s">
        <v>247</v>
      </c>
      <c r="X57" s="3" t="s">
        <v>21</v>
      </c>
      <c r="Y57" s="3" t="s">
        <v>247</v>
      </c>
    </row>
    <row r="58" spans="1:25" x14ac:dyDescent="0.25">
      <c r="B58" s="1" t="s">
        <v>27</v>
      </c>
      <c r="C58" s="1" t="s">
        <v>13</v>
      </c>
      <c r="D58" s="1" t="s">
        <v>236</v>
      </c>
      <c r="E58" s="1" t="s">
        <v>248</v>
      </c>
      <c r="F58" s="1" t="s">
        <v>249</v>
      </c>
      <c r="G58" s="1" t="str">
        <f>"0000000135443"</f>
        <v>0000000135443</v>
      </c>
      <c r="H58" s="1" t="s">
        <v>32</v>
      </c>
      <c r="I58" s="1" t="s">
        <v>33</v>
      </c>
      <c r="J58" s="1" t="s">
        <v>250</v>
      </c>
      <c r="K58" s="1" t="s">
        <v>21</v>
      </c>
      <c r="L58" s="1" t="s">
        <v>250</v>
      </c>
      <c r="O58" s="3" t="s">
        <v>27</v>
      </c>
      <c r="P58" s="3" t="s">
        <v>13</v>
      </c>
      <c r="Q58" s="3" t="s">
        <v>236</v>
      </c>
      <c r="R58" s="3" t="s">
        <v>248</v>
      </c>
      <c r="S58" s="3" t="s">
        <v>249</v>
      </c>
      <c r="T58" s="3" t="str">
        <f>"0000000135443"</f>
        <v>0000000135443</v>
      </c>
      <c r="U58" s="3" t="s">
        <v>32</v>
      </c>
      <c r="V58" s="3" t="s">
        <v>33</v>
      </c>
      <c r="W58" s="3" t="s">
        <v>250</v>
      </c>
      <c r="X58" s="3" t="s">
        <v>21</v>
      </c>
      <c r="Y58" s="3" t="s">
        <v>250</v>
      </c>
    </row>
    <row r="59" spans="1:25" x14ac:dyDescent="0.25">
      <c r="B59" s="1" t="s">
        <v>27</v>
      </c>
      <c r="C59" s="1" t="s">
        <v>13</v>
      </c>
      <c r="D59" s="1" t="s">
        <v>236</v>
      </c>
      <c r="E59" s="1" t="s">
        <v>251</v>
      </c>
      <c r="F59" s="1" t="s">
        <v>252</v>
      </c>
      <c r="G59" s="1" t="str">
        <f>"0000000134262"</f>
        <v>0000000134262</v>
      </c>
      <c r="H59" s="1" t="s">
        <v>32</v>
      </c>
      <c r="I59" s="1" t="s">
        <v>33</v>
      </c>
      <c r="J59" s="1" t="s">
        <v>253</v>
      </c>
      <c r="K59" s="1" t="s">
        <v>21</v>
      </c>
      <c r="L59" s="1" t="s">
        <v>253</v>
      </c>
      <c r="O59" s="3" t="s">
        <v>27</v>
      </c>
      <c r="P59" s="3" t="s">
        <v>13</v>
      </c>
      <c r="Q59" s="3" t="s">
        <v>236</v>
      </c>
      <c r="R59" s="3" t="s">
        <v>251</v>
      </c>
      <c r="S59" s="3" t="s">
        <v>252</v>
      </c>
      <c r="T59" s="3" t="str">
        <f>"0000000134262"</f>
        <v>0000000134262</v>
      </c>
      <c r="U59" s="3" t="s">
        <v>32</v>
      </c>
      <c r="V59" s="3" t="s">
        <v>33</v>
      </c>
      <c r="W59" s="3" t="s">
        <v>253</v>
      </c>
      <c r="X59" s="3" t="s">
        <v>21</v>
      </c>
      <c r="Y59" s="3" t="s">
        <v>253</v>
      </c>
    </row>
    <row r="60" spans="1:25" x14ac:dyDescent="0.25">
      <c r="B60" s="1" t="s">
        <v>27</v>
      </c>
      <c r="C60" s="1" t="s">
        <v>13</v>
      </c>
      <c r="D60" s="1" t="s">
        <v>236</v>
      </c>
      <c r="E60" s="1" t="s">
        <v>254</v>
      </c>
      <c r="F60" s="1" t="s">
        <v>255</v>
      </c>
      <c r="G60" s="1" t="str">
        <f>"0000000134279"</f>
        <v>0000000134279</v>
      </c>
      <c r="H60" s="1" t="s">
        <v>32</v>
      </c>
      <c r="I60" s="1" t="s">
        <v>33</v>
      </c>
      <c r="J60" s="1" t="s">
        <v>256</v>
      </c>
      <c r="K60" s="1" t="s">
        <v>21</v>
      </c>
      <c r="L60" s="1" t="s">
        <v>256</v>
      </c>
      <c r="O60" s="3" t="s">
        <v>27</v>
      </c>
      <c r="P60" s="3" t="s">
        <v>13</v>
      </c>
      <c r="Q60" s="3" t="s">
        <v>236</v>
      </c>
      <c r="R60" s="3" t="s">
        <v>254</v>
      </c>
      <c r="S60" s="3" t="s">
        <v>255</v>
      </c>
      <c r="T60" s="3" t="str">
        <f>"0000000134279"</f>
        <v>0000000134279</v>
      </c>
      <c r="U60" s="3" t="s">
        <v>32</v>
      </c>
      <c r="V60" s="3" t="s">
        <v>33</v>
      </c>
      <c r="W60" s="3" t="s">
        <v>256</v>
      </c>
      <c r="X60" s="3" t="s">
        <v>21</v>
      </c>
      <c r="Y60" s="3" t="s">
        <v>256</v>
      </c>
    </row>
    <row r="61" spans="1:25" x14ac:dyDescent="0.25">
      <c r="B61" s="1" t="s">
        <v>27</v>
      </c>
      <c r="C61" s="1" t="s">
        <v>13</v>
      </c>
      <c r="D61" s="1" t="s">
        <v>257</v>
      </c>
      <c r="E61" s="1" t="s">
        <v>258</v>
      </c>
      <c r="F61" s="1" t="s">
        <v>259</v>
      </c>
      <c r="G61" s="1" t="s">
        <v>260</v>
      </c>
      <c r="H61" s="1" t="s">
        <v>32</v>
      </c>
      <c r="I61" s="1" t="s">
        <v>261</v>
      </c>
      <c r="J61" s="1" t="s">
        <v>262</v>
      </c>
      <c r="K61" s="1" t="s">
        <v>21</v>
      </c>
      <c r="L61" s="1" t="s">
        <v>262</v>
      </c>
      <c r="O61" s="3" t="s">
        <v>27</v>
      </c>
      <c r="P61" s="3" t="s">
        <v>13</v>
      </c>
      <c r="Q61" s="3" t="s">
        <v>257</v>
      </c>
      <c r="R61" s="3" t="s">
        <v>258</v>
      </c>
      <c r="S61" s="3" t="s">
        <v>259</v>
      </c>
      <c r="T61" s="3" t="s">
        <v>260</v>
      </c>
      <c r="U61" s="3" t="s">
        <v>32</v>
      </c>
      <c r="V61" s="3" t="s">
        <v>261</v>
      </c>
      <c r="W61" s="3" t="s">
        <v>262</v>
      </c>
      <c r="X61" s="3" t="s">
        <v>21</v>
      </c>
      <c r="Y61" s="3" t="s">
        <v>262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diff1</vt:lpstr>
      <vt:lpstr>diff2</vt:lpstr>
      <vt:lpstr>partlist DIFF</vt:lpstr>
      <vt:lpstr>unittester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dcterms:created xsi:type="dcterms:W3CDTF">2018-12-03T10:50:08Z</dcterms:created>
  <dcterms:modified xsi:type="dcterms:W3CDTF">2019-01-28T13:15:44Z</dcterms:modified>
</cp:coreProperties>
</file>