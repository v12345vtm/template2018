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aa-procedures vith\MST\"/>
    </mc:Choice>
  </mc:AlternateContent>
  <bookViews>
    <workbookView xWindow="0" yWindow="0" windowWidth="16515" windowHeight="11340" activeTab="6"/>
  </bookViews>
  <sheets>
    <sheet name="Blad1" sheetId="1" r:id="rId1"/>
    <sheet name="phareetalon" sheetId="10" r:id="rId2"/>
    <sheet name="highbeam unical" sheetId="9" r:id="rId3"/>
    <sheet name="unical" sheetId="8" r:id="rId4"/>
    <sheet name="pla35 nr" sheetId="7" r:id="rId5"/>
    <sheet name="pla35 dr" sheetId="6" r:id="rId6"/>
    <sheet name="mst goca" sheetId="2" r:id="rId7"/>
    <sheet name="pla5sr" sheetId="3" r:id="rId8"/>
    <sheet name="pla5dr" sheetId="4" r:id="rId9"/>
    <sheet name="pla5nr" sheetId="5" r:id="rId10"/>
    <sheet name="candela" sheetId="12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10" l="1"/>
  <c r="K21" i="10"/>
</calcChain>
</file>

<file path=xl/comments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3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4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5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6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A28" authorId="0" shapeId="0">
      <text>
        <r>
          <rPr>
            <sz val="11"/>
            <color theme="1"/>
            <rFont val="Calibri"/>
            <family val="2"/>
            <scheme val="minor"/>
          </rPr>
          <t>Pablo Gomez:
Language on which the certificates are to be written, and the documentation is going to be proposed, unless it is specified individually. Can be a pair of languages. If not defined, English is considered.</t>
        </r>
      </text>
    </comment>
  </commentList>
</comments>
</file>

<file path=xl/comments7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8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9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0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sharedStrings.xml><?xml version="1.0" encoding="utf-8"?>
<sst xmlns="http://schemas.openxmlformats.org/spreadsheetml/2006/main" count="465" uniqueCount="114">
  <si>
    <t>cmd</t>
  </si>
  <si>
    <t>c:</t>
  </si>
  <si>
    <t xml:space="preserve"> cd Mysandbox\docauto</t>
  </si>
  <si>
    <t>C:\Users\vth\Documents\docauto\docauto\Scripts\activate</t>
  </si>
  <si>
    <t>python mk_project.py rgo119913 SBAT "repair speedoscope" -l SINT-DENIJS-WESTREM  -c Belgie --lang NL</t>
  </si>
  <si>
    <t>dos terminam</t>
  </si>
  <si>
    <t>naar uw c</t>
  </si>
  <si>
    <t>folder kiezen</t>
  </si>
  <si>
    <t>virtuele omgeving lade</t>
  </si>
  <si>
    <t>template mst</t>
  </si>
  <si>
    <t>python minigui.pyw</t>
  </si>
  <si>
    <t>python mk_project.py kb990161 TUV "1x PLA5 NR" -l HANNOVER -c Deutschland --lang DE</t>
  </si>
  <si>
    <t>UNIT DESCRIPTION</t>
  </si>
  <si>
    <t>Prod. Code</t>
  </si>
  <si>
    <t>PLA5SR</t>
  </si>
  <si>
    <t>Skip Printing?</t>
  </si>
  <si>
    <t>Name</t>
  </si>
  <si>
    <t>Tech. responsible</t>
  </si>
  <si>
    <t>Serial</t>
  </si>
  <si>
    <t>CERTS REQUEST</t>
  </si>
  <si>
    <t>CE</t>
  </si>
  <si>
    <t>CALIB</t>
  </si>
  <si>
    <t>VERIF</t>
  </si>
  <si>
    <t>EXTERN</t>
  </si>
  <si>
    <t>ATTEST</t>
  </si>
  <si>
    <t>NRS Code</t>
  </si>
  <si>
    <t>Language</t>
  </si>
  <si>
    <t>Version</t>
  </si>
  <si>
    <t>Skip print?</t>
  </si>
  <si>
    <t>OTHER COMMON</t>
  </si>
  <si>
    <t>CE DIRECT</t>
  </si>
  <si>
    <t>CAL DEVS</t>
  </si>
  <si>
    <t>INT PROCS</t>
  </si>
  <si>
    <t>VALID FROM</t>
  </si>
  <si>
    <t>VALID TO</t>
  </si>
  <si>
    <t>RESPONSIBLE</t>
  </si>
  <si>
    <t>Common</t>
  </si>
  <si>
    <t>PARTS</t>
  </si>
  <si>
    <t>(Add more rows if needed)</t>
  </si>
  <si>
    <t>CODE</t>
  </si>
  <si>
    <t>NAME</t>
  </si>
  <si>
    <t>SERIAL</t>
  </si>
  <si>
    <t>lm5</t>
  </si>
  <si>
    <t>r1,r8a</t>
  </si>
  <si>
    <t>pla</t>
  </si>
  <si>
    <t>c33 c16 r1</t>
  </si>
  <si>
    <t>PLA5DR</t>
  </si>
  <si>
    <t>PLA5NR</t>
  </si>
  <si>
    <t>c100 c16 r1</t>
  </si>
  <si>
    <t>SSCOPEGOCA</t>
  </si>
  <si>
    <t>EP060069.009</t>
  </si>
  <si>
    <t>r32 r30</t>
  </si>
  <si>
    <t>NL,FR</t>
  </si>
  <si>
    <t>boekjes manuals meegeven met de pla tuv certifikaten</t>
  </si>
  <si>
    <t>python mk_project.py kb177767  "behbehani motors company" "1x PLA35 DR" -l SAFAT -c Kuwait --lang E</t>
  </si>
  <si>
    <t>pla 35 zelf manuals printen en inbinden</t>
  </si>
  <si>
    <t>PLA 35 DR</t>
  </si>
  <si>
    <t>LM35</t>
  </si>
  <si>
    <t>r16 c94</t>
  </si>
  <si>
    <t>qr codes inlezen</t>
  </si>
  <si>
    <t>PLA 35 NR</t>
  </si>
  <si>
    <t>c33 c16 r1a</t>
  </si>
  <si>
    <t>python mk_kb_final.py KB1980267 -t STD</t>
  </si>
  <si>
    <t>python mk_project.py kb1380273  "Behbehani Motors Company" "3x PLA35 DR" -l SAFAT -c Kuwait --lang E</t>
  </si>
  <si>
    <t>\\file01.letdeinze.lan\company\Letdata\data\02\0001_00\D5\020001_00-D5N05_.docx</t>
  </si>
  <si>
    <t xml:space="preserve">procedure PLA35 docauto </t>
  </si>
  <si>
    <t>\\file01.letdeinze.lan\company\Letdata\data\17\0012_01\G4\170012_01-G4N01C.XLSX</t>
  </si>
  <si>
    <t>python mk_usbsticks.py KB959498</t>
  </si>
  <si>
    <t>python postscan.py</t>
  </si>
  <si>
    <t>UNICAL</t>
  </si>
  <si>
    <t>CD Contents</t>
  </si>
  <si>
    <t>Manuals</t>
  </si>
  <si>
    <t>Certificates</t>
  </si>
  <si>
    <t>Software</t>
  </si>
  <si>
    <t>Backups</t>
  </si>
  <si>
    <t>Spare Parts</t>
  </si>
  <si>
    <t>Mech Doc</t>
  </si>
  <si>
    <t>Elec Doc</t>
  </si>
  <si>
    <t>CD Products</t>
  </si>
  <si>
    <t>Stickers DBS</t>
  </si>
  <si>
    <t>Stickers Avery</t>
  </si>
  <si>
    <t>Covers</t>
  </si>
  <si>
    <t>EXTRA</t>
  </si>
  <si>
    <t>Device</t>
  </si>
  <si>
    <t>LBM</t>
  </si>
  <si>
    <t>ep160122,2</t>
  </si>
  <si>
    <t>r17,r21,c61,c147,r9,c56,c87</t>
  </si>
  <si>
    <t>EP170054,1</t>
  </si>
  <si>
    <t>R0020,C0098,C0080,R0015</t>
  </si>
  <si>
    <t>ep170054.001.csv</t>
  </si>
  <si>
    <t>HBM</t>
  </si>
  <si>
    <t>PHARE_ETALON</t>
  </si>
  <si>
    <t>PSM</t>
  </si>
  <si>
    <t>python mk_project.py rfa9980050 "renault espana" "Calibration phare etalon" -l "le plessis-robinson"  -c france --lang f</t>
  </si>
  <si>
    <t>ep160053.004</t>
  </si>
  <si>
    <t>r17,r21,c87,c129,c104,c56, c98 ,c0061 ,r9</t>
  </si>
  <si>
    <t>ep160054.004</t>
  </si>
  <si>
    <t>-7.5</t>
  </si>
  <si>
    <t>ep160055.004</t>
  </si>
  <si>
    <t>geen ce voor repair/herontrole</t>
  </si>
  <si>
    <t>CANDELAMETER</t>
  </si>
  <si>
    <t>ep140113,5</t>
  </si>
  <si>
    <t>c26</t>
  </si>
  <si>
    <t>python mk_project.py  20181322 "Transport Miervelde n.v."1x  candelameter"</t>
  </si>
  <si>
    <t>python mk_project.py  20180932 SNAPON "2x UNICAL"</t>
  </si>
  <si>
    <t>lsm</t>
  </si>
  <si>
    <t>L:\Letdata\data\06\0011_00\D1\060011_00-D1N32E.xlsx</t>
  </si>
  <si>
    <t>meetmiddelen staan in de excel van de highbeam cvs</t>
  </si>
  <si>
    <t xml:space="preserve"> </t>
  </si>
  <si>
    <t>python mk_project.py  RFA180042 "SOFASA S.A." "Phare Etalon calibration" -l "Envigado" -c Colombia --lang E,S</t>
  </si>
  <si>
    <t>python mk_project.py  RFA9999999 "SOFASA S.A." "Phare Etalon calibration" -l "Envigado" -c Colombia --lang E,S</t>
  </si>
  <si>
    <t xml:space="preserve">python mk_project.py   RFA180059 "Renault Revoz" "Réparation Phare Etalon" </t>
  </si>
  <si>
    <t>python mk_project.py kb180409 TUV "1x PLA5 DR" -l HANNOVER -c Deutschland --lang DE</t>
  </si>
  <si>
    <t>python mk_project.py rgo190003 KM "repair speedoscope" -l Oostende  -c Belgie --lang 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</si>
</sst>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1"/>
      <color theme="1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SourceSansPro"/>
    </font>
    <font>
      <sz val="10"/>
      <color rgb="FF000000"/>
      <name val="Calibri"/>
      <family val="2"/>
      <scheme val="minor"/>
    </font>
    <font>
      <sz val="8"/>
      <color rgb="FF99999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SourceSansPro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1"/>
    </font>
    <font>
      <sz val="10"/>
      <color rgb="FF000000"/>
      <name val="Arial1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/>
    <xf numFmtId="0" fontId="15" fillId="0" borderId="0"/>
  </cellStyleXfs>
  <cellXfs count="59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 applyAlignment="1">
      <alignment wrapText="1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vertical="center"/>
    </xf>
    <xf numFmtId="0" fontId="0" fillId="0" borderId="2" xfId="0" applyBorder="1" applyAlignment="1">
      <alignment horizontal="right"/>
    </xf>
    <xf numFmtId="0" fontId="10" fillId="6" borderId="3" xfId="0" applyFont="1" applyFill="1" applyBorder="1" applyAlignment="1">
      <alignment horizontal="right"/>
    </xf>
    <xf numFmtId="0" fontId="0" fillId="7" borderId="3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3" xfId="0" quotePrefix="1" applyFill="1" applyBorder="1"/>
    <xf numFmtId="0" fontId="0" fillId="0" borderId="4" xfId="0" applyBorder="1" applyAlignment="1">
      <alignment horizontal="right"/>
    </xf>
    <xf numFmtId="0" fontId="0" fillId="0" borderId="4" xfId="0" applyBorder="1"/>
    <xf numFmtId="0" fontId="10" fillId="6" borderId="3" xfId="0" applyFont="1" applyFill="1" applyBorder="1" applyAlignment="1">
      <alignment horizontal="center"/>
    </xf>
    <xf numFmtId="16" fontId="0" fillId="7" borderId="3" xfId="0" applyNumberFormat="1" applyFill="1" applyBorder="1"/>
    <xf numFmtId="14" fontId="0" fillId="7" borderId="3" xfId="0" applyNumberFormat="1" applyFill="1" applyBorder="1"/>
    <xf numFmtId="0" fontId="9" fillId="5" borderId="0" xfId="0" applyFont="1" applyFill="1"/>
    <xf numFmtId="0" fontId="11" fillId="5" borderId="0" xfId="0" applyFont="1" applyFill="1"/>
    <xf numFmtId="0" fontId="0" fillId="0" borderId="0" xfId="0"/>
    <xf numFmtId="0" fontId="0" fillId="0" borderId="0" xfId="0"/>
    <xf numFmtId="0" fontId="12" fillId="5" borderId="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7" borderId="3" xfId="0" applyFont="1" applyFill="1" applyBorder="1"/>
    <xf numFmtId="0" fontId="0" fillId="0" borderId="0" xfId="0"/>
    <xf numFmtId="0" fontId="14" fillId="0" borderId="0" xfId="1"/>
    <xf numFmtId="0" fontId="0" fillId="0" borderId="0" xfId="0"/>
    <xf numFmtId="0" fontId="0" fillId="0" borderId="0" xfId="0"/>
    <xf numFmtId="0" fontId="0" fillId="0" borderId="5" xfId="0" applyBorder="1"/>
    <xf numFmtId="0" fontId="12" fillId="5" borderId="3" xfId="0" applyFont="1" applyFill="1" applyBorder="1"/>
    <xf numFmtId="0" fontId="0" fillId="0" borderId="6" xfId="0" applyBorder="1"/>
    <xf numFmtId="0" fontId="12" fillId="5" borderId="7" xfId="0" applyFont="1" applyFill="1" applyBorder="1"/>
    <xf numFmtId="0" fontId="12" fillId="8" borderId="3" xfId="0" applyFont="1" applyFill="1" applyBorder="1" applyAlignment="1">
      <alignment horizontal="right"/>
    </xf>
    <xf numFmtId="0" fontId="9" fillId="5" borderId="1" xfId="0" applyFont="1" applyFill="1" applyBorder="1"/>
    <xf numFmtId="0" fontId="9" fillId="5" borderId="8" xfId="0" applyFont="1" applyFill="1" applyBorder="1"/>
    <xf numFmtId="0" fontId="12" fillId="6" borderId="3" xfId="0" applyFont="1" applyFill="1" applyBorder="1" applyAlignment="1">
      <alignment horizontal="right"/>
    </xf>
    <xf numFmtId="0" fontId="0" fillId="9" borderId="8" xfId="0" applyFill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6" fillId="0" borderId="0" xfId="2" applyFont="1" applyAlignment="1">
      <alignment horizontal="left" vertical="center"/>
    </xf>
    <xf numFmtId="0" fontId="0" fillId="0" borderId="0" xfId="0"/>
    <xf numFmtId="0" fontId="0" fillId="7" borderId="6" xfId="0" applyFill="1" applyBorder="1"/>
    <xf numFmtId="0" fontId="0" fillId="9" borderId="8" xfId="0" quotePrefix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9" fillId="5" borderId="1" xfId="0" applyFont="1" applyFill="1" applyBorder="1" applyAlignment="1">
      <alignment horizontal="right"/>
    </xf>
    <xf numFmtId="0" fontId="0" fillId="0" borderId="0" xfId="0"/>
    <xf numFmtId="0" fontId="9" fillId="5" borderId="0" xfId="0" applyFont="1" applyFill="1" applyAlignment="1">
      <alignment horizontal="right"/>
    </xf>
  </cellXfs>
  <cellStyles count="3">
    <cellStyle name="Hyperlink" xfId="1" builtinId="8"/>
    <cellStyle name="Standaard" xfId="0" builtinId="0"/>
    <cellStyle name="Standaard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981075</xdr:colOff>
          <xdr:row>2</xdr:row>
          <xdr:rowOff>9525</xdr:rowOff>
        </xdr:from>
        <xdr:to>
          <xdr:col>1</xdr:col>
          <xdr:colOff>2495550</xdr:colOff>
          <xdr:row>5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0</xdr:col>
          <xdr:colOff>962025</xdr:colOff>
          <xdr:row>3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28575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18</xdr:row>
          <xdr:rowOff>114300</xdr:rowOff>
        </xdr:from>
        <xdr:to>
          <xdr:col>0</xdr:col>
          <xdr:colOff>1800225</xdr:colOff>
          <xdr:row>20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0</xdr:rowOff>
        </xdr:from>
        <xdr:to>
          <xdr:col>1</xdr:col>
          <xdr:colOff>733425</xdr:colOff>
          <xdr:row>10</xdr:row>
          <xdr:rowOff>114300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19</xdr:row>
          <xdr:rowOff>95250</xdr:rowOff>
        </xdr:from>
        <xdr:to>
          <xdr:col>1</xdr:col>
          <xdr:colOff>190500</xdr:colOff>
          <xdr:row>20</xdr:row>
          <xdr:rowOff>161925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81</xdr:row>
      <xdr:rowOff>41275</xdr:rowOff>
    </xdr:from>
    <xdr:to>
      <xdr:col>1</xdr:col>
      <xdr:colOff>3057526</xdr:colOff>
      <xdr:row>95</xdr:row>
      <xdr:rowOff>22595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2853650"/>
          <a:ext cx="6781800" cy="26483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file:///\\file01.letdeinze.lan\company\Letdata\data\17\0012_01\G4\170012_01-G4N01C.XLSX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file:///\\file01.letdeinze.lan\company\Letdata\data\02\0001_00\D5\020001_00-D5N05_.docx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s://www.armbian.com/orange-pi-one/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file01.letdeinze.lan\company\Letdata\data\06\0011_00\D1\060011_00-D1N32E.xlsx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G93"/>
  <sheetViews>
    <sheetView topLeftCell="B2" zoomScaleNormal="100" workbookViewId="0">
      <selection activeCell="D5" sqref="D5"/>
    </sheetView>
  </sheetViews>
  <sheetFormatPr defaultRowHeight="15"/>
  <cols>
    <col min="1" max="1" width="55.85546875" customWidth="1"/>
    <col min="2" max="2" width="57.85546875" customWidth="1"/>
    <col min="4" max="4" width="108.28515625" customWidth="1"/>
    <col min="5" max="5" width="45.5703125" customWidth="1"/>
    <col min="6" max="6" width="14.7109375" customWidth="1"/>
    <col min="7" max="7" width="18.28515625" customWidth="1"/>
    <col min="8" max="8" width="13.42578125" customWidth="1"/>
    <col min="15" max="15" width="17.85546875" customWidth="1"/>
    <col min="16" max="16" width="16.140625" customWidth="1"/>
  </cols>
  <sheetData>
    <row r="1" spans="1:7" ht="242.25" customHeight="1">
      <c r="A1" s="3" t="s">
        <v>4</v>
      </c>
      <c r="B1" s="6" t="s">
        <v>9</v>
      </c>
      <c r="C1">
        <v>6</v>
      </c>
      <c r="D1" t="s">
        <v>0</v>
      </c>
      <c r="E1" t="s">
        <v>5</v>
      </c>
      <c r="F1" s="4"/>
    </row>
    <row r="2" spans="1:7">
      <c r="D2" t="s">
        <v>1</v>
      </c>
      <c r="E2" t="s">
        <v>6</v>
      </c>
    </row>
    <row r="3" spans="1:7">
      <c r="D3" s="13" t="s">
        <v>2</v>
      </c>
      <c r="E3" t="s">
        <v>7</v>
      </c>
    </row>
    <row r="4" spans="1:7">
      <c r="D4" t="s">
        <v>3</v>
      </c>
      <c r="E4" t="s">
        <v>8</v>
      </c>
    </row>
    <row r="5" spans="1:7">
      <c r="D5" t="s">
        <v>4</v>
      </c>
      <c r="E5" t="s">
        <v>9</v>
      </c>
    </row>
    <row r="6" spans="1:7">
      <c r="D6" t="s">
        <v>11</v>
      </c>
      <c r="G6" s="54" t="s">
        <v>11</v>
      </c>
    </row>
    <row r="7" spans="1:7">
      <c r="D7" s="30" t="s">
        <v>54</v>
      </c>
    </row>
    <row r="8" spans="1:7">
      <c r="D8" t="s">
        <v>10</v>
      </c>
    </row>
    <row r="9" spans="1:7">
      <c r="D9" t="s">
        <v>53</v>
      </c>
    </row>
    <row r="10" spans="1:7">
      <c r="C10" s="34" t="s">
        <v>66</v>
      </c>
      <c r="D10" s="31" t="s">
        <v>62</v>
      </c>
      <c r="E10" t="s">
        <v>55</v>
      </c>
    </row>
    <row r="11" spans="1:7">
      <c r="D11" t="s">
        <v>63</v>
      </c>
    </row>
    <row r="12" spans="1:7">
      <c r="D12" t="s">
        <v>68</v>
      </c>
      <c r="E12" t="s">
        <v>59</v>
      </c>
    </row>
    <row r="13" spans="1:7">
      <c r="D13" t="s">
        <v>67</v>
      </c>
    </row>
    <row r="14" spans="1:7">
      <c r="D14" s="34" t="s">
        <v>64</v>
      </c>
      <c r="E14" t="s">
        <v>65</v>
      </c>
    </row>
    <row r="15" spans="1:7">
      <c r="D15" s="5"/>
    </row>
    <row r="16" spans="1:7">
      <c r="D16" t="s">
        <v>104</v>
      </c>
    </row>
    <row r="17" spans="4:5">
      <c r="D17" t="s">
        <v>93</v>
      </c>
    </row>
    <row r="18" spans="4:5">
      <c r="D18" s="51" t="s">
        <v>103</v>
      </c>
    </row>
    <row r="19" spans="4:5">
      <c r="D19" s="53" t="s">
        <v>109</v>
      </c>
    </row>
    <row r="20" spans="4:5">
      <c r="D20" s="1"/>
      <c r="E20" s="1"/>
    </row>
    <row r="23" spans="4:5">
      <c r="D23" t="s">
        <v>111</v>
      </c>
    </row>
    <row r="24" spans="4:5">
      <c r="D24" s="8"/>
    </row>
    <row r="27" spans="4:5">
      <c r="D27" s="54" t="s">
        <v>112</v>
      </c>
    </row>
    <row r="36" spans="4:4">
      <c r="D36" s="8"/>
    </row>
    <row r="48" spans="4:4" ht="57" customHeight="1">
      <c r="D48" s="1"/>
    </row>
    <row r="49" spans="4:5" ht="57" customHeight="1">
      <c r="E49" s="1"/>
    </row>
    <row r="50" spans="4:5" ht="57" customHeight="1">
      <c r="E50" s="1"/>
    </row>
    <row r="51" spans="4:5" ht="57" customHeight="1">
      <c r="E51" s="1"/>
    </row>
    <row r="52" spans="4:5" ht="57" customHeight="1">
      <c r="E52" s="1"/>
    </row>
    <row r="53" spans="4:5" ht="57" customHeight="1">
      <c r="D53" s="1"/>
    </row>
    <row r="54" spans="4:5">
      <c r="D54" s="2"/>
      <c r="E54" s="1"/>
    </row>
    <row r="55" spans="4:5">
      <c r="E55" s="1"/>
    </row>
    <row r="59" spans="4:5">
      <c r="D59" s="8"/>
    </row>
    <row r="60" spans="4:5">
      <c r="D60" s="12"/>
    </row>
    <row r="61" spans="4:5">
      <c r="D61" s="8"/>
    </row>
    <row r="66" spans="4:5">
      <c r="E66" s="7"/>
    </row>
    <row r="70" spans="4:5">
      <c r="E70" s="10"/>
    </row>
    <row r="71" spans="4:5">
      <c r="D71" s="10"/>
    </row>
    <row r="72" spans="4:5">
      <c r="D72" s="10"/>
    </row>
    <row r="73" spans="4:5">
      <c r="D73" s="8"/>
    </row>
    <row r="74" spans="4:5">
      <c r="D74" s="5"/>
    </row>
    <row r="75" spans="4:5">
      <c r="D75" s="5"/>
    </row>
    <row r="76" spans="4:5">
      <c r="D76" s="5"/>
    </row>
    <row r="77" spans="4:5">
      <c r="D77" s="5"/>
    </row>
    <row r="78" spans="4:5">
      <c r="D78" s="1"/>
    </row>
    <row r="79" spans="4:5">
      <c r="D79" s="5"/>
    </row>
    <row r="80" spans="4:5">
      <c r="D80" s="5"/>
    </row>
    <row r="81" spans="4:5">
      <c r="D81" s="5"/>
    </row>
    <row r="82" spans="4:5">
      <c r="D82" s="1"/>
    </row>
    <row r="83" spans="4:5">
      <c r="D83" s="5"/>
      <c r="E83" s="9"/>
    </row>
    <row r="84" spans="4:5">
      <c r="E84" s="9"/>
    </row>
    <row r="85" spans="4:5">
      <c r="D85" s="5"/>
    </row>
    <row r="86" spans="4:5">
      <c r="D86" s="5"/>
    </row>
    <row r="87" spans="4:5">
      <c r="D87" s="5"/>
    </row>
    <row r="88" spans="4:5">
      <c r="D88" s="11"/>
    </row>
    <row r="89" spans="4:5">
      <c r="D89" s="1"/>
    </row>
    <row r="90" spans="4:5">
      <c r="D90" s="2"/>
      <c r="E90" s="1"/>
    </row>
    <row r="91" spans="4:5">
      <c r="E91" s="1"/>
    </row>
    <row r="92" spans="4:5">
      <c r="D92" s="5"/>
    </row>
    <row r="93" spans="4:5">
      <c r="D93" s="5"/>
    </row>
  </sheetData>
  <hyperlinks>
    <hyperlink ref="D1" r:id="rId1" display="https://www.armbian.com/orange-pi-one/"/>
    <hyperlink ref="D14" r:id="rId2"/>
    <hyperlink ref="C10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34" r:id="rId7" name="CommandButton10">
          <controlPr defaultSize="0" autoLine="0" r:id="rId8">
            <anchor moveWithCells="1">
              <from>
                <xdr:col>0</xdr:col>
                <xdr:colOff>2047875</xdr:colOff>
                <xdr:row>19</xdr:row>
                <xdr:rowOff>95250</xdr:rowOff>
              </from>
              <to>
                <xdr:col>1</xdr:col>
                <xdr:colOff>190500</xdr:colOff>
                <xdr:row>20</xdr:row>
                <xdr:rowOff>161925</xdr:rowOff>
              </to>
            </anchor>
          </controlPr>
        </control>
      </mc:Choice>
      <mc:Fallback>
        <control shapeId="1034" r:id="rId7" name="CommandButton10"/>
      </mc:Fallback>
    </mc:AlternateContent>
    <mc:AlternateContent xmlns:mc="http://schemas.openxmlformats.org/markup-compatibility/2006">
      <mc:Choice Requires="x14">
        <control shapeId="1029" r:id="rId9" name="CommandButton5">
          <controlPr autoLine="0" r:id="rId10">
            <anchor moveWithCells="1">
              <from>
                <xdr:col>0</xdr:col>
                <xdr:colOff>581025</xdr:colOff>
                <xdr:row>9</xdr:row>
                <xdr:rowOff>0</xdr:rowOff>
              </from>
              <to>
                <xdr:col>1</xdr:col>
                <xdr:colOff>733425</xdr:colOff>
                <xdr:row>10</xdr:row>
                <xdr:rowOff>114300</xdr:rowOff>
              </to>
            </anchor>
          </controlPr>
        </control>
      </mc:Choice>
      <mc:Fallback>
        <control shapeId="1029" r:id="rId9" name="CommandButton5"/>
      </mc:Fallback>
    </mc:AlternateContent>
    <mc:AlternateContent xmlns:mc="http://schemas.openxmlformats.org/markup-compatibility/2006">
      <mc:Choice Requires="x14">
        <control shapeId="1028" r:id="rId11" name="CommandButton4">
          <controlPr autoLine="0" r:id="rId12">
            <anchor moveWithCells="1">
              <from>
                <xdr:col>0</xdr:col>
                <xdr:colOff>752475</xdr:colOff>
                <xdr:row>18</xdr:row>
                <xdr:rowOff>114300</xdr:rowOff>
              </from>
              <to>
                <xdr:col>0</xdr:col>
                <xdr:colOff>1800225</xdr:colOff>
                <xdr:row>20</xdr:row>
                <xdr:rowOff>38100</xdr:rowOff>
              </to>
            </anchor>
          </controlPr>
        </control>
      </mc:Choice>
      <mc:Fallback>
        <control shapeId="1028" r:id="rId11" name="CommandButton4"/>
      </mc:Fallback>
    </mc:AlternateContent>
    <mc:AlternateContent xmlns:mc="http://schemas.openxmlformats.org/markup-compatibility/2006">
      <mc:Choice Requires="x14">
        <control shapeId="1027" r:id="rId13" name="CommandButton3">
          <controlPr autoLine="0" r:id="rId14">
            <anchor moveWithCells="1">
              <from>
                <xdr:col>0</xdr:col>
                <xdr:colOff>28575</xdr:colOff>
                <xdr:row>4</xdr:row>
                <xdr:rowOff>28575</xdr:rowOff>
              </from>
              <to>
                <xdr:col>0</xdr:col>
                <xdr:colOff>942975</xdr:colOff>
                <xdr:row>5</xdr:row>
                <xdr:rowOff>142875</xdr:rowOff>
              </to>
            </anchor>
          </controlPr>
        </control>
      </mc:Choice>
      <mc:Fallback>
        <control shapeId="1027" r:id="rId13" name="CommandButton3"/>
      </mc:Fallback>
    </mc:AlternateContent>
    <mc:AlternateContent xmlns:mc="http://schemas.openxmlformats.org/markup-compatibility/2006">
      <mc:Choice Requires="x14">
        <control shapeId="1026" r:id="rId15" name="CommandButton2">
          <controlPr autoLine="0" r:id="rId16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0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26" r:id="rId15" name="CommandButton2"/>
      </mc:Fallback>
    </mc:AlternateContent>
    <mc:AlternateContent xmlns:mc="http://schemas.openxmlformats.org/markup-compatibility/2006">
      <mc:Choice Requires="x14">
        <control shapeId="1025" r:id="rId17" name="CommandButton1">
          <controlPr defaultSize="0" autoLine="0" r:id="rId18">
            <anchor moveWithCells="1">
              <from>
                <xdr:col>0</xdr:col>
                <xdr:colOff>981075</xdr:colOff>
                <xdr:row>2</xdr:row>
                <xdr:rowOff>9525</xdr:rowOff>
              </from>
              <to>
                <xdr:col>1</xdr:col>
                <xdr:colOff>2495550</xdr:colOff>
                <xdr:row>5</xdr:row>
                <xdr:rowOff>133350</xdr:rowOff>
              </to>
            </anchor>
          </controlPr>
        </control>
      </mc:Choice>
      <mc:Fallback>
        <control shapeId="1025" r:id="rId1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0"/>
  <sheetViews>
    <sheetView workbookViewId="0">
      <selection activeCell="E32" sqref="E32"/>
    </sheetView>
  </sheetViews>
  <sheetFormatPr defaultColWidth="11.42578125" defaultRowHeight="15"/>
  <cols>
    <col min="1" max="1" width="11.42578125" style="48"/>
    <col min="2" max="2" width="11.42578125" style="48" bestFit="1" customWidth="1"/>
    <col min="3" max="8" width="17.140625" style="48" customWidth="1"/>
    <col min="9" max="9" width="11.42578125" style="48"/>
    <col min="10" max="10" width="13.85546875" style="48" bestFit="1" customWidth="1"/>
    <col min="11" max="16384" width="11.42578125" style="48"/>
  </cols>
  <sheetData>
    <row r="1" spans="1:11">
      <c r="A1" s="56" t="s">
        <v>12</v>
      </c>
      <c r="B1" s="57"/>
      <c r="C1" s="58"/>
      <c r="D1" s="57"/>
      <c r="E1" s="58"/>
      <c r="F1" s="57"/>
      <c r="G1" s="58"/>
      <c r="H1" s="57"/>
      <c r="I1" s="37"/>
    </row>
    <row r="2" spans="1:11">
      <c r="A2" s="14"/>
      <c r="B2" s="15" t="s">
        <v>13</v>
      </c>
      <c r="C2" s="49" t="s">
        <v>91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94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56" t="s">
        <v>19</v>
      </c>
      <c r="B6" s="57"/>
      <c r="C6" s="58"/>
      <c r="D6" s="57"/>
      <c r="E6" s="58"/>
      <c r="F6" s="57"/>
      <c r="G6" s="58"/>
      <c r="H6" s="57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 t="s">
        <v>99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58" t="s">
        <v>29</v>
      </c>
      <c r="B13" s="57"/>
      <c r="C13" s="58"/>
      <c r="D13" s="57"/>
      <c r="E13" s="58"/>
      <c r="F13" s="57"/>
      <c r="G13" s="58"/>
      <c r="H13" s="57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95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58" t="s">
        <v>37</v>
      </c>
      <c r="B17" s="57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 t="s">
        <v>84</v>
      </c>
      <c r="D19" s="16"/>
      <c r="E19" s="16" t="s">
        <v>96</v>
      </c>
      <c r="F19" s="16"/>
      <c r="G19" s="16"/>
      <c r="H19" s="16"/>
      <c r="I19" s="48">
        <v>1</v>
      </c>
      <c r="J19" s="15"/>
      <c r="K19" s="50" t="s">
        <v>97</v>
      </c>
      <c r="L19" s="46"/>
    </row>
    <row r="20" spans="1:12">
      <c r="C20" s="16" t="s">
        <v>92</v>
      </c>
      <c r="D20" s="16"/>
      <c r="E20" s="16" t="s">
        <v>98</v>
      </c>
      <c r="F20" s="16"/>
      <c r="G20" s="16"/>
      <c r="H20" s="16"/>
      <c r="I20" s="48">
        <v>2</v>
      </c>
      <c r="J20" s="15"/>
      <c r="K20" s="45">
        <v>2</v>
      </c>
      <c r="L20" s="46"/>
    </row>
    <row r="21" spans="1:12">
      <c r="C21" s="16"/>
      <c r="D21" s="16"/>
      <c r="E21" s="16"/>
      <c r="F21" s="16"/>
      <c r="G21" s="16"/>
      <c r="H21" s="16"/>
      <c r="I21" s="48">
        <v>3</v>
      </c>
      <c r="J21" s="15"/>
      <c r="K21" s="45">
        <f>0.035*50</f>
        <v>1.7500000000000002</v>
      </c>
      <c r="L21" s="46"/>
    </row>
    <row r="22" spans="1:12">
      <c r="C22" s="16"/>
      <c r="D22" s="16"/>
      <c r="E22" s="16"/>
      <c r="F22" s="16"/>
      <c r="G22" s="16"/>
      <c r="H22" s="16"/>
      <c r="I22" s="48">
        <v>4</v>
      </c>
      <c r="J22" s="15"/>
      <c r="K22" s="45">
        <f>0.025*50</f>
        <v>1.25</v>
      </c>
      <c r="L22" s="46"/>
    </row>
    <row r="23" spans="1:12">
      <c r="C23" s="16"/>
      <c r="D23" s="16"/>
      <c r="E23" s="16"/>
      <c r="F23" s="16"/>
      <c r="G23" s="16"/>
      <c r="H23" s="16"/>
      <c r="I23" s="48">
        <v>5</v>
      </c>
      <c r="J23" s="15"/>
      <c r="K23" s="45"/>
      <c r="L23" s="46"/>
    </row>
    <row r="24" spans="1:12">
      <c r="I24" s="48">
        <v>6</v>
      </c>
      <c r="J24" s="15"/>
      <c r="K24" s="45"/>
      <c r="L24" s="46"/>
    </row>
    <row r="25" spans="1:12">
      <c r="I25" s="48">
        <v>7</v>
      </c>
      <c r="J25" s="15"/>
      <c r="K25" s="45"/>
      <c r="L25" s="46"/>
    </row>
    <row r="26" spans="1:12">
      <c r="I26" s="48">
        <v>8</v>
      </c>
      <c r="J26" s="15"/>
      <c r="K26" s="45"/>
      <c r="L26" s="46"/>
    </row>
    <row r="29" spans="1:12">
      <c r="C29" s="53" t="s">
        <v>93</v>
      </c>
    </row>
    <row r="30" spans="1:12">
      <c r="C30" s="53" t="s">
        <v>110</v>
      </c>
    </row>
  </sheetData>
  <mergeCells count="13">
    <mergeCell ref="A13:B13"/>
    <mergeCell ref="C13:D13"/>
    <mergeCell ref="E13:F13"/>
    <mergeCell ref="G13:H13"/>
    <mergeCell ref="A17:B17"/>
    <mergeCell ref="A6:B6"/>
    <mergeCell ref="C6:D6"/>
    <mergeCell ref="E6:F6"/>
    <mergeCell ref="G6:H6"/>
    <mergeCell ref="A1:B1"/>
    <mergeCell ref="C1:D1"/>
    <mergeCell ref="E1:F1"/>
    <mergeCell ref="G1:H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N31"/>
  <sheetViews>
    <sheetView workbookViewId="0">
      <selection activeCell="D16" sqref="D16"/>
    </sheetView>
  </sheetViews>
  <sheetFormatPr defaultColWidth="11.42578125" defaultRowHeight="15"/>
  <cols>
    <col min="1" max="1" width="11.42578125" style="36"/>
    <col min="2" max="2" width="11.42578125" style="36" bestFit="1" customWidth="1"/>
    <col min="3" max="8" width="17.140625" style="36" customWidth="1"/>
    <col min="9" max="9" width="11.42578125" style="36"/>
    <col min="10" max="10" width="13.85546875" style="36" bestFit="1" customWidth="1"/>
    <col min="11" max="16384" width="11.42578125" style="36"/>
  </cols>
  <sheetData>
    <row r="1" spans="1:14">
      <c r="A1" s="56" t="s">
        <v>12</v>
      </c>
      <c r="B1" s="57"/>
      <c r="C1" s="58"/>
      <c r="D1" s="57"/>
      <c r="E1" s="58"/>
      <c r="F1" s="57"/>
      <c r="G1" s="58"/>
      <c r="H1" s="57"/>
      <c r="I1" s="37"/>
    </row>
    <row r="2" spans="1:14">
      <c r="A2" s="14"/>
      <c r="B2" s="15" t="s">
        <v>13</v>
      </c>
      <c r="C2" s="16" t="s">
        <v>90</v>
      </c>
      <c r="D2" s="17"/>
      <c r="E2" s="17"/>
      <c r="F2" s="17"/>
      <c r="G2" s="15" t="s">
        <v>15</v>
      </c>
      <c r="H2" s="16"/>
      <c r="K2" s="38" t="s">
        <v>70</v>
      </c>
    </row>
    <row r="3" spans="1:14">
      <c r="A3" s="18"/>
      <c r="B3" s="15" t="s">
        <v>16</v>
      </c>
      <c r="C3" s="19"/>
      <c r="J3" s="15" t="s">
        <v>71</v>
      </c>
      <c r="K3" s="16"/>
    </row>
    <row r="4" spans="1:14">
      <c r="A4" s="18"/>
      <c r="B4" s="15" t="s">
        <v>18</v>
      </c>
      <c r="C4" s="16" t="s">
        <v>87</v>
      </c>
      <c r="J4" s="15" t="s">
        <v>72</v>
      </c>
      <c r="K4" s="16"/>
    </row>
    <row r="5" spans="1:14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4">
      <c r="A6" s="56" t="s">
        <v>19</v>
      </c>
      <c r="B6" s="57"/>
      <c r="C6" s="58"/>
      <c r="D6" s="57"/>
      <c r="E6" s="58"/>
      <c r="F6" s="57"/>
      <c r="G6" s="58"/>
      <c r="H6" s="57"/>
      <c r="I6" s="39"/>
      <c r="J6" s="15" t="s">
        <v>74</v>
      </c>
      <c r="K6" s="16"/>
    </row>
    <row r="7" spans="1:14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4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4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4">
      <c r="A10" s="18"/>
      <c r="B10" s="15" t="s">
        <v>27</v>
      </c>
      <c r="C10" s="16"/>
      <c r="D10" s="16"/>
      <c r="E10" s="16"/>
      <c r="F10" s="16"/>
      <c r="G10" s="16"/>
    </row>
    <row r="11" spans="1:14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  <c r="N11" s="47"/>
    </row>
    <row r="12" spans="1:14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4">
      <c r="A13" s="58" t="s">
        <v>29</v>
      </c>
      <c r="B13" s="57"/>
      <c r="C13" s="58"/>
      <c r="D13" s="57"/>
      <c r="E13" s="58"/>
      <c r="F13" s="57"/>
      <c r="G13" s="58"/>
      <c r="H13" s="57"/>
      <c r="I13" s="39"/>
      <c r="J13" s="41" t="s">
        <v>80</v>
      </c>
      <c r="K13" s="16"/>
    </row>
    <row r="14" spans="1:14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4">
      <c r="A15" s="18"/>
      <c r="B15" s="15" t="s">
        <v>36</v>
      </c>
      <c r="C15" s="16"/>
      <c r="D15" s="16" t="s">
        <v>88</v>
      </c>
      <c r="F15" s="23"/>
      <c r="G15" s="24"/>
      <c r="H15" s="16"/>
    </row>
    <row r="16" spans="1:14">
      <c r="A16" s="20"/>
      <c r="B16" s="20"/>
      <c r="C16" s="21"/>
      <c r="D16" s="21" t="s">
        <v>107</v>
      </c>
      <c r="E16" s="21"/>
      <c r="F16" s="21"/>
      <c r="G16" s="21"/>
      <c r="H16" s="21"/>
    </row>
    <row r="17" spans="1:12">
      <c r="A17" s="58" t="s">
        <v>37</v>
      </c>
      <c r="B17" s="57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/>
      <c r="K19" s="45" t="s">
        <v>108</v>
      </c>
      <c r="L19" s="46"/>
    </row>
    <row r="20" spans="1:12">
      <c r="C20" s="16"/>
      <c r="D20" s="16"/>
      <c r="E20" s="16"/>
      <c r="F20" s="16"/>
      <c r="G20" s="16"/>
      <c r="H20" s="16"/>
      <c r="J20" s="15"/>
      <c r="K20" s="45" t="s">
        <v>89</v>
      </c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4" spans="1:12">
      <c r="C24" s="52"/>
      <c r="D24" s="52"/>
      <c r="E24" s="52"/>
      <c r="F24" s="52"/>
      <c r="G24" s="52"/>
      <c r="H24" s="52"/>
      <c r="I24" s="52"/>
      <c r="J24" s="52"/>
    </row>
    <row r="25" spans="1:12">
      <c r="C25" s="52"/>
      <c r="D25" s="52"/>
      <c r="E25" s="52"/>
      <c r="F25" s="52"/>
      <c r="G25" s="52"/>
      <c r="H25" s="52"/>
      <c r="I25" s="52"/>
      <c r="J25" s="52"/>
    </row>
    <row r="26" spans="1:12">
      <c r="C26" s="52"/>
      <c r="D26" s="34" t="s">
        <v>106</v>
      </c>
      <c r="E26" s="52"/>
      <c r="F26" s="52"/>
      <c r="G26" s="52"/>
      <c r="H26" s="52"/>
      <c r="I26" s="52"/>
      <c r="J26" s="52"/>
      <c r="K26" s="52"/>
    </row>
    <row r="27" spans="1:12">
      <c r="C27" s="52"/>
      <c r="D27" s="52"/>
      <c r="E27" s="52"/>
      <c r="F27" s="52"/>
      <c r="G27" s="52"/>
      <c r="H27" s="52"/>
      <c r="I27" s="52"/>
      <c r="J27" s="52"/>
      <c r="K27" s="52"/>
    </row>
    <row r="28" spans="1:12">
      <c r="C28" s="52"/>
      <c r="D28" s="52"/>
      <c r="E28" s="52"/>
      <c r="F28" s="52"/>
      <c r="G28" s="52"/>
      <c r="H28" s="52"/>
      <c r="I28" s="52"/>
      <c r="J28" s="52"/>
      <c r="K28" s="52"/>
    </row>
    <row r="29" spans="1:12">
      <c r="D29" s="52"/>
      <c r="E29" s="52"/>
      <c r="F29" s="52"/>
      <c r="G29" s="52"/>
      <c r="H29" s="52"/>
      <c r="I29" s="52"/>
      <c r="J29" s="52"/>
      <c r="K29" s="52"/>
    </row>
    <row r="30" spans="1:12">
      <c r="D30" s="52"/>
      <c r="E30" s="52"/>
      <c r="F30" s="52"/>
      <c r="G30" s="52"/>
      <c r="H30" s="52"/>
      <c r="I30" s="52"/>
      <c r="J30" s="52"/>
      <c r="K30" s="52"/>
    </row>
    <row r="31" spans="1:12">
      <c r="D31" s="52"/>
      <c r="E31" s="52"/>
      <c r="F31" s="52"/>
      <c r="G31" s="52"/>
      <c r="H31" s="52"/>
      <c r="I31" s="52"/>
      <c r="J31" s="52"/>
      <c r="K31" s="52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hyperlinks>
    <hyperlink ref="D26" r:id="rId1"/>
  </hyperlinks>
  <pageMargins left="0.7" right="0.7" top="0.75" bottom="0.75" header="0.3" footer="0.3"/>
  <pageSetup paperSize="9"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L23"/>
  <sheetViews>
    <sheetView workbookViewId="0">
      <selection activeCell="C2" sqref="C2:H23"/>
    </sheetView>
  </sheetViews>
  <sheetFormatPr defaultColWidth="11.42578125" defaultRowHeight="15"/>
  <cols>
    <col min="1" max="1" width="11.42578125" style="35"/>
    <col min="2" max="2" width="11.42578125" style="35" bestFit="1" customWidth="1"/>
    <col min="3" max="8" width="17.140625" style="35" customWidth="1"/>
    <col min="9" max="9" width="11.42578125" style="35"/>
    <col min="10" max="10" width="13.85546875" style="35" bestFit="1" customWidth="1"/>
    <col min="11" max="16384" width="11.42578125" style="35"/>
  </cols>
  <sheetData>
    <row r="1" spans="1:11">
      <c r="A1" s="56" t="s">
        <v>12</v>
      </c>
      <c r="B1" s="57"/>
      <c r="C1" s="58"/>
      <c r="D1" s="57"/>
      <c r="E1" s="58"/>
      <c r="F1" s="57"/>
      <c r="G1" s="58"/>
      <c r="H1" s="57"/>
      <c r="I1" s="37"/>
    </row>
    <row r="2" spans="1:11">
      <c r="A2" s="14"/>
      <c r="B2" s="15" t="s">
        <v>13</v>
      </c>
      <c r="C2" s="16" t="s">
        <v>69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>
        <v>17014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56" t="s">
        <v>19</v>
      </c>
      <c r="B6" s="57"/>
      <c r="C6" s="58"/>
      <c r="D6" s="57"/>
      <c r="E6" s="58"/>
      <c r="F6" s="57"/>
      <c r="G6" s="58"/>
      <c r="H6" s="57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58" t="s">
        <v>29</v>
      </c>
      <c r="B13" s="57"/>
      <c r="C13" s="58"/>
      <c r="D13" s="57"/>
      <c r="E13" s="58"/>
      <c r="F13" s="57"/>
      <c r="G13" s="58"/>
      <c r="H13" s="57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58" t="s">
        <v>37</v>
      </c>
      <c r="B17" s="57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s">
        <v>69</v>
      </c>
    </row>
    <row r="19" spans="1:12">
      <c r="C19" s="16" t="s">
        <v>84</v>
      </c>
      <c r="D19" s="16"/>
      <c r="E19" s="16" t="s">
        <v>85</v>
      </c>
      <c r="F19" s="16"/>
      <c r="G19" s="16" t="s">
        <v>86</v>
      </c>
      <c r="H19" s="16"/>
      <c r="J19" s="15"/>
      <c r="K19" s="45" t="s">
        <v>108</v>
      </c>
      <c r="L19" s="46"/>
    </row>
    <row r="20" spans="1:12">
      <c r="C20" s="16" t="s">
        <v>105</v>
      </c>
      <c r="D20" s="16"/>
      <c r="E20" s="16" t="s">
        <v>85</v>
      </c>
      <c r="F20" s="16"/>
      <c r="G20" s="16"/>
      <c r="H20" s="16"/>
      <c r="J20" s="15"/>
      <c r="K20" s="45"/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H23"/>
  <sheetViews>
    <sheetView workbookViewId="0">
      <selection activeCell="C2" sqref="C2"/>
    </sheetView>
  </sheetViews>
  <sheetFormatPr defaultColWidth="11.42578125" defaultRowHeight="15"/>
  <cols>
    <col min="1" max="1" width="11.42578125" style="33"/>
    <col min="2" max="2" width="11.42578125" style="33" bestFit="1" customWidth="1"/>
    <col min="3" max="8" width="17.140625" style="33" customWidth="1"/>
    <col min="9" max="9" width="11.42578125" style="33"/>
    <col min="10" max="10" width="13.85546875" style="33" bestFit="1" customWidth="1"/>
    <col min="11" max="16384" width="11.42578125" style="33"/>
  </cols>
  <sheetData>
    <row r="1" spans="1:8">
      <c r="A1" s="56" t="s">
        <v>12</v>
      </c>
      <c r="B1" s="57"/>
      <c r="C1" s="58"/>
      <c r="D1" s="57"/>
      <c r="E1" s="58"/>
      <c r="F1" s="57"/>
      <c r="G1" s="58"/>
      <c r="H1" s="57"/>
    </row>
    <row r="2" spans="1:8">
      <c r="A2" s="14"/>
      <c r="B2" s="15" t="s">
        <v>13</v>
      </c>
      <c r="C2" s="16" t="s">
        <v>60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56" t="s">
        <v>19</v>
      </c>
      <c r="B6" s="57"/>
      <c r="C6" s="58"/>
      <c r="D6" s="57"/>
      <c r="E6" s="58"/>
      <c r="F6" s="57"/>
      <c r="G6" s="58"/>
      <c r="H6" s="57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58" t="s">
        <v>29</v>
      </c>
      <c r="B13" s="57"/>
      <c r="C13" s="58"/>
      <c r="D13" s="57"/>
      <c r="E13" s="58"/>
      <c r="F13" s="57"/>
      <c r="G13" s="58"/>
      <c r="H13" s="57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58" t="s">
        <v>37</v>
      </c>
      <c r="B17" s="57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32" t="s">
        <v>57</v>
      </c>
      <c r="D19" s="16"/>
      <c r="E19" s="16"/>
      <c r="F19" s="16"/>
      <c r="G19" s="16" t="s">
        <v>58</v>
      </c>
      <c r="H19" s="16"/>
    </row>
    <row r="20" spans="1:8">
      <c r="C20" s="16" t="s">
        <v>44</v>
      </c>
      <c r="D20" s="16"/>
      <c r="E20" s="16"/>
      <c r="F20" s="16"/>
      <c r="G20" s="16" t="s">
        <v>61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M23"/>
  <sheetViews>
    <sheetView workbookViewId="0">
      <selection activeCell="C2" sqref="C2"/>
    </sheetView>
  </sheetViews>
  <sheetFormatPr defaultColWidth="11.42578125" defaultRowHeight="15"/>
  <cols>
    <col min="1" max="1" width="11.42578125" style="31"/>
    <col min="2" max="2" width="11.42578125" style="31" bestFit="1" customWidth="1"/>
    <col min="3" max="8" width="17.140625" style="31" customWidth="1"/>
    <col min="10" max="10" width="13.85546875" bestFit="1" customWidth="1"/>
    <col min="14" max="16384" width="11.42578125" style="31"/>
  </cols>
  <sheetData>
    <row r="1" spans="1:8">
      <c r="A1" s="56" t="s">
        <v>12</v>
      </c>
      <c r="B1" s="57"/>
      <c r="C1" s="58"/>
      <c r="D1" s="57"/>
      <c r="E1" s="58"/>
      <c r="F1" s="57"/>
      <c r="G1" s="58"/>
      <c r="H1" s="57"/>
    </row>
    <row r="2" spans="1:8">
      <c r="A2" s="14"/>
      <c r="B2" s="15" t="s">
        <v>13</v>
      </c>
      <c r="C2" s="16" t="s">
        <v>56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56" t="s">
        <v>19</v>
      </c>
      <c r="B6" s="57"/>
      <c r="C6" s="58"/>
      <c r="D6" s="57"/>
      <c r="E6" s="58"/>
      <c r="F6" s="57"/>
      <c r="G6" s="58"/>
      <c r="H6" s="57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58" t="s">
        <v>29</v>
      </c>
      <c r="B13" s="57"/>
      <c r="C13" s="58"/>
      <c r="D13" s="57"/>
      <c r="E13" s="58"/>
      <c r="F13" s="57"/>
      <c r="G13" s="58"/>
      <c r="H13" s="57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58" t="s">
        <v>37</v>
      </c>
      <c r="B17" s="57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32" t="s">
        <v>57</v>
      </c>
      <c r="D19" s="16"/>
      <c r="E19" s="16"/>
      <c r="F19" s="16"/>
      <c r="G19" s="16" t="s">
        <v>58</v>
      </c>
      <c r="H19" s="16"/>
    </row>
    <row r="20" spans="1:8">
      <c r="C20" s="16" t="s">
        <v>44</v>
      </c>
      <c r="D20" s="16"/>
      <c r="E20" s="16"/>
      <c r="F20" s="16"/>
      <c r="G20" s="16" t="s">
        <v>48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M31"/>
  <sheetViews>
    <sheetView tabSelected="1" workbookViewId="0">
      <selection activeCell="O13" sqref="O13"/>
    </sheetView>
  </sheetViews>
  <sheetFormatPr defaultColWidth="11.42578125" defaultRowHeight="15"/>
  <cols>
    <col min="1" max="1" width="11.42578125" style="28"/>
    <col min="2" max="2" width="11.42578125" style="28" bestFit="1" customWidth="1"/>
    <col min="3" max="8" width="17.140625" style="28" customWidth="1"/>
    <col min="9" max="9" width="11.42578125" style="28"/>
    <col min="10" max="10" width="13.85546875" style="28" bestFit="1" customWidth="1"/>
    <col min="11" max="16384" width="11.42578125" style="28"/>
  </cols>
  <sheetData>
    <row r="1" spans="1:13">
      <c r="A1" s="56" t="s">
        <v>12</v>
      </c>
      <c r="B1" s="57"/>
      <c r="C1" s="58"/>
      <c r="D1" s="57"/>
      <c r="E1" s="58"/>
      <c r="F1" s="57"/>
      <c r="G1" s="58"/>
      <c r="H1" s="57"/>
      <c r="I1"/>
      <c r="J1"/>
      <c r="K1"/>
      <c r="L1"/>
      <c r="M1"/>
    </row>
    <row r="2" spans="1:13">
      <c r="A2" s="14"/>
      <c r="B2" s="15" t="s">
        <v>13</v>
      </c>
      <c r="C2" s="16" t="s">
        <v>49</v>
      </c>
      <c r="D2" s="17"/>
      <c r="E2" s="17"/>
      <c r="F2" s="17"/>
      <c r="G2" s="15" t="s">
        <v>15</v>
      </c>
      <c r="H2" s="16"/>
      <c r="I2"/>
      <c r="J2"/>
      <c r="K2"/>
      <c r="L2"/>
      <c r="M2"/>
    </row>
    <row r="3" spans="1:13">
      <c r="A3" s="18"/>
      <c r="B3" s="15" t="s">
        <v>16</v>
      </c>
      <c r="C3" s="19"/>
      <c r="G3" s="15" t="s">
        <v>17</v>
      </c>
      <c r="H3" s="16"/>
      <c r="I3"/>
      <c r="J3"/>
      <c r="K3"/>
      <c r="L3"/>
      <c r="M3"/>
    </row>
    <row r="4" spans="1:13">
      <c r="A4" s="18"/>
      <c r="B4" s="15" t="s">
        <v>18</v>
      </c>
      <c r="C4" s="16" t="s">
        <v>50</v>
      </c>
      <c r="I4"/>
      <c r="J4"/>
      <c r="K4"/>
      <c r="L4"/>
      <c r="M4"/>
    </row>
    <row r="5" spans="1:13">
      <c r="A5" s="20"/>
      <c r="B5" s="20"/>
      <c r="C5" s="21"/>
      <c r="D5" s="21"/>
      <c r="E5" s="21"/>
      <c r="F5" s="21"/>
      <c r="G5" s="21"/>
      <c r="H5" s="21"/>
      <c r="I5"/>
      <c r="J5"/>
      <c r="K5"/>
      <c r="L5"/>
      <c r="M5"/>
    </row>
    <row r="6" spans="1:13">
      <c r="A6" s="56" t="s">
        <v>19</v>
      </c>
      <c r="B6" s="57"/>
      <c r="C6" s="58"/>
      <c r="D6" s="57"/>
      <c r="E6" s="58"/>
      <c r="F6" s="57"/>
      <c r="G6" s="58"/>
      <c r="H6" s="57"/>
      <c r="I6"/>
      <c r="J6"/>
      <c r="K6"/>
      <c r="L6"/>
      <c r="M6"/>
    </row>
    <row r="7" spans="1:13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  <c r="M7"/>
    </row>
    <row r="8" spans="1:13">
      <c r="A8" s="18"/>
      <c r="B8" s="15" t="s">
        <v>25</v>
      </c>
      <c r="C8" s="16"/>
      <c r="D8" s="16">
        <v>1</v>
      </c>
      <c r="E8" s="16"/>
      <c r="F8" s="16"/>
      <c r="G8" s="16"/>
      <c r="I8"/>
      <c r="J8"/>
      <c r="K8"/>
      <c r="L8"/>
      <c r="M8"/>
    </row>
    <row r="9" spans="1:13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  <c r="M9"/>
    </row>
    <row r="10" spans="1:13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  <c r="M10"/>
    </row>
    <row r="11" spans="1:13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  <c r="M11"/>
    </row>
    <row r="12" spans="1:13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  <c r="M12"/>
    </row>
    <row r="13" spans="1:13">
      <c r="A13" s="58" t="s">
        <v>29</v>
      </c>
      <c r="B13" s="57"/>
      <c r="C13" s="58"/>
      <c r="D13" s="57"/>
      <c r="E13" s="58"/>
      <c r="F13" s="57"/>
      <c r="G13" s="58"/>
      <c r="H13" s="57"/>
      <c r="I13"/>
      <c r="J13"/>
      <c r="K13"/>
      <c r="L13"/>
      <c r="M13"/>
    </row>
    <row r="14" spans="1:13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  <c r="M14"/>
    </row>
    <row r="15" spans="1:13">
      <c r="A15" s="18"/>
      <c r="B15" s="15" t="s">
        <v>36</v>
      </c>
      <c r="C15" s="16"/>
      <c r="D15" s="16" t="s">
        <v>51</v>
      </c>
      <c r="E15" s="16"/>
      <c r="F15" s="23"/>
      <c r="G15" s="24"/>
      <c r="H15" s="16"/>
      <c r="I15"/>
      <c r="J15"/>
      <c r="K15"/>
      <c r="L15"/>
      <c r="M15"/>
    </row>
    <row r="16" spans="1:13">
      <c r="A16" s="20"/>
      <c r="B16" s="20"/>
      <c r="C16" s="21"/>
      <c r="D16" s="21"/>
      <c r="E16" s="21"/>
      <c r="F16" s="21"/>
      <c r="G16" s="21"/>
      <c r="H16" s="21"/>
      <c r="I16"/>
      <c r="J16"/>
      <c r="K16"/>
      <c r="L16"/>
      <c r="M16"/>
    </row>
    <row r="17" spans="1:13">
      <c r="A17" s="58" t="s">
        <v>37</v>
      </c>
      <c r="B17" s="57"/>
      <c r="C17" s="25"/>
      <c r="D17" s="25"/>
      <c r="E17" s="26" t="s">
        <v>38</v>
      </c>
      <c r="F17" s="25"/>
      <c r="G17" s="25"/>
      <c r="H17" s="25"/>
      <c r="I17"/>
      <c r="J17"/>
      <c r="K17"/>
      <c r="L17"/>
      <c r="M17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  <c r="M18"/>
    </row>
    <row r="19" spans="1:13">
      <c r="C19" s="16"/>
      <c r="D19" s="16"/>
      <c r="E19" s="16"/>
      <c r="F19" s="16"/>
      <c r="G19" s="16"/>
      <c r="H19" s="16"/>
      <c r="I19"/>
      <c r="J19"/>
      <c r="K19"/>
      <c r="L19"/>
      <c r="M19"/>
    </row>
    <row r="20" spans="1:13">
      <c r="C20" s="16"/>
      <c r="D20" s="16"/>
      <c r="E20" s="16"/>
      <c r="F20" s="16"/>
      <c r="G20" s="16"/>
      <c r="H20" s="16"/>
      <c r="I20"/>
      <c r="J20"/>
      <c r="K20"/>
      <c r="L20"/>
      <c r="M20"/>
    </row>
    <row r="21" spans="1:13">
      <c r="C21" s="16"/>
      <c r="D21" s="16"/>
      <c r="E21" s="16"/>
      <c r="F21" s="16"/>
      <c r="G21" s="16"/>
      <c r="H21" s="16"/>
      <c r="I21"/>
      <c r="J21"/>
      <c r="K21"/>
      <c r="L21"/>
      <c r="M21"/>
    </row>
    <row r="22" spans="1:13">
      <c r="C22" s="16"/>
      <c r="D22" s="16"/>
      <c r="E22" s="16"/>
      <c r="F22" s="16"/>
      <c r="G22" s="16"/>
      <c r="H22" s="16"/>
      <c r="I22"/>
      <c r="J22"/>
      <c r="K22"/>
      <c r="L22"/>
      <c r="M22"/>
    </row>
    <row r="23" spans="1:13">
      <c r="C23" s="16"/>
      <c r="D23" s="16"/>
      <c r="E23" s="16"/>
      <c r="F23" s="16"/>
      <c r="G23" s="16"/>
      <c r="H23" s="16"/>
      <c r="I23"/>
      <c r="J23"/>
      <c r="K23"/>
      <c r="L23"/>
      <c r="M23"/>
    </row>
    <row r="24" spans="1:13">
      <c r="I24"/>
      <c r="J24"/>
      <c r="K24"/>
      <c r="L24"/>
      <c r="M24"/>
    </row>
    <row r="25" spans="1:13">
      <c r="I25"/>
      <c r="J25"/>
      <c r="K25"/>
      <c r="L25"/>
      <c r="M25"/>
    </row>
    <row r="26" spans="1:13">
      <c r="C26" s="55" t="s">
        <v>113</v>
      </c>
      <c r="I26"/>
      <c r="J26"/>
      <c r="K26"/>
      <c r="L26"/>
      <c r="M26"/>
    </row>
    <row r="27" spans="1:13">
      <c r="I27"/>
      <c r="J27"/>
      <c r="K27"/>
      <c r="L27"/>
      <c r="M27"/>
    </row>
    <row r="28" spans="1:13">
      <c r="A28" s="29" t="s">
        <v>26</v>
      </c>
      <c r="B28" s="16" t="s">
        <v>52</v>
      </c>
      <c r="I28"/>
      <c r="J28"/>
      <c r="K28"/>
      <c r="L28"/>
      <c r="M28"/>
    </row>
    <row r="29" spans="1:13">
      <c r="I29"/>
      <c r="J29"/>
      <c r="K29"/>
      <c r="L29"/>
      <c r="M29"/>
    </row>
    <row r="30" spans="1:13">
      <c r="I30"/>
      <c r="J30"/>
      <c r="K30"/>
      <c r="L30"/>
      <c r="M30"/>
    </row>
    <row r="31" spans="1:13">
      <c r="I31"/>
      <c r="J31"/>
      <c r="K31"/>
      <c r="L31"/>
      <c r="M31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H23"/>
  <sheetViews>
    <sheetView workbookViewId="0">
      <selection activeCell="D30" sqref="D30"/>
    </sheetView>
  </sheetViews>
  <sheetFormatPr defaultColWidth="11.42578125" defaultRowHeight="15"/>
  <cols>
    <col min="2" max="2" width="11.42578125" bestFit="1" customWidth="1"/>
    <col min="3" max="8" width="17.140625" customWidth="1"/>
  </cols>
  <sheetData>
    <row r="1" spans="1:8">
      <c r="A1" s="56" t="s">
        <v>12</v>
      </c>
      <c r="B1" s="57"/>
      <c r="C1" s="58"/>
      <c r="D1" s="57"/>
      <c r="E1" s="58"/>
      <c r="F1" s="57"/>
      <c r="G1" s="58"/>
      <c r="H1" s="57"/>
    </row>
    <row r="2" spans="1:8">
      <c r="A2" s="14"/>
      <c r="B2" s="15" t="s">
        <v>13</v>
      </c>
      <c r="C2" s="16" t="s">
        <v>14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56" t="s">
        <v>19</v>
      </c>
      <c r="B6" s="57"/>
      <c r="C6" s="58"/>
      <c r="D6" s="57"/>
      <c r="E6" s="58"/>
      <c r="F6" s="57"/>
      <c r="G6" s="58"/>
      <c r="H6" s="57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58" t="s">
        <v>29</v>
      </c>
      <c r="B13" s="57"/>
      <c r="C13" s="58"/>
      <c r="D13" s="57"/>
      <c r="E13" s="58"/>
      <c r="F13" s="57"/>
      <c r="G13" s="58"/>
      <c r="H13" s="57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58" t="s">
        <v>37</v>
      </c>
      <c r="B17" s="57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45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H23"/>
  <sheetViews>
    <sheetView workbookViewId="0">
      <selection activeCell="N16" sqref="N16:N17"/>
    </sheetView>
  </sheetViews>
  <sheetFormatPr defaultColWidth="11.42578125" defaultRowHeight="15"/>
  <cols>
    <col min="2" max="2" width="11.42578125" bestFit="1" customWidth="1"/>
    <col min="3" max="8" width="17.140625" customWidth="1"/>
    <col min="10" max="10" width="13.85546875" bestFit="1" customWidth="1"/>
  </cols>
  <sheetData>
    <row r="1" spans="1:8">
      <c r="A1" s="56" t="s">
        <v>12</v>
      </c>
      <c r="B1" s="57"/>
      <c r="C1" s="58"/>
      <c r="D1" s="57"/>
      <c r="E1" s="58"/>
      <c r="F1" s="57"/>
      <c r="G1" s="58"/>
      <c r="H1" s="57"/>
    </row>
    <row r="2" spans="1:8">
      <c r="A2" s="14"/>
      <c r="B2" s="15" t="s">
        <v>13</v>
      </c>
      <c r="C2" s="16" t="s">
        <v>46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56" t="s">
        <v>19</v>
      </c>
      <c r="B6" s="57"/>
      <c r="C6" s="58"/>
      <c r="D6" s="57"/>
      <c r="E6" s="58"/>
      <c r="F6" s="57"/>
      <c r="G6" s="58"/>
      <c r="H6" s="57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58" t="s">
        <v>29</v>
      </c>
      <c r="B13" s="57"/>
      <c r="C13" s="58"/>
      <c r="D13" s="57"/>
      <c r="E13" s="58"/>
      <c r="F13" s="57"/>
      <c r="G13" s="58"/>
      <c r="H13" s="57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58" t="s">
        <v>37</v>
      </c>
      <c r="B17" s="57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48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L32"/>
  <sheetViews>
    <sheetView workbookViewId="0">
      <selection activeCell="C24" sqref="C24"/>
    </sheetView>
  </sheetViews>
  <sheetFormatPr defaultColWidth="11.42578125" defaultRowHeight="15"/>
  <cols>
    <col min="1" max="1" width="11.42578125" style="27"/>
    <col min="2" max="2" width="11.42578125" style="27" bestFit="1" customWidth="1"/>
    <col min="3" max="8" width="17.140625" style="27" customWidth="1"/>
    <col min="9" max="9" width="11.42578125" style="27"/>
    <col min="10" max="10" width="13.85546875" style="27" bestFit="1" customWidth="1"/>
    <col min="11" max="16384" width="11.42578125" style="27"/>
  </cols>
  <sheetData>
    <row r="1" spans="1:12">
      <c r="A1" s="56" t="s">
        <v>12</v>
      </c>
      <c r="B1" s="57"/>
      <c r="C1" s="58"/>
      <c r="D1" s="57"/>
      <c r="E1" s="58"/>
      <c r="F1" s="57"/>
      <c r="G1" s="58"/>
      <c r="H1" s="57"/>
      <c r="I1"/>
      <c r="J1"/>
      <c r="K1"/>
      <c r="L1"/>
    </row>
    <row r="2" spans="1:12">
      <c r="A2" s="14"/>
      <c r="B2" s="15" t="s">
        <v>13</v>
      </c>
      <c r="C2" s="16" t="s">
        <v>47</v>
      </c>
      <c r="D2" s="17"/>
      <c r="E2" s="17"/>
      <c r="F2" s="17"/>
      <c r="G2" s="15" t="s">
        <v>15</v>
      </c>
      <c r="H2" s="16"/>
      <c r="I2"/>
      <c r="J2"/>
      <c r="K2"/>
      <c r="L2"/>
    </row>
    <row r="3" spans="1:12">
      <c r="A3" s="18"/>
      <c r="B3" s="15" t="s">
        <v>16</v>
      </c>
      <c r="C3" s="19"/>
      <c r="G3" s="15" t="s">
        <v>17</v>
      </c>
      <c r="H3" s="16"/>
      <c r="I3"/>
      <c r="J3"/>
      <c r="K3"/>
      <c r="L3"/>
    </row>
    <row r="4" spans="1:12">
      <c r="A4" s="18"/>
      <c r="B4" s="15" t="s">
        <v>18</v>
      </c>
      <c r="C4" s="16"/>
      <c r="I4"/>
      <c r="J4"/>
      <c r="K4"/>
      <c r="L4"/>
    </row>
    <row r="5" spans="1:12">
      <c r="A5" s="20"/>
      <c r="B5" s="20"/>
      <c r="C5" s="21"/>
      <c r="D5" s="21"/>
      <c r="E5" s="21"/>
      <c r="F5" s="21"/>
      <c r="G5" s="21"/>
      <c r="H5" s="21"/>
      <c r="I5"/>
      <c r="J5"/>
      <c r="K5"/>
      <c r="L5"/>
    </row>
    <row r="6" spans="1:12">
      <c r="A6" s="56" t="s">
        <v>19</v>
      </c>
      <c r="B6" s="57"/>
      <c r="C6" s="58"/>
      <c r="D6" s="57"/>
      <c r="E6" s="58"/>
      <c r="F6" s="57"/>
      <c r="G6" s="58"/>
      <c r="H6" s="57"/>
      <c r="I6"/>
      <c r="J6"/>
      <c r="K6"/>
      <c r="L6"/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</row>
    <row r="8" spans="1:12">
      <c r="A8" s="18"/>
      <c r="B8" s="15" t="s">
        <v>25</v>
      </c>
      <c r="C8" s="16">
        <v>1</v>
      </c>
      <c r="D8" s="16">
        <v>2</v>
      </c>
      <c r="E8" s="16"/>
      <c r="F8" s="16"/>
      <c r="G8" s="16"/>
      <c r="I8"/>
      <c r="J8"/>
      <c r="K8"/>
      <c r="L8"/>
    </row>
    <row r="9" spans="1:12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</row>
    <row r="10" spans="1:12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</row>
    <row r="11" spans="1:12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</row>
    <row r="12" spans="1:12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</row>
    <row r="13" spans="1:12">
      <c r="A13" s="58" t="s">
        <v>29</v>
      </c>
      <c r="B13" s="57"/>
      <c r="C13" s="58"/>
      <c r="D13" s="57"/>
      <c r="E13" s="58"/>
      <c r="F13" s="57"/>
      <c r="G13" s="58"/>
      <c r="H13" s="57"/>
      <c r="I13"/>
      <c r="J13"/>
      <c r="K13"/>
      <c r="L13"/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</row>
    <row r="15" spans="1:12">
      <c r="A15" s="18"/>
      <c r="B15" s="15" t="s">
        <v>36</v>
      </c>
      <c r="C15" s="16"/>
      <c r="D15" s="16"/>
      <c r="E15" s="16"/>
      <c r="F15" s="23"/>
      <c r="G15" s="24"/>
      <c r="H15" s="16"/>
      <c r="I15"/>
      <c r="J15"/>
      <c r="K15"/>
      <c r="L15"/>
    </row>
    <row r="16" spans="1:12">
      <c r="A16" s="20"/>
      <c r="B16" s="20"/>
      <c r="C16" s="21"/>
      <c r="D16" s="21"/>
      <c r="E16" s="21"/>
      <c r="F16" s="21"/>
      <c r="G16" s="21"/>
      <c r="H16" s="21"/>
      <c r="I16"/>
      <c r="J16"/>
      <c r="K16"/>
      <c r="L16"/>
    </row>
    <row r="17" spans="1:12">
      <c r="A17" s="58" t="s">
        <v>37</v>
      </c>
      <c r="B17" s="57"/>
      <c r="C17" s="25"/>
      <c r="D17" s="25"/>
      <c r="E17" s="26" t="s">
        <v>38</v>
      </c>
      <c r="F17" s="25"/>
      <c r="G17" s="25"/>
      <c r="H17" s="25"/>
      <c r="I17"/>
      <c r="J17"/>
      <c r="K17"/>
      <c r="L17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</row>
    <row r="19" spans="1:12">
      <c r="C19" s="16" t="s">
        <v>42</v>
      </c>
      <c r="D19" s="16"/>
      <c r="E19" s="16"/>
      <c r="F19" s="16"/>
      <c r="G19" s="16" t="s">
        <v>43</v>
      </c>
      <c r="H19" s="16"/>
      <c r="I19"/>
      <c r="J19"/>
      <c r="K19"/>
      <c r="L19"/>
    </row>
    <row r="20" spans="1:12">
      <c r="C20" s="16" t="s">
        <v>44</v>
      </c>
      <c r="D20" s="16"/>
      <c r="E20" s="16"/>
      <c r="F20" s="16"/>
      <c r="G20" s="16" t="s">
        <v>45</v>
      </c>
      <c r="H20" s="16"/>
      <c r="I20"/>
      <c r="J20"/>
      <c r="K20"/>
      <c r="L20"/>
    </row>
    <row r="21" spans="1:12">
      <c r="C21" s="16"/>
      <c r="D21" s="16"/>
      <c r="E21" s="16"/>
      <c r="F21" s="16"/>
      <c r="G21" s="16"/>
      <c r="H21" s="16"/>
      <c r="I21"/>
      <c r="J21"/>
      <c r="K21"/>
      <c r="L21"/>
    </row>
    <row r="22" spans="1:12">
      <c r="C22" s="16"/>
      <c r="D22" s="16"/>
      <c r="E22" s="16"/>
      <c r="F22" s="16"/>
      <c r="G22" s="16"/>
      <c r="H22" s="16"/>
      <c r="I22"/>
      <c r="J22"/>
      <c r="K22"/>
      <c r="L22"/>
    </row>
    <row r="23" spans="1:12">
      <c r="C23" s="16"/>
      <c r="D23" s="16"/>
      <c r="E23" s="16"/>
      <c r="F23" s="16"/>
      <c r="G23" s="16"/>
      <c r="H23" s="16"/>
      <c r="I23"/>
      <c r="J23"/>
      <c r="K23"/>
      <c r="L23"/>
    </row>
    <row r="24" spans="1:12">
      <c r="I24"/>
      <c r="J24"/>
      <c r="K24"/>
      <c r="L24"/>
    </row>
    <row r="25" spans="1:12">
      <c r="I25"/>
      <c r="J25"/>
      <c r="K25"/>
      <c r="L25"/>
    </row>
    <row r="26" spans="1:12">
      <c r="I26"/>
      <c r="J26"/>
      <c r="K26"/>
      <c r="L26"/>
    </row>
    <row r="27" spans="1:12">
      <c r="I27"/>
      <c r="J27"/>
      <c r="K27"/>
      <c r="L27"/>
    </row>
    <row r="28" spans="1:12">
      <c r="I28"/>
      <c r="J28"/>
      <c r="K28"/>
      <c r="L28"/>
    </row>
    <row r="29" spans="1:12">
      <c r="I29"/>
      <c r="J29"/>
      <c r="K29"/>
      <c r="L29"/>
    </row>
    <row r="30" spans="1:12">
      <c r="I30"/>
      <c r="J30"/>
      <c r="K30"/>
      <c r="L30"/>
    </row>
    <row r="31" spans="1:12">
      <c r="I31"/>
      <c r="J31"/>
      <c r="K31"/>
      <c r="L31"/>
    </row>
    <row r="32" spans="1:12">
      <c r="I32"/>
      <c r="J32"/>
      <c r="K32"/>
      <c r="L32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3"/>
  <sheetViews>
    <sheetView workbookViewId="0">
      <selection activeCell="G27" sqref="G27"/>
    </sheetView>
  </sheetViews>
  <sheetFormatPr defaultColWidth="11.42578125" defaultRowHeight="15"/>
  <cols>
    <col min="1" max="1" width="11.42578125" style="51"/>
    <col min="2" max="2" width="11.42578125" style="51" bestFit="1" customWidth="1"/>
    <col min="3" max="8" width="17.140625" style="51" customWidth="1"/>
    <col min="9" max="9" width="11.42578125" style="51"/>
    <col min="10" max="10" width="13.85546875" style="51" bestFit="1" customWidth="1"/>
    <col min="11" max="16384" width="11.42578125" style="51"/>
  </cols>
  <sheetData>
    <row r="1" spans="1:11">
      <c r="A1" s="56" t="s">
        <v>12</v>
      </c>
      <c r="B1" s="57"/>
      <c r="C1" s="58"/>
      <c r="D1" s="57"/>
      <c r="E1" s="58"/>
      <c r="F1" s="57"/>
      <c r="G1" s="58"/>
      <c r="H1" s="57"/>
      <c r="I1" s="37"/>
    </row>
    <row r="2" spans="1:11">
      <c r="A2" s="14"/>
      <c r="B2" s="15" t="s">
        <v>13</v>
      </c>
      <c r="C2" s="16" t="s">
        <v>100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 t="s">
        <v>101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56" t="s">
        <v>19</v>
      </c>
      <c r="B6" s="57"/>
      <c r="C6" s="58"/>
      <c r="D6" s="57"/>
      <c r="E6" s="58"/>
      <c r="F6" s="57"/>
      <c r="G6" s="58"/>
      <c r="H6" s="57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58" t="s">
        <v>29</v>
      </c>
      <c r="B13" s="57"/>
      <c r="C13" s="58"/>
      <c r="D13" s="57"/>
      <c r="E13" s="58"/>
      <c r="F13" s="57"/>
      <c r="G13" s="58"/>
      <c r="H13" s="57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102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58" t="s">
        <v>37</v>
      </c>
      <c r="B17" s="57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 t="e">
        <v>#VALUE!</v>
      </c>
      <c r="K19" s="45">
        <v>122</v>
      </c>
      <c r="L19" s="46"/>
    </row>
    <row r="20" spans="1:12">
      <c r="C20" s="16"/>
      <c r="D20" s="16"/>
      <c r="E20" s="16"/>
      <c r="F20" s="16"/>
      <c r="G20" s="16"/>
      <c r="H20" s="16"/>
      <c r="J20" s="15" t="e">
        <v>#VALUE!</v>
      </c>
      <c r="K20" s="45">
        <v>13.1</v>
      </c>
      <c r="L20" s="46"/>
    </row>
    <row r="21" spans="1:12">
      <c r="C21" s="16"/>
      <c r="D21" s="16"/>
      <c r="E21" s="16"/>
      <c r="F21" s="16"/>
      <c r="G21" s="16"/>
      <c r="H21" s="16"/>
      <c r="J21" s="15" t="e">
        <v>#VALUE!</v>
      </c>
      <c r="K21" s="45">
        <v>1.3</v>
      </c>
      <c r="L21" s="46"/>
    </row>
    <row r="22" spans="1:12">
      <c r="C22" s="16"/>
      <c r="D22" s="16"/>
      <c r="E22" s="16"/>
      <c r="F22" s="16"/>
      <c r="G22" s="16"/>
      <c r="H22" s="16"/>
      <c r="J22" s="15" t="e">
        <v>#VALUE!</v>
      </c>
      <c r="K22" s="45"/>
      <c r="L22" s="46"/>
    </row>
    <row r="23" spans="1:12">
      <c r="C23" s="16"/>
      <c r="D23" s="16"/>
      <c r="E23" s="16"/>
      <c r="F23" s="16"/>
      <c r="G23" s="16"/>
      <c r="H23" s="16"/>
      <c r="J23" s="15" t="e">
        <v>#VALUE!</v>
      </c>
      <c r="K23" s="45"/>
      <c r="L23" s="46" t="e">
        <v>#VALUE!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11</vt:i4>
      </vt:variant>
    </vt:vector>
  </HeadingPairs>
  <TitlesOfParts>
    <vt:vector size="11" baseType="lpstr">
      <vt:lpstr>Blad1</vt:lpstr>
      <vt:lpstr>phareetalon</vt:lpstr>
      <vt:lpstr>highbeam unical</vt:lpstr>
      <vt:lpstr>unical</vt:lpstr>
      <vt:lpstr>pla35 nr</vt:lpstr>
      <vt:lpstr>pla35 dr</vt:lpstr>
      <vt:lpstr>mst goca</vt:lpstr>
      <vt:lpstr>pla5sr</vt:lpstr>
      <vt:lpstr>pla5dr</vt:lpstr>
      <vt:lpstr>pla5nr</vt:lpstr>
      <vt:lpstr>candela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vith</dc:creator>
  <cp:lastModifiedBy>Vincent Theuninck</cp:lastModifiedBy>
  <dcterms:created xsi:type="dcterms:W3CDTF">2017-08-25T14:39:37Z</dcterms:created>
  <dcterms:modified xsi:type="dcterms:W3CDTF">2019-01-21T14:38:54Z</dcterms:modified>
</cp:coreProperties>
</file>